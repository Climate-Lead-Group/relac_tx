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relac_tx\t1_confection\"/>
    </mc:Choice>
  </mc:AlternateContent>
  <xr:revisionPtr revIDLastSave="0" documentId="13_ncr:1_{EB3121E7-C0B3-4EEB-957E-789A3111B328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Instructions" sheetId="1" r:id="rId1"/>
    <sheet name="Documentation" sheetId="2" r:id="rId2"/>
    <sheet name="OLADE_Config" sheetId="3" r:id="rId3"/>
    <sheet name="Demand_Growth" sheetId="4" r:id="rId4"/>
    <sheet name="Scenarios_Demand_Growth" sheetId="5" r:id="rId5"/>
    <sheet name="Renewability_Targets" sheetId="6" r:id="rId6"/>
    <sheet name="Technology_Weights" sheetId="7" r:id="rId7"/>
    <sheet name="Editor" sheetId="8" r:id="rId8"/>
    <sheet name="Interconnections" sheetId="9" r:id="rId9"/>
    <sheet name="_Scenarios" sheetId="10" state="hidden" r:id="rId10"/>
    <sheet name="_Countries" sheetId="11" state="hidden" r:id="rId11"/>
    <sheet name="_TechNames" sheetId="12" state="hidden" r:id="rId12"/>
    <sheet name="_TechMapping" sheetId="13" state="hidden" r:id="rId13"/>
    <sheet name="_Parameters" sheetId="14" state="hidden" r:id="rId14"/>
    <sheet name="_TechByCountry" sheetId="15" state="hidden" r:id="rId15"/>
  </sheets>
  <definedNames>
    <definedName name="Tech_ARG">_TechByCountry!$A$2:$A$26</definedName>
    <definedName name="Tech_BOL">_TechByCountry!$B$2:$B$25</definedName>
    <definedName name="Tech_BRA">_TechByCountry!$C$2:$C$25</definedName>
    <definedName name="Tech_BRB">_TechByCountry!$D$2:$D$21</definedName>
    <definedName name="Tech_CHL">_TechByCountry!$E$2:$E$22</definedName>
    <definedName name="Tech_COL">_TechByCountry!$F$2:$F$24</definedName>
    <definedName name="Tech_CRI">_TechByCountry!$G$2:$G$23</definedName>
    <definedName name="Tech_DOM">_TechByCountry!$H$2:$H$22</definedName>
    <definedName name="Tech_ECU">_TechByCountry!$I$2:$I$22</definedName>
    <definedName name="Tech_GTM">_TechByCountry!$J$2:$J$24</definedName>
    <definedName name="Tech_HND">_TechByCountry!$K$2:$K$23</definedName>
    <definedName name="Tech_HTI">_TechByCountry!$L$2:$L$21</definedName>
    <definedName name="Tech_MEX">_TechByCountry!$M$2:$M$21</definedName>
    <definedName name="Tech_NIC">_TechByCountry!$N$2:$N$21</definedName>
    <definedName name="Tech_PAN">_TechByCountry!$O$2:$O$21</definedName>
    <definedName name="Tech_PER">_TechByCountry!$P$2:$P$21</definedName>
    <definedName name="Tech_PRY">_TechByCountry!$Q$2:$Q$21</definedName>
    <definedName name="Tech_SLV">_TechByCountry!$R$2:$R$21</definedName>
    <definedName name="Tech_URY">_TechByCountry!$S$2:$S$21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1" i="8" l="1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</calcChain>
</file>

<file path=xl/sharedStrings.xml><?xml version="1.0" encoding="utf-8"?>
<sst xmlns="http://schemas.openxmlformats.org/spreadsheetml/2006/main" count="3160" uniqueCount="1361">
  <si>
    <t>Secondary Techs Editor - Instructions</t>
  </si>
  <si>
    <t>This Excel file allows you to edit Secondary Techs data easily.</t>
  </si>
  <si>
    <t>HOW TO USE:</t>
  </si>
  <si>
    <t>1. (Optional) Configure OLADE settings in 'OLADE_Config' sheet</t>
  </si>
  <si>
    <t>2. Go to the 'Editor' sheet</t>
  </si>
  <si>
    <t>3. Fill in each row with:</t>
  </si>
  <si>
    <t xml:space="preserve">   - Scenario: Select BAU, NDC, NDC+ELC, NDC_NoRPO, or ALL (applies to all scenarios)</t>
  </si>
  <si>
    <t xml:space="preserve">   - Country: Select the country code (ARG, BOL, CHL, COL, ECU, GTM, etc.)</t>
  </si>
  <si>
    <t xml:space="preserve">   - Tech.Name: Select from dropdown (options depend on country selected)</t>
  </si>
  <si>
    <t xml:space="preserve">   - Tech: This column is auto-filled based on Tech.Name (READ-ONLY)</t>
  </si>
  <si>
    <t xml:space="preserve">   - Parameter: Select the parameter to modify</t>
  </si>
  <si>
    <t xml:space="preserve">   - Year values: Enter numeric values for each year (leave empty to keep current value)</t>
  </si>
  <si>
    <t>4. Save and close this file</t>
  </si>
  <si>
    <t>5. Run: python t1_confection/D2_update_secondary_techs.py</t>
  </si>
  <si>
    <t>OLADE INTEGRATION:</t>
  </si>
  <si>
    <t>- If ResidualCapacitiesFromOLADE = YES in OLADE_Config sheet:</t>
  </si>
  <si>
    <t xml:space="preserve">  * The script will automatically populate ResidualCapacity for PWR technologies</t>
  </si>
  <si>
    <t xml:space="preserve">  * Data comes from 'OLADE - Capacidad instalada por fuente - Anual.xlsx'</t>
  </si>
  <si>
    <t xml:space="preserve">  * OLADE data takes priority over manual Editor entries for ResidualCapacity</t>
  </si>
  <si>
    <t xml:space="preserve">  * Flat capacity values are used (same value for all years)</t>
  </si>
  <si>
    <t>- If DemandFromOLADE = YES in OLADE_Config sheet:</t>
  </si>
  <si>
    <t xml:space="preserve">  * The script will populate electricity demand in A-O_Demand.xlsx</t>
  </si>
  <si>
    <t xml:space="preserve">  * Data comes from 'OLADE - Generación eléctrica por fuente - Anual.xlsx'</t>
  </si>
  <si>
    <t xml:space="preserve">  * Configure growth rates per country in the 'Demand_Growth' sheet</t>
  </si>
  <si>
    <t xml:space="preserve">  * Data is converted from GWh to PJ (1 GWh = 0.0036 PJ)</t>
  </si>
  <si>
    <t xml:space="preserve">  * Linear growth is applied from the OLADE reference year (2023)</t>
  </si>
  <si>
    <t>- If ActivityLowerLimitFromOLADE = YES in OLADE_Config sheet:</t>
  </si>
  <si>
    <t xml:space="preserve">  * The script will populate TotalTechnologyAnnualActivityLowerLimit in A-O_Parametrization.xlsx</t>
  </si>
  <si>
    <t xml:space="preserve">  * Formula: LowerLimit[tech,year] = Demand[country,year] × Share_normalized[tech,year]</t>
  </si>
  <si>
    <t xml:space="preserve">  * Shares are calculated from Renewability_Targets and OLADE generation weights</t>
  </si>
  <si>
    <t xml:space="preserve">  * Demand values come from A-O_Demand.xlsx (with projected growth)</t>
  </si>
  <si>
    <t>INTERCONNECTION CONTROL:</t>
  </si>
  <si>
    <t>- If InterconnectionsControl = YES in OLADE_Config sheet:</t>
  </si>
  <si>
    <t xml:space="preserve">  * The 'Interconnections' sheet controls TRN cross-border/intra-country links</t>
  </si>
  <si>
    <t xml:space="preserve">  * Set each direction to ON or OFF independently</t>
  </si>
  <si>
    <t xml:space="preserve">  * OFF directions: InputActivityRatio=0, OutputActivityRatio=0, Projection.Mode='EMPTY'</t>
  </si>
  <si>
    <t xml:space="preserve">  * ON directions: InputActivityRatio=1, OutputActivityRatio=1, Projection.Mode='User defined'</t>
  </si>
  <si>
    <t xml:space="preserve">  * Changes apply to A-O_AR_Model_Base_Year.xlsx and A-O_AR_Projections.xlsx</t>
  </si>
  <si>
    <t>IMPORTANT NOTES:</t>
  </si>
  <si>
    <t>- You can add as many rows as needed</t>
  </si>
  <si>
    <t>- The 'Tech' column is automatically filled when you select a 'Tech.Name'</t>
  </si>
  <si>
    <t>- Empty year cells will NOT modify the current value in the destination file</t>
  </si>
  <si>
    <t>- Scenario 'ALL' will apply changes to all 4 scenario files</t>
  </si>
  <si>
    <t>- A backup will be created automatically before making changes</t>
  </si>
  <si>
    <t>- Check the log file after running the update script</t>
  </si>
  <si>
    <t>Template generated: 2026-04-08 14:09:53</t>
  </si>
  <si>
    <t>ACTIVITY LIMITS CALCULATION &amp; VALIDATION</t>
  </si>
  <si>
    <t>1. BASE FORMULA</t>
  </si>
  <si>
    <t>ActivityLimit = Generation_OLADE × (1 + growth_rate × (year - ref_year)) × Share_technology</t>
  </si>
  <si>
    <t>Where:</t>
  </si>
  <si>
    <t xml:space="preserve">  • Generation_OLADE: Total electricity generation for country in base year (PJ)</t>
  </si>
  <si>
    <t xml:space="preserve">  • growth_rate: Annual growth rate (e.g., 0.02 = 2%)</t>
  </si>
  <si>
    <t xml:space="preserve">  • ref_year: OLADE reference year (2023)</t>
  </si>
  <si>
    <t xml:space="preserve">  • Share_technology: Technology share (from Shares_Total or Renewability_Targets)</t>
  </si>
  <si>
    <t>UpperLimit = LowerLimit × 1.05</t>
  </si>
  <si>
    <t>2. INDIVIDUAL VALIDATION (during calculation)</t>
  </si>
  <si>
    <t>Constraint: LowerLimit ≤ MaxPossibleActivity</t>
  </si>
  <si>
    <t>MaxPossibleActivity = Capacity × CapacityToActivityUnit × AvailabilityFactor × CapacityFactor</t>
  </si>
  <si>
    <t>Where Capacity = min(TotalAnnualMaxCapacity, ResidualCapacity)</t>
  </si>
  <si>
    <t>Validation Logic:</t>
  </si>
  <si>
    <t xml:space="preserve">  IF MaxPossibleActivity ≤ 0:</t>
  </si>
  <si>
    <t xml:space="preserve">    → No capacity available</t>
  </si>
  <si>
    <t xml:space="preserve">    → LowerLimit = 0</t>
  </si>
  <si>
    <t xml:space="preserve">    → UpperLimit = 0</t>
  </si>
  <si>
    <t xml:space="preserve">    → Value is CAPPED</t>
  </si>
  <si>
    <t xml:space="preserve">  ELSE:</t>
  </si>
  <si>
    <t xml:space="preserve">    → MaxAllowed = MaxPossibleActivity - 0.05  (safety margin)</t>
  </si>
  <si>
    <t xml:space="preserve">    → IF LowerLimit &gt; MaxAllowed:</t>
  </si>
  <si>
    <t xml:space="preserve">         → LowerLimit = max(0, MaxAllowed)</t>
  </si>
  <si>
    <t xml:space="preserve">         → UpperLimit = LowerLimit × 1.05</t>
  </si>
  <si>
    <t xml:space="preserve">         → Value is CAPPED</t>
  </si>
  <si>
    <t>3. UNIVERSAL VALIDATION (after all calculations)</t>
  </si>
  <si>
    <t>Applied ONLY to these 10 PWR generation technologies:</t>
  </si>
  <si>
    <t xml:space="preserve">  URN (Nuclear), NGS (Natural Gas), COA (Coal), HYD (Hydro), GEO (Geothermal)</t>
  </si>
  <si>
    <t xml:space="preserve">  WON (Wind), SPV (Solar), BIO (Biomass), PET (Petroleum/Diesel), OIL (Fuel Oil)</t>
  </si>
  <si>
    <t>Excludes: Storage (SDS, LDS), Backup (BCK), Transmission (TRN)</t>
  </si>
  <si>
    <t>Purpose: Re-verify that NO technology has LowerLimit &gt; MaxPossibleActivity</t>
  </si>
  <si>
    <t>This catches manual errors from the Editor sheet and ensures model feasibility.</t>
  </si>
  <si>
    <t>4. NUMERICAL EXAMPLE</t>
  </si>
  <si>
    <t>Country: Argentina | Technology: PWRHYDARGXX (Hydro) | Year: 2030</t>
  </si>
  <si>
    <t>Input Data:</t>
  </si>
  <si>
    <t xml:space="preserve">  • Generation_OLADE (2023) = 100 PJ</t>
  </si>
  <si>
    <t xml:space="preserve">  • Growth rate = 2% (0.02)</t>
  </si>
  <si>
    <t xml:space="preserve">  • Share_HYD = 40%</t>
  </si>
  <si>
    <t xml:space="preserve">  • ResidualCapacity = 2.5 GW</t>
  </si>
  <si>
    <t xml:space="preserve">  • TotalAnnualMaxCapacity = 3.0 GW</t>
  </si>
  <si>
    <t xml:space="preserve">  • CapacityToActivityUnit = 31.536</t>
  </si>
  <si>
    <t xml:space="preserve">  • AvailabilityFactor = 0.95</t>
  </si>
  <si>
    <t xml:space="preserve">  • CapacityFactor = 0.28</t>
  </si>
  <si>
    <t>Step 1: Calculate base LowerLimit</t>
  </si>
  <si>
    <t xml:space="preserve">  years_diff = 2030 - 2023 = 7</t>
  </si>
  <si>
    <t xml:space="preserve">  Generation_2030 = 100 × (1 + 0.02 × 7) = 114 PJ</t>
  </si>
  <si>
    <t xml:space="preserve">  LowerLimit = 114 × 0.40 = 45.6 PJ</t>
  </si>
  <si>
    <t>Step 2: Validate against capacity</t>
  </si>
  <si>
    <t xml:space="preserve">  Capacity = min(2.5, 3.0) = 2.5 GW  (ResidualCapacity is more restrictive)</t>
  </si>
  <si>
    <t xml:space="preserve">  MaxPossibleActivity = 2.5 × 31.536 × 0.95 × 0.28 = 20.95 PJ</t>
  </si>
  <si>
    <t xml:space="preserve">  MaxAllowed = 20.95 - 0.05 = 20.90 PJ</t>
  </si>
  <si>
    <t>Step 3: Apply validation</t>
  </si>
  <si>
    <t xml:space="preserve">  LowerLimit (45.6) &gt; MaxAllowed (20.90)  →  CAPPED!</t>
  </si>
  <si>
    <t xml:space="preserve">  Final LowerLimit = 20.90 PJ</t>
  </si>
  <si>
    <t xml:space="preserve">  Final UpperLimit = 20.90 × 1.05 = 21.945 PJ</t>
  </si>
  <si>
    <t>Note: This indicates additional capacity investment is needed to meet the demand target.</t>
  </si>
  <si>
    <t>OLADE CONFIGURATION</t>
  </si>
  <si>
    <t>Fill in the configuration below to automatically populate ResidualCapacity from OLADE data</t>
  </si>
  <si>
    <t>Configuration Parameter</t>
  </si>
  <si>
    <t>Value</t>
  </si>
  <si>
    <t>ResidualCapacitiesFromOLADE</t>
  </si>
  <si>
    <t>NO</t>
  </si>
  <si>
    <t>PetroleumSplitMode</t>
  </si>
  <si>
    <t>Split_PET_OIL</t>
  </si>
  <si>
    <t>DemandFromOLADE</t>
  </si>
  <si>
    <t>ActivityLowerLimitFromOLADE</t>
  </si>
  <si>
    <t>ActivityUpperLimitFromOLADE</t>
  </si>
  <si>
    <t>TradeBalanceDemandAdjustment</t>
  </si>
  <si>
    <t>InterconnectionsControl</t>
  </si>
  <si>
    <t>DETAILED DESCRIPTIONS AND FORMULAS</t>
  </si>
  <si>
    <t>1. ResidualCapacitiesFromOLADE</t>
  </si>
  <si>
    <t>Populates the ResidualCapacity parameter for PWR (power generation) technologies.</t>
  </si>
  <si>
    <t>DATA SOURCE:</t>
  </si>
  <si>
    <t xml:space="preserve">  File: 'OLADE - Capacidad instalada por fuente - Anual.xlsx'</t>
  </si>
  <si>
    <t xml:space="preserve">  Sheet: '1.2023' (or corresponding year)</t>
  </si>
  <si>
    <t xml:space="preserve">  Row 5: Country names</t>
  </si>
  <si>
    <t xml:space="preserve">  Rows 6-20: Technology capacities in MW</t>
  </si>
  <si>
    <t>FORMULA:</t>
  </si>
  <si>
    <t xml:space="preserve">  ResidualCapacity (GW) = OLADE_Capacity (MW) / 1000</t>
  </si>
  <si>
    <t>NOTES:</t>
  </si>
  <si>
    <t xml:space="preserve">  - Same flat capacity value is used for all model years</t>
  </si>
  <si>
    <t xml:space="preserve">  - Only applies to PWR technologies (power plants)</t>
  </si>
  <si>
    <t>2. PetroleumSplitMode</t>
  </si>
  <si>
    <t>Controls how petroleum-based generation is split between PET (Diesel) and OIL (Fuel oil).</t>
  </si>
  <si>
    <t>OPTIONS:</t>
  </si>
  <si>
    <t xml:space="preserve">  OIL_only: Assign all petroleum to OIL technology</t>
  </si>
  <si>
    <t xml:space="preserve">  Split_PET_OIL: Split using shares from Shares_PET_OIL_Split.xlsx</t>
  </si>
  <si>
    <t>DATA SOURCE (for Split_PET_OIL):</t>
  </si>
  <si>
    <t xml:space="preserve">  File: 'Shares_PET_OIL_Split.xlsx'</t>
  </si>
  <si>
    <t xml:space="preserve">  Sheets: SharesBAU, SharesNDC, SharesNDC_NoRPO, SharesNDC+ELC</t>
  </si>
  <si>
    <t xml:space="preserve">  Contains: Diesel, Fuel oil, Bunker shares by country and year</t>
  </si>
  <si>
    <t>FORMULA (Split_PET_OIL):</t>
  </si>
  <si>
    <t xml:space="preserve">  PET_share = Diesel_share</t>
  </si>
  <si>
    <t xml:space="preserve">  OIL_share = Fuel_oil_share + Bunker_share</t>
  </si>
  <si>
    <t>3. DemandFromOLADE</t>
  </si>
  <si>
    <t>Populates SpecifiedAnnualDemand in A-O_Demand.xlsx for electricity demand.</t>
  </si>
  <si>
    <t xml:space="preserve">  File: 'Generacion electrica por fuente - Anual - OLADE.xlsx'</t>
  </si>
  <si>
    <t xml:space="preserve">  Sheet: '1.2023'</t>
  </si>
  <si>
    <t xml:space="preserve">  Row 21: Total generation by country (GWh)</t>
  </si>
  <si>
    <t xml:space="preserve">  Reference year: 2023 (from cell A4)</t>
  </si>
  <si>
    <t xml:space="preserve">  Demand(year) = Generation_OLADE(PJ) x (1 + growth_rate x (year - 2023))</t>
  </si>
  <si>
    <t>UNIT CONVERSION:</t>
  </si>
  <si>
    <t xml:space="preserve">  1 GWh = 0.0036 PJ</t>
  </si>
  <si>
    <t xml:space="preserve">  Generation_PJ = Generation_GWh x 0.0036</t>
  </si>
  <si>
    <t>GROWTH RATES:</t>
  </si>
  <si>
    <t xml:space="preserve">  Configured per country in 'Demand_Growth' sheet (default: 2% annual)</t>
  </si>
  <si>
    <t>4. ActivityLowerLimitFromOLADE</t>
  </si>
  <si>
    <t>Populates TotalTechnologyAnnualActivityLowerLimit in A-O_Parametrization.xlsx.</t>
  </si>
  <si>
    <t>DATA SOURCES:</t>
  </si>
  <si>
    <t xml:space="preserve">  1. 'Generacion electrica por fuente - Anual - OLADE.xlsx' - Total generation</t>
  </si>
  <si>
    <t xml:space="preserve">  2. 'Shares_Power_Generation_Technologies.xlsx' - Technology shares by country/scenario/year</t>
  </si>
  <si>
    <t xml:space="preserve">  3. 'Renewability_Targets' sheet - Target renewable % by year (optional)</t>
  </si>
  <si>
    <t xml:space="preserve">  4. 'Technology_Weights' sheet - Custom tech distribution (optional)</t>
  </si>
  <si>
    <t xml:space="preserve">  LowerLimit(tech,year) = Generation_Total(PJ) x (1 + growth_rate x (year - 2023)) x Share(tech,year)</t>
  </si>
  <si>
    <t>SHARE CALCULATION:</t>
  </si>
  <si>
    <t xml:space="preserve">  - If Renewability_Targets defined: Interpolate shares to reach renewable % targets</t>
  </si>
  <si>
    <t xml:space="preserve">  - If not defined: Use shares directly from Shares_Power_Generation_Technologies.xlsx</t>
  </si>
  <si>
    <t>INTERPOLATION MODES (in Renewability_Targets):</t>
  </si>
  <si>
    <t xml:space="preserve">  - 'linear': Linear interpolation between base year and target years</t>
  </si>
  <si>
    <t xml:space="preserve">  - 'flat_step': Keep flat until target year, then step up (staircase)</t>
  </si>
  <si>
    <t>5. ActivityUpperLimitFromOLADE</t>
  </si>
  <si>
    <t>Populates TotalTechnologyAnnualActivityUpperLimit in A-O_Parametrization.xlsx.</t>
  </si>
  <si>
    <t>MODES:</t>
  </si>
  <si>
    <t xml:space="preserve">  NO            - No UpperLimit updates</t>
  </si>
  <si>
    <t xml:space="preserve">  YES_ALL       - Update UpperLimit for all technologies</t>
  </si>
  <si>
    <t xml:space="preserve">  EXISTING_ONLY - Only update technologies that already have UpperLimit values</t>
  </si>
  <si>
    <t xml:space="preserve">                  defined and Projection.Mode = 'User defined'</t>
  </si>
  <si>
    <t xml:space="preserve">  UpperLimit(tech,year) = LowerLimit(tech,year) × 1.05</t>
  </si>
  <si>
    <t xml:space="preserve">  - Can be enabled independently of LowerLimit</t>
  </si>
  <si>
    <t xml:space="preserve">  - The ×1.05 margin allows slight flexibility in the optimization</t>
  </si>
  <si>
    <t>6. ActivityLowerLimit Calculation Method</t>
  </si>
  <si>
    <t>Calculates TotalTechnologyAnnualActivityLowerLimit directly from projected demand and normalized shares.</t>
  </si>
  <si>
    <t>Only applies when ActivityLowerLimitFromOLADE = YES.</t>
  </si>
  <si>
    <t>CALCULATION METHOD:</t>
  </si>
  <si>
    <t xml:space="preserve">  Formula: LowerLimit[tech,year] = Demand[country,year] × Share_normalized[tech,year]</t>
  </si>
  <si>
    <t xml:space="preserve">  Step 1: Read projected demand from A-O_Demand.xlsx (SpecifiedAnnualDemand)</t>
  </si>
  <si>
    <t xml:space="preserve">  Step 2: Read % renewable from Renewability_Targets (with interpolation)</t>
  </si>
  <si>
    <t xml:space="preserve">  Step 3: Distribute % renewable among renewable fuels using OLADE generation weights</t>
  </si>
  <si>
    <t xml:space="preserve">  Step 4: Distribute % non-renewable among non-renewable fuels using OLADE generation weights</t>
  </si>
  <si>
    <t xml:space="preserve">  Step 5: Normalize all shares year-by-year to ensure Σ(shares) = 1.0</t>
  </si>
  <si>
    <t xml:space="preserve">  Step 6: For non-base scenarios, override years 2023-2025 with base scenario shares</t>
  </si>
  <si>
    <t xml:space="preserve">  Step 7: Calculate LowerLimit = Demand × Share for each technology/year</t>
  </si>
  <si>
    <t>REQUIREMENTS:</t>
  </si>
  <si>
    <t xml:space="preserve">  - ActivityLowerLimitFromOLADE must be YES</t>
  </si>
  <si>
    <t xml:space="preserve">  - A-O_Demand.xlsx must exist in the scenario output folder</t>
  </si>
  <si>
    <t xml:space="preserve">  - Renewability_Targets sheet must define % renewable targets</t>
  </si>
  <si>
    <t xml:space="preserve">  - OLADE generation data must be available for weight calculation</t>
  </si>
  <si>
    <t xml:space="preserve">  - base_scenario defined in Config_MOMF_T1_AB.yaml</t>
  </si>
  <si>
    <t>FUEL GROUPS:</t>
  </si>
  <si>
    <t xml:space="preserve">  Renewable: HYD, SPV, WON, GEO, BIO, CSP, WOF, WAV</t>
  </si>
  <si>
    <t xml:space="preserve">  Non-renewable: COA, NGS, OIL, PET, URN</t>
  </si>
  <si>
    <t xml:space="preserve">  Other (weight=0 if no OLADE data): BCK, CCS, COG, LDS, OTH, SDS, WAS</t>
  </si>
  <si>
    <t>BASE SCENARIO OVERRIDE:</t>
  </si>
  <si>
    <t xml:space="preserve">  - For all scenarios different from base_scenario (defined in Config_MOMF_T1_AB.yaml)</t>
  </si>
  <si>
    <t xml:space="preserve">  - Years 2023, 2024, 2025 use base scenario shares (policy effects start from 2026)</t>
  </si>
  <si>
    <t xml:space="preserve">  - This ensures realistic transition timing</t>
  </si>
  <si>
    <t>TECHNOLOGY MAPPING (OLADE -&gt; Model)</t>
  </si>
  <si>
    <t>RENEWABLE TECHNOLOGIES:</t>
  </si>
  <si>
    <t xml:space="preserve">  Biomasa         -&gt; BIO (Biomass)</t>
  </si>
  <si>
    <t xml:space="preserve">  Eolica          -&gt; WND (Wind)</t>
  </si>
  <si>
    <t xml:space="preserve">  Geotermica      -&gt; GEO (Geothermal)</t>
  </si>
  <si>
    <t xml:space="preserve">  Hidroelectrica  -&gt; HYD (Hydro)</t>
  </si>
  <si>
    <t xml:space="preserve">  Solar (GD + gran escala) -&gt; SPV (Solar PV)</t>
  </si>
  <si>
    <t>NON-RENEWABLE TECHNOLOGIES:</t>
  </si>
  <si>
    <t xml:space="preserve">  Carbon          -&gt; COA (Coal)</t>
  </si>
  <si>
    <t xml:space="preserve">  Diesel          -&gt; PET (Petroleum/Diesel)</t>
  </si>
  <si>
    <t xml:space="preserve">  Gas natural     -&gt; NGS (Natural Gas)</t>
  </si>
  <si>
    <t xml:space="preserve">  Nuclear         -&gt; URN (Uranium/Nuclear)</t>
  </si>
  <si>
    <t xml:space="preserve">  Fuel oil + Bunker -&gt; OIL (Oil/Fuel oil)</t>
  </si>
  <si>
    <t>7. InterconnectionsControl</t>
  </si>
  <si>
    <t>Controls ON/OFF state of TRN (transmission interconnection) technologies.</t>
  </si>
  <si>
    <t>Each interconnection is bidirectional and can be toggled per direction.</t>
  </si>
  <si>
    <t>WHEN ENABLED (InterconnectionsControl = YES):</t>
  </si>
  <si>
    <t xml:space="preserve">  The 'Interconnections' sheet controls each direction independently.</t>
  </si>
  <si>
    <t xml:space="preserve">  Changes are applied to both A-O_AR_Model_Base_Year.xlsx and A-O_AR_Projections.xlsx.</t>
  </si>
  <si>
    <t>OFF DIRECTION:</t>
  </si>
  <si>
    <t xml:space="preserve">  - Base Year: Value.Fuel.I = 0, Value.Fuel.O = 0</t>
  </si>
  <si>
    <t xml:space="preserve">  - Projections: Projection.Mode = 'EMPTY'</t>
  </si>
  <si>
    <t>ON DIRECTION:</t>
  </si>
  <si>
    <t xml:space="preserve">  - Base Year: Value.Fuel.I = 1, Value.Fuel.O = 1</t>
  </si>
  <si>
    <t xml:space="preserve">  - Projections: Projection.Mode = 'User defined'</t>
  </si>
  <si>
    <t>NOTE: Year values in Projections (efficiency/loss factors) are NOT modified.</t>
  </si>
  <si>
    <t>ELECTRICITY DEMAND GROWTH RATES</t>
  </si>
  <si>
    <t>Configure the annual linear growth rate (%) for each country's electricity demand</t>
  </si>
  <si>
    <t>Country Code</t>
  </si>
  <si>
    <t>Country Name</t>
  </si>
  <si>
    <t>Growth Rate (%)</t>
  </si>
  <si>
    <t>ARG</t>
  </si>
  <si>
    <t>Argentina</t>
  </si>
  <si>
    <t>BOL</t>
  </si>
  <si>
    <t>Bolivia</t>
  </si>
  <si>
    <t>BRA</t>
  </si>
  <si>
    <t>Brazil</t>
  </si>
  <si>
    <t>BRB</t>
  </si>
  <si>
    <t>Barbados</t>
  </si>
  <si>
    <t>CHL</t>
  </si>
  <si>
    <t>Chile</t>
  </si>
  <si>
    <t>COL</t>
  </si>
  <si>
    <t>Colombia</t>
  </si>
  <si>
    <t>CRI</t>
  </si>
  <si>
    <t>Costa Rica</t>
  </si>
  <si>
    <t>DOM</t>
  </si>
  <si>
    <t>Dominican Republic</t>
  </si>
  <si>
    <t>ECU</t>
  </si>
  <si>
    <t>Ecuador</t>
  </si>
  <si>
    <t>GTM</t>
  </si>
  <si>
    <t>Guatemala</t>
  </si>
  <si>
    <t>HND</t>
  </si>
  <si>
    <t>Honduras</t>
  </si>
  <si>
    <t>HTI</t>
  </si>
  <si>
    <t>Haiti</t>
  </si>
  <si>
    <t>MEX</t>
  </si>
  <si>
    <t>Mexico</t>
  </si>
  <si>
    <t>NIC</t>
  </si>
  <si>
    <t>Nicaragua</t>
  </si>
  <si>
    <t>PAN</t>
  </si>
  <si>
    <t>Panama</t>
  </si>
  <si>
    <t>PER</t>
  </si>
  <si>
    <t>Peru</t>
  </si>
  <si>
    <t>PRY</t>
  </si>
  <si>
    <t>Paraguay</t>
  </si>
  <si>
    <t>SLV</t>
  </si>
  <si>
    <t>El Salvador</t>
  </si>
  <si>
    <t>URY</t>
  </si>
  <si>
    <t>Uruguay</t>
  </si>
  <si>
    <t>Note: Growth rate is applied linearly from the OLADE reference year (2023).</t>
  </si>
  <si>
    <t>Formula: Demand(year) = Demand(2023) × (1 + rate × (year - 2023))</t>
  </si>
  <si>
    <t>SCENARIO-SPECIFIC DEMAND GROWTH ADJUSTMENTS</t>
  </si>
  <si>
    <t>Define percentage adjustments to electricity demand for each scenario (excluding base scenario 'BAU').</t>
  </si>
  <si>
    <t>Each percentage is applied INDEPENDENTLY to the base demand of that year (not cumulative).</t>
  </si>
  <si>
    <t>Country</t>
  </si>
  <si>
    <t>Scenario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</si>
  <si>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</si>
  <si>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</si>
  <si>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</si>
  <si>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</si>
  <si>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</si>
  <si>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</si>
  <si>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</si>
  <si>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</si>
  <si>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</si>
  <si>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</si>
  <si>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</si>
  <si>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</si>
  <si>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</si>
  <si>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</si>
  <si>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</si>
  <si>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</si>
  <si>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</si>
  <si>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</si>
  <si>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</si>
  <si>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</si>
  <si>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</si>
  <si>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</si>
  <si>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</si>
  <si>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</si>
  <si>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</si>
  <si>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</si>
  <si>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</si>
  <si>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</si>
  <si>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NDC</t>
  </si>
  <si>
    <t>NDC+ELC</t>
  </si>
  <si>
    <t>NDC_NoRPO</t>
  </si>
  <si>
    <t>HOW IT WORKS:</t>
  </si>
  <si>
    <t>Base Scenario: 'BAU' uses the demand growth rates from the 'Demand_Growth' sheet</t>
  </si>
  <si>
    <t>Other Scenarios: Apply additional percentage adjustments defined in this sheet</t>
  </si>
  <si>
    <t>CALCULATION METHOD (Independent, Non-Cumulative):</t>
  </si>
  <si>
    <t xml:space="preserve">  Demand(scenario, year) = Base_Demand(BAU, year) × (1 + adjustment_percentage)</t>
  </si>
  <si>
    <t>EXAMPLE:</t>
  </si>
  <si>
    <t xml:space="preserve">  If BAU demand in 2030 is 100 PJ and you set +5% for NDC in 2030:</t>
  </si>
  <si>
    <t xml:space="preserve">    → NDC demand in 2030 = 100 × (1 + 0.05) = 105 PJ</t>
  </si>
  <si>
    <t xml:space="preserve">  If you set -3% for 2035:</t>
  </si>
  <si>
    <t xml:space="preserve">    → NDC demand in 2035 = Base_Demand(BAU, 2035) × (1 - 0.03)</t>
  </si>
  <si>
    <t xml:space="preserve">  Each year's percentage is independent and applies to that year's base demand only</t>
  </si>
  <si>
    <t>USE CASES:</t>
  </si>
  <si>
    <t xml:space="preserve">  - Electric vehicle adoption scenarios (increases demand)</t>
  </si>
  <si>
    <t xml:space="preserve">  - Energy efficiency improvements (decreases demand)</t>
  </si>
  <si>
    <t xml:space="preserve">  - Different economic growth assumptions</t>
  </si>
  <si>
    <t xml:space="preserve">  - Positive percentages increase demand, negative percentages decrease demand</t>
  </si>
  <si>
    <t xml:space="preserve">  - Default is 0% (same as base scenario)</t>
  </si>
  <si>
    <t xml:space="preserve">  - Base scenario 'BAU' is excluded from this sheet</t>
  </si>
  <si>
    <t>RENEWABILITY TARGETS</t>
  </si>
  <si>
    <t>Define the target percentage of RENEWABLE generation for each country/scenario.</t>
  </si>
  <si>
    <t>Base year is 2023 (from OLADE data). Only define targets for years where you want to set a specific renewable %.</t>
  </si>
  <si>
    <t>Interpolation</t>
  </si>
  <si>
    <t>BAU</t>
  </si>
  <si>
    <t>flat_step</t>
  </si>
  <si>
    <t>1. Base year (2023): Uses actual renewable % from OLADE/Shares_Power_Generation_Technologies.xlsx data</t>
  </si>
  <si>
    <t>2. Target years: Define your desired renewable % in specific years (e.g., 50% in 2030, 70% in 2040)</t>
  </si>
  <si>
    <t>3. Empty cells: Values are interpolated based on the interpolation mode selected</t>
  </si>
  <si>
    <t>INTERPOLATION MODES:</t>
  </si>
  <si>
    <t xml:space="preserve">  - linear: Smooth linear progression from base year to each target year</t>
  </si>
  <si>
    <t xml:space="preserve">  - flat_step: Keep flat at previous value until target year, then jump to new value (staircase)</t>
  </si>
  <si>
    <t>RENEWABLE SOURCES (summed for renewable %):</t>
  </si>
  <si>
    <t xml:space="preserve">  HYD (Hydro), SPV (Solar), WND (Wind), GEO (Geothermal), BIO (Biomass)</t>
  </si>
  <si>
    <t>EXAMPLE: If base year has 40% renewable and you set 60% for 2030:</t>
  </si>
  <si>
    <t xml:space="preserve">  - linear: 40%(2023) -&gt; 44%(2025) -&gt; 48%(2027) -&gt; 52%(2029) -&gt; 60%(2030)</t>
  </si>
  <si>
    <t xml:space="preserve">  - flat_step: 40%(2023-2029) -&gt; 60%(2030+)</t>
  </si>
  <si>
    <t>TECHNOLOGY WEIGHTS (OPTIONAL)</t>
  </si>
  <si>
    <t>*** THIS SHEET IS OPTIONAL - LEAVE EMPTY TO USE DEFAULT BEHAVIOR ***</t>
  </si>
  <si>
    <t>DEFAULT BEHAVIOR (when this sheet is empty):</t>
  </si>
  <si>
    <t xml:space="preserve">  The renewable % target is distributed PROPORTIONALLY based on each technology's share in OLADE base year data.</t>
  </si>
  <si>
    <t xml:space="preserve">  Example: If OLADE shows HYD=60%, SPV=25%, WND=10%, GEO=3%, BIO=2% and you set 70% renewable target:</t>
  </si>
  <si>
    <t xml:space="preserve">    -&gt; HYD gets 70% x (60/100) = 42%, SPV gets 70% x (25/100) = 17.5%, etc.</t>
  </si>
  <si>
    <t xml:space="preserve">  Non-renewable technologies are also distributed proportionally within the remaining (1 - renewable%) share.</t>
  </si>
  <si>
    <t>RENEWABLE</t>
  </si>
  <si>
    <t>NON-RENEWABLE</t>
  </si>
  <si>
    <t>HYD</t>
  </si>
  <si>
    <t>SPV</t>
  </si>
  <si>
    <t>WND</t>
  </si>
  <si>
    <t>GEO</t>
  </si>
  <si>
    <t>BIO</t>
  </si>
  <si>
    <t>COA</t>
  </si>
  <si>
    <t>PET</t>
  </si>
  <si>
    <t>NGS</t>
  </si>
  <si>
    <t>URN</t>
  </si>
  <si>
    <t>OIL</t>
  </si>
  <si>
    <t>WHEN TO USE THIS SHEET:</t>
  </si>
  <si>
    <t>Only fill this sheet if you want to OVERRIDE the default proportional distribution.</t>
  </si>
  <si>
    <t>For example, if you want Solar to grow faster than its historical proportion suggests.</t>
  </si>
  <si>
    <t>RULES FOR WEIGHTS:</t>
  </si>
  <si>
    <t xml:space="preserve">  - Renewable weights (HYD+SPV+WND+GEO+BIO) must sum to 1.0</t>
  </si>
  <si>
    <t xml:space="preserve">  - Non-renewable weights (COA+PET+NGS+URN+OIL) must sum to 1.0</t>
  </si>
  <si>
    <t xml:space="preserve">  - The renewable % from Renewability_Targets determines how much goes to each group</t>
  </si>
  <si>
    <t>TECHNOLOGY CODES (same as OLADE sources):</t>
  </si>
  <si>
    <t xml:space="preserve">  RENEWABLE: HYD=Hidroelectrica, SPV=Solar, WND=Eolica, GEO=Geotermica, BIO=Biomasa</t>
  </si>
  <si>
    <t xml:space="preserve">  NON-RENEWABLE: COA=Carbon, PET=Diesel, NGS=Gas natural, URN=Nuclear, OIL=Fuel oil+Bunker</t>
  </si>
  <si>
    <t xml:space="preserve">  If Renewability_Targets says 60% renewable for 2030, and you set weights:</t>
  </si>
  <si>
    <t xml:space="preserve">    HYD=0.40, SPV=0.35, WND=0.20, GEO=0.03, BIO=0.02 (sum=1.0)</t>
  </si>
  <si>
    <t xml:space="preserve">    COA=0.10, PET=0.15, NGS=0.60, URN=0.10, OIL=0.05 (sum=1.0)</t>
  </si>
  <si>
    <t xml:space="preserve">  Then for 2030: HYD=60%x0.40=24%, SPV=60%x0.35=21%, NGS=40%x0.60=24%, etc.</t>
  </si>
  <si>
    <t>Tech.Name</t>
  </si>
  <si>
    <t>Tech</t>
  </si>
  <si>
    <t>Parameter</t>
  </si>
  <si>
    <t>INTERCONNECTION CONTROLS</t>
  </si>
  <si>
    <t>Toggle ON/OFF each direction of TRN interconnection technologies. Requires InterconnectionsControl = YES in OLADE_Config.</t>
  </si>
  <si>
    <t>Technology</t>
  </si>
  <si>
    <t>Direction</t>
  </si>
  <si>
    <t>Mode</t>
  </si>
  <si>
    <t>Status</t>
  </si>
  <si>
    <t>Description</t>
  </si>
  <si>
    <t>TRNARGXXBOLXX</t>
  </si>
  <si>
    <t>ARG-XX -&gt; BOL-XX</t>
  </si>
  <si>
    <t>ON</t>
  </si>
  <si>
    <t>ELCARGXX02 -&gt; ELCBOLXX01</t>
  </si>
  <si>
    <t>BOL-XX -&gt; ARG-XX</t>
  </si>
  <si>
    <t>ELCBOLXX02 -&gt; ELCARGXX01</t>
  </si>
  <si>
    <t>TRNARGXXBRAXX</t>
  </si>
  <si>
    <t>ARG-XX -&gt; BRA-XX</t>
  </si>
  <si>
    <t>ELCARGXX02 -&gt; ELCBRAXX01</t>
  </si>
  <si>
    <t>BRA-XX -&gt; ARG-XX</t>
  </si>
  <si>
    <t>ELCBRAXX02 -&gt; ELCARGXX01</t>
  </si>
  <si>
    <t>TRNARGXXCHLXX</t>
  </si>
  <si>
    <t>ARG-XX -&gt; CHL-XX</t>
  </si>
  <si>
    <t>ELCARGXX02 -&gt; ELCCHLXX01</t>
  </si>
  <si>
    <t>CHL-XX -&gt; ARG-XX</t>
  </si>
  <si>
    <t>ELCCHLXX02 -&gt; ELCARGXX01</t>
  </si>
  <si>
    <t>TRNARGXXPRYXX</t>
  </si>
  <si>
    <t>ARG-XX -&gt; PRY-XX</t>
  </si>
  <si>
    <t>ELCARGXX02 -&gt; ELCPRYXX01</t>
  </si>
  <si>
    <t>PRY-XX -&gt; ARG-XX</t>
  </si>
  <si>
    <t>ELCPRYXX02 -&gt; ELCARGXX01</t>
  </si>
  <si>
    <t>TRNARGXXURYXX</t>
  </si>
  <si>
    <t>ARG-XX -&gt; URY-XX</t>
  </si>
  <si>
    <t>ELCARGXX02 -&gt; ELCURYXX01</t>
  </si>
  <si>
    <t>URY-XX -&gt; ARG-XX</t>
  </si>
  <si>
    <t>ELCURYXX02 -&gt; ELCARGXX01</t>
  </si>
  <si>
    <t>TRNBOLXXBRAXX</t>
  </si>
  <si>
    <t>BOL-XX -&gt; BRA-XX</t>
  </si>
  <si>
    <t>ELCBOLXX02 -&gt; ELCBRAXX01</t>
  </si>
  <si>
    <t>BRA-XX -&gt; BOL-XX</t>
  </si>
  <si>
    <t>ELCBRAXX02 -&gt; ELCBOLXX01</t>
  </si>
  <si>
    <t>TRNBOLXXCHLXX</t>
  </si>
  <si>
    <t>BOL-XX -&gt; CHL-XX</t>
  </si>
  <si>
    <t>ELCBOLXX02 -&gt; ELCCHLXX01</t>
  </si>
  <si>
    <t>CHL-XX -&gt; BOL-XX</t>
  </si>
  <si>
    <t>ELCCHLXX02 -&gt; ELCBOLXX01</t>
  </si>
  <si>
    <t>TRNBOLXXPERXX</t>
  </si>
  <si>
    <t>BOL-XX -&gt; PER-XX</t>
  </si>
  <si>
    <t>ELCBOLXX02 -&gt; ELCPERXX01</t>
  </si>
  <si>
    <t>PER-XX -&gt; BOL-XX</t>
  </si>
  <si>
    <t>ELCPERXX02 -&gt; ELCBOLXX01</t>
  </si>
  <si>
    <t>TRNBOLXXPRYXX</t>
  </si>
  <si>
    <t>BOL-XX -&gt; PRY-XX</t>
  </si>
  <si>
    <t>ELCBOLXX02 -&gt; ELCPRYXX01</t>
  </si>
  <si>
    <t>PRY-XX -&gt; BOL-XX</t>
  </si>
  <si>
    <t>ELCPRYXX02 -&gt; ELCBOLXX01</t>
  </si>
  <si>
    <t>TRNBRAXXCOLXX</t>
  </si>
  <si>
    <t>BRA-XX -&gt; COL-XX</t>
  </si>
  <si>
    <t>ELCBRAXX02 -&gt; ELCCOLXX01</t>
  </si>
  <si>
    <t>COL-XX -&gt; BRA-XX</t>
  </si>
  <si>
    <t>ELCCOLXX02 -&gt; ELCBRAXX01</t>
  </si>
  <si>
    <t>TRNBRAXXPERXX</t>
  </si>
  <si>
    <t>BRA-XX -&gt; PER-XX</t>
  </si>
  <si>
    <t>ELCBRAXX02 -&gt; ELCPERXX01</t>
  </si>
  <si>
    <t>PER-XX -&gt; BRA-XX</t>
  </si>
  <si>
    <t>ELCPERXX02 -&gt; ELCBRAXX01</t>
  </si>
  <si>
    <t>TRNBRAXXPRYXX</t>
  </si>
  <si>
    <t>BRA-XX -&gt; PRY-XX</t>
  </si>
  <si>
    <t>ELCBRAXX02 -&gt; ELCPRYXX01</t>
  </si>
  <si>
    <t>PRY-XX -&gt; BRA-XX</t>
  </si>
  <si>
    <t>ELCPRYXX02 -&gt; ELCBRAXX01</t>
  </si>
  <si>
    <t>TRNBRAXXURYXX</t>
  </si>
  <si>
    <t>BRA-XX -&gt; URY-XX</t>
  </si>
  <si>
    <t>ELCBRAXX02 -&gt; ELCURYXX01</t>
  </si>
  <si>
    <t>URY-XX -&gt; BRA-XX</t>
  </si>
  <si>
    <t>ELCURYXX02 -&gt; ELCBRAXX01</t>
  </si>
  <si>
    <t>TRNCHLXXPERXX</t>
  </si>
  <si>
    <t>CHL-XX -&gt; PER-XX</t>
  </si>
  <si>
    <t>ELCCHLXX02 -&gt; ELCPERXX01</t>
  </si>
  <si>
    <t>PER-XX -&gt; CHL-XX</t>
  </si>
  <si>
    <t>ELCPERXX02 -&gt; ELCCHLXX01</t>
  </si>
  <si>
    <t>TRNCOLXXECUXX</t>
  </si>
  <si>
    <t>COL-XX -&gt; ECU-XX</t>
  </si>
  <si>
    <t>ELCCOLXX02 -&gt; ELCECUXX01</t>
  </si>
  <si>
    <t>ECU-XX -&gt; COL-XX</t>
  </si>
  <si>
    <t>ELCECUXX02 -&gt; ELCCOLXX01</t>
  </si>
  <si>
    <t>TRNCOLXXPANXX</t>
  </si>
  <si>
    <t>COL-XX -&gt; PAN-XX</t>
  </si>
  <si>
    <t>ELCCOLXX02 -&gt; ELCPANXX01</t>
  </si>
  <si>
    <t>PAN-XX -&gt; COL-XX</t>
  </si>
  <si>
    <t>ELCPANXX02 -&gt; ELCCOLXX01</t>
  </si>
  <si>
    <t>TRNCOLXXPERXX</t>
  </si>
  <si>
    <t>COL-XX -&gt; PER-XX</t>
  </si>
  <si>
    <t>ELCCOLXX02 -&gt; ELCPERXX01</t>
  </si>
  <si>
    <t>PER-XX -&gt; COL-XX</t>
  </si>
  <si>
    <t>ELCPERXX02 -&gt; ELCCOLXX01</t>
  </si>
  <si>
    <t>TRNCRIXXNICXX</t>
  </si>
  <si>
    <t>CRI-XX -&gt; NIC-XX</t>
  </si>
  <si>
    <t>ELCCRIXX02 -&gt; ELCNICXX01</t>
  </si>
  <si>
    <t>NIC-XX -&gt; CRI-XX</t>
  </si>
  <si>
    <t>ELCNICXX02 -&gt; ELCCRIXX01</t>
  </si>
  <si>
    <t>TRNCRIXXPANXX</t>
  </si>
  <si>
    <t>CRI-XX -&gt; PAN-XX</t>
  </si>
  <si>
    <t>ELCCRIXX02 -&gt; ELCPANXX01</t>
  </si>
  <si>
    <t>PAN-XX -&gt; CRI-XX</t>
  </si>
  <si>
    <t>ELCPANXX02 -&gt; ELCCRIXX01</t>
  </si>
  <si>
    <t>TRNDOMXXHTIXX</t>
  </si>
  <si>
    <t>DOM-XX -&gt; HTI-XX</t>
  </si>
  <si>
    <t>ELCDOMXX02 -&gt; ELCHTIXX01</t>
  </si>
  <si>
    <t>HTI-XX -&gt; DOM-XX</t>
  </si>
  <si>
    <t>ELCHTIXX02 -&gt; ELCDOMXX01</t>
  </si>
  <si>
    <t>TRNECUXXPERXX</t>
  </si>
  <si>
    <t>ECU-XX -&gt; PER-XX</t>
  </si>
  <si>
    <t>ELCECUXX02 -&gt; ELCPERXX01</t>
  </si>
  <si>
    <t>PER-XX -&gt; ECU-XX</t>
  </si>
  <si>
    <t>ELCPERXX02 -&gt; ELCECUXX01</t>
  </si>
  <si>
    <t>TRNGTMXXHNDXX</t>
  </si>
  <si>
    <t>GTM-XX -&gt; HND-XX</t>
  </si>
  <si>
    <t>ELCGTMXX02 -&gt; ELCHNDXX01</t>
  </si>
  <si>
    <t>HND-XX -&gt; GTM-XX</t>
  </si>
  <si>
    <t>ELCHNDXX02 -&gt; ELCGTMXX01</t>
  </si>
  <si>
    <t>TRNGTMXXMEXXX</t>
  </si>
  <si>
    <t>GTM-XX -&gt; MEX-XX</t>
  </si>
  <si>
    <t>ELCGTMXX02 -&gt; ELCMEXXX01</t>
  </si>
  <si>
    <t>MEX-XX -&gt; GTM-XX</t>
  </si>
  <si>
    <t>ELCMEXXX02 -&gt; ELCGTMXX01</t>
  </si>
  <si>
    <t>TRNGTMXXSLVXX</t>
  </si>
  <si>
    <t>GTM-XX -&gt; SLV-XX</t>
  </si>
  <si>
    <t>ELCGTMXX02 -&gt; ELCSLVXX01</t>
  </si>
  <si>
    <t>SLV-XX -&gt; GTM-XX</t>
  </si>
  <si>
    <t>ELCSLVXX02 -&gt; ELCGTMXX01</t>
  </si>
  <si>
    <t>TRNHNDXXNICXX</t>
  </si>
  <si>
    <t>HND-XX -&gt; NIC-XX</t>
  </si>
  <si>
    <t>ELCHNDXX02 -&gt; ELCNICXX01</t>
  </si>
  <si>
    <t>NIC-XX -&gt; HND-XX</t>
  </si>
  <si>
    <t>ELCNICXX02 -&gt; ELCHNDXX01</t>
  </si>
  <si>
    <t>TRNHNDXXSLVXX</t>
  </si>
  <si>
    <t>HND-XX -&gt; SLV-XX</t>
  </si>
  <si>
    <t>ELCHNDXX02 -&gt; ELCSLVXX01</t>
  </si>
  <si>
    <t>SLV-XX -&gt; HND-XX</t>
  </si>
  <si>
    <t>ELCSLVXX02 -&gt; ELCHNDXX01</t>
  </si>
  <si>
    <t xml:space="preserve">  - ON: InputActivityRatio=1, OutputActivityRatio=1, Projection.Mode='User defined'</t>
  </si>
  <si>
    <t xml:space="preserve">  - OFF: InputActivityRatio=0, OutputActivityRatio=0, Projection.Mode='EMPTY'</t>
  </si>
  <si>
    <t xml:space="preserve">  - Changes are applied to A-O_AR_Model_Base_Year.xlsx and A-O_AR_Projections.xlsx</t>
  </si>
  <si>
    <t xml:space="preserve">  - All scenario folders are updated</t>
  </si>
  <si>
    <t>NOTE: Year values in Projections (efficiency/loss factors) are NOT modified by this control.</t>
  </si>
  <si>
    <t>ALL</t>
  </si>
  <si>
    <t>Backstop (Power generator) Argentina, region XX</t>
  </si>
  <si>
    <t>Backstop (Power generator) Barbados, region XX</t>
  </si>
  <si>
    <t>Backstop (Power generator) Bolivia, region XX</t>
  </si>
  <si>
    <t>Backstop (Power generator) Brazil, region XX</t>
  </si>
  <si>
    <t>Backstop (Power generator) Chile, region XX</t>
  </si>
  <si>
    <t>Backstop (Power generator) Colombia, region XX</t>
  </si>
  <si>
    <t>Backstop (Power generator) Costa Rica, region XX</t>
  </si>
  <si>
    <t>Backstop (Power generator) Dominican Republic, region XX</t>
  </si>
  <si>
    <t>Backstop (Power generator) Ecuador, region XX</t>
  </si>
  <si>
    <t>Backstop (Power generator) El Salvador, region XX</t>
  </si>
  <si>
    <t>Backstop (Power generator) Guatemala, region XX</t>
  </si>
  <si>
    <t>Backstop (Power generator) Haiti, region XX</t>
  </si>
  <si>
    <t>Backstop (Power generator) Honduras, region XX</t>
  </si>
  <si>
    <t>Backstop (Power generator) Mexico, region XX</t>
  </si>
  <si>
    <t>Backstop (Power generator) Nicaragua, region XX</t>
  </si>
  <si>
    <t>Backstop (Power generator) Panama, region XX</t>
  </si>
  <si>
    <t>Backstop (Power generator) Paraguay, region XX</t>
  </si>
  <si>
    <t>Backstop (Power generator) Peru, region XX</t>
  </si>
  <si>
    <t>Backstop (Power generator) Uruguay, region XX</t>
  </si>
  <si>
    <t>Biomass (Power generator) Argentina, region XX</t>
  </si>
  <si>
    <t>Biomass (Power generator) Barbados, region XX</t>
  </si>
  <si>
    <t>Biomass (Power generator) Bolivia, region XX</t>
  </si>
  <si>
    <t>Biomass (Power generator) Brazil, region XX</t>
  </si>
  <si>
    <t>Biomass (Power generator) Chile, region XX</t>
  </si>
  <si>
    <t>Biomass (Power generator) Colombia, region XX</t>
  </si>
  <si>
    <t>Biomass (Power generator) Costa Rica, region XX</t>
  </si>
  <si>
    <t>Biomass (Power generator) Dominican Republic, region XX</t>
  </si>
  <si>
    <t>Biomass (Power generator) Ecuador, region XX</t>
  </si>
  <si>
    <t>Biomass (Power generator) El Salvador, region XX</t>
  </si>
  <si>
    <t>Biomass (Power generator) Guatemala, region XX</t>
  </si>
  <si>
    <t>Biomass (Power generator) Haiti, region XX</t>
  </si>
  <si>
    <t>Biomass (Power generator) Honduras, region XX</t>
  </si>
  <si>
    <t>Biomass (Power generator) Mexico, region XX</t>
  </si>
  <si>
    <t>Biomass (Power generator) Nicaragua, region XX</t>
  </si>
  <si>
    <t>Biomass (Power generator) Panama, region XX</t>
  </si>
  <si>
    <t>Biomass (Power generator) Paraguay, region XX</t>
  </si>
  <si>
    <t>Biomass (Power generator) Peru, region XX</t>
  </si>
  <si>
    <t>Biomass (Power generator) Uruguay, region XX</t>
  </si>
  <si>
    <t>Carbon Capture Storage with Coal (Power generator) Argentina, region XX</t>
  </si>
  <si>
    <t>Carbon Capture Storage with Coal (Power generator) Barbados, region XX</t>
  </si>
  <si>
    <t>Carbon Capture Storage with Coal (Power generator) Bolivia, region XX</t>
  </si>
  <si>
    <t>Carbon Capture Storage with Coal (Power generator) Brazil, region XX</t>
  </si>
  <si>
    <t>Carbon Capture Storage with Coal (Power generator) Chile, region XX</t>
  </si>
  <si>
    <t>Carbon Capture Storage with Coal (Power generator) Colombia, region XX</t>
  </si>
  <si>
    <t>Carbon Capture Storage with Coal (Power generator) Costa Rica, region XX</t>
  </si>
  <si>
    <t>Carbon Capture Storage with Coal (Power generator) Dominican Republic, region XX</t>
  </si>
  <si>
    <t>Carbon Capture Storage with Coal (Power generator) Ecuador, region XX</t>
  </si>
  <si>
    <t>Carbon Capture Storage with Coal (Power generator) El Salvador, region XX</t>
  </si>
  <si>
    <t>Carbon Capture Storage with Coal (Power generator) Guatemala, region XX</t>
  </si>
  <si>
    <t>Carbon Capture Storage with Coal (Power generator) Haiti, region XX</t>
  </si>
  <si>
    <t>Carbon Capture Storage with Coal (Power generator) Honduras, region XX</t>
  </si>
  <si>
    <t>Carbon Capture Storage with Coal (Power generator) Mexico, region XX</t>
  </si>
  <si>
    <t>Carbon Capture Storage with Coal (Power generator) Nicaragua, region XX</t>
  </si>
  <si>
    <t>Carbon Capture Storage with Coal (Power generator) Panama, region XX</t>
  </si>
  <si>
    <t>Carbon Capture Storage with Coal (Power generator) Paraguay, region XX</t>
  </si>
  <si>
    <t>Carbon Capture Storage with Coal (Power generator) Peru, region XX</t>
  </si>
  <si>
    <t>Carbon Capture Storage with Coal (Power generator) Uruguay, region XX</t>
  </si>
  <si>
    <t>Coal (Power generator) Argentina, region XX</t>
  </si>
  <si>
    <t>Coal (Power generator) Barbados, region XX</t>
  </si>
  <si>
    <t>Coal (Power generator) Bolivia, region XX</t>
  </si>
  <si>
    <t>Coal (Power generator) Brazil, region XX</t>
  </si>
  <si>
    <t>Coal (Power generator) Chile, region XX</t>
  </si>
  <si>
    <t>Coal (Power generator) Colombia, region XX</t>
  </si>
  <si>
    <t>Coal (Power generator) Costa Rica, region XX</t>
  </si>
  <si>
    <t>Coal (Power generator) Dominican Republic, region XX</t>
  </si>
  <si>
    <t>Coal (Power generator) Ecuador, region XX</t>
  </si>
  <si>
    <t>Coal (Power generator) El Salvador, region XX</t>
  </si>
  <si>
    <t>Coal (Power generator) Guatemala, region XX</t>
  </si>
  <si>
    <t>Coal (Power generator) Haiti, region XX</t>
  </si>
  <si>
    <t>Coal (Power generator) Honduras, region XX</t>
  </si>
  <si>
    <t>Coal (Power generator) Mexico, region XX</t>
  </si>
  <si>
    <t>Coal (Power generator) Nicaragua, region XX</t>
  </si>
  <si>
    <t>Coal (Power generator) Panama, region XX</t>
  </si>
  <si>
    <t>Coal (Power generator) Paraguay, region XX</t>
  </si>
  <si>
    <t>Coal (Power generator) Peru, region XX</t>
  </si>
  <si>
    <t>Coal (Power generator) Uruguay, region XX</t>
  </si>
  <si>
    <t>Cogeneration (Power generator) Argentina, region XX</t>
  </si>
  <si>
    <t>Cogeneration (Power generator) Barbados, region XX</t>
  </si>
  <si>
    <t>Cogeneration (Power generator) Bolivia, region XX</t>
  </si>
  <si>
    <t>Cogeneration (Power generator) Brazil, region XX</t>
  </si>
  <si>
    <t>Cogeneration (Power generator) Chile, region XX</t>
  </si>
  <si>
    <t>Cogeneration (Power generator) Colombia, region XX</t>
  </si>
  <si>
    <t>Cogeneration (Power generator) Costa Rica, region XX</t>
  </si>
  <si>
    <t>Cogeneration (Power generator) Dominican Republic, region XX</t>
  </si>
  <si>
    <t>Cogeneration (Power generator) Ecuador, region XX</t>
  </si>
  <si>
    <t>Cogeneration (Power generator) El Salvador, region XX</t>
  </si>
  <si>
    <t>Cogeneration (Power generator) Guatemala, region XX</t>
  </si>
  <si>
    <t>Cogeneration (Power generator) Haiti, region XX</t>
  </si>
  <si>
    <t>Cogeneration (Power generator) Honduras, region XX</t>
  </si>
  <si>
    <t>Cogeneration (Power generator) Mexico, region XX</t>
  </si>
  <si>
    <t>Cogeneration (Power generator) Nicaragua, region XX</t>
  </si>
  <si>
    <t>Cogeneration (Power generator) Panama, region XX</t>
  </si>
  <si>
    <t>Cogeneration (Power generator) Paraguay, region XX</t>
  </si>
  <si>
    <t>Cogeneration (Power generator) Peru, region XX</t>
  </si>
  <si>
    <t>Cogeneration (Power generator) Uruguay, region XX</t>
  </si>
  <si>
    <t>Concentrated Solar Power (Power generator) Argentina, region XX</t>
  </si>
  <si>
    <t>Concentrated Solar Power (Power generator) Barbados, region XX</t>
  </si>
  <si>
    <t>Concentrated Solar Power (Power generator) Bolivia, region XX</t>
  </si>
  <si>
    <t>Concentrated Solar Power (Power generator) Brazil, region XX</t>
  </si>
  <si>
    <t>Concentrated Solar Power (Power generator) Chile, region XX</t>
  </si>
  <si>
    <t>Concentrated Solar Power (Power generator) Colombia, region XX</t>
  </si>
  <si>
    <t>Concentrated Solar Power (Power generator) Costa Rica, region XX</t>
  </si>
  <si>
    <t>Concentrated Solar Power (Power generator) Dominican Republic, region XX</t>
  </si>
  <si>
    <t>Concentrated Solar Power (Power generator) Ecuador, region XX</t>
  </si>
  <si>
    <t>Concentrated Solar Power (Power generator) El Salvador, region XX</t>
  </si>
  <si>
    <t>Concentrated Solar Power (Power generator) Guatemala, region XX</t>
  </si>
  <si>
    <t>Concentrated Solar Power (Power generator) Haiti, region XX</t>
  </si>
  <si>
    <t>Concentrated Solar Power (Power generator) Honduras, region XX</t>
  </si>
  <si>
    <t>Concentrated Solar Power (Power generator) Mexico, region XX</t>
  </si>
  <si>
    <t>Concentrated Solar Power (Power generator) Nicaragua, region XX</t>
  </si>
  <si>
    <t>Concentrated Solar Power (Power generator) Panama, region XX</t>
  </si>
  <si>
    <t>Concentrated Solar Power (Power generator) Paraguay, region XX</t>
  </si>
  <si>
    <t>Concentrated Solar Power (Power generator) Peru, region XX</t>
  </si>
  <si>
    <t>Concentrated Solar Power (Power generator) Uruguay, region XX</t>
  </si>
  <si>
    <t>Electricity, Argentina, region XX, power plant output</t>
  </si>
  <si>
    <t>Electricity, Barbados, region XX, power plant output</t>
  </si>
  <si>
    <t>Electricity, Bolivia, region XX, power plant output</t>
  </si>
  <si>
    <t>Electricity, Brazil, region XX, power plant output</t>
  </si>
  <si>
    <t>Electricity, Chile, region XX, power plant output</t>
  </si>
  <si>
    <t>Electricity, Colombia, region XX, power plant output</t>
  </si>
  <si>
    <t>Electricity, Costa Rica, region XX, power plant output</t>
  </si>
  <si>
    <t>Electricity, Dominican Republic, region XX, power plant output</t>
  </si>
  <si>
    <t>Electricity, Ecuador, region XX, power plant output</t>
  </si>
  <si>
    <t>Electricity, El Salvador, region XX, power plant output</t>
  </si>
  <si>
    <t>Electricity, Guatemala, region XX, power plant output</t>
  </si>
  <si>
    <t>Electricity, Haiti, region XX, power plant output</t>
  </si>
  <si>
    <t>Electricity, Honduras, region XX, power plant output</t>
  </si>
  <si>
    <t>Electricity, Mexico, region XX, power plant output</t>
  </si>
  <si>
    <t>Electricity, Nicaragua, region XX, power plant output</t>
  </si>
  <si>
    <t>Electricity, Panama, region XX, power plant output</t>
  </si>
  <si>
    <t>Electricity, Paraguay, region XX, power plant output</t>
  </si>
  <si>
    <t>Electricity, Peru, region XX, power plant output</t>
  </si>
  <si>
    <t>Electricity, Uruguay, region XX, power plant output</t>
  </si>
  <si>
    <t>Geothermal (Power generator) Argentina, region XX</t>
  </si>
  <si>
    <t>Geothermal (Power generator) Barbados, region XX</t>
  </si>
  <si>
    <t>Geothermal (Power generator) Bolivia, region XX</t>
  </si>
  <si>
    <t>Geothermal (Power generator) Brazil, region XX</t>
  </si>
  <si>
    <t>Geothermal (Power generator) Chile, region XX</t>
  </si>
  <si>
    <t>Geothermal (Power generator) Colombia, region XX</t>
  </si>
  <si>
    <t>Geothermal (Power generator) Costa Rica, region XX</t>
  </si>
  <si>
    <t>Geothermal (Power generator) Dominican Republic, region XX</t>
  </si>
  <si>
    <t>Geothermal (Power generator) Ecuador, region XX</t>
  </si>
  <si>
    <t>Geothermal (Power generator) El Salvador, region XX</t>
  </si>
  <si>
    <t>Geothermal (Power generator) Guatemala, region XX</t>
  </si>
  <si>
    <t>Geothermal (Power generator) Haiti, region XX</t>
  </si>
  <si>
    <t>Geothermal (Power generator) Honduras, region XX</t>
  </si>
  <si>
    <t>Geothermal (Power generator) Mexico, region XX</t>
  </si>
  <si>
    <t>Geothermal (Power generator) Nicaragua, region XX</t>
  </si>
  <si>
    <t>Geothermal (Power generator) Panama, region XX</t>
  </si>
  <si>
    <t>Geothermal (Power generator) Paraguay, region XX</t>
  </si>
  <si>
    <t>Geothermal (Power generator) Peru, region XX</t>
  </si>
  <si>
    <t>Geothermal (Power generator) Uruguay, region XX</t>
  </si>
  <si>
    <t>Hydroelectric (Power generator) Argentina, region XX</t>
  </si>
  <si>
    <t>Hydroelectric (Power generator) Barbados, region XX</t>
  </si>
  <si>
    <t>Hydroelectric (Power generator) Bolivia, region XX</t>
  </si>
  <si>
    <t>Hydroelectric (Power generator) Brazil, region XX</t>
  </si>
  <si>
    <t>Hydroelectric (Power generator) Chile, region XX</t>
  </si>
  <si>
    <t>Hydroelectric (Power generator) Colombia, region XX</t>
  </si>
  <si>
    <t>Hydroelectric (Power generator) Costa Rica, region XX</t>
  </si>
  <si>
    <t>Hydroelectric (Power generator) Dominican Republic, region XX</t>
  </si>
  <si>
    <t>Hydroelectric (Power generator) Ecuador, region XX</t>
  </si>
  <si>
    <t>Hydroelectric (Power generator) El Salvador, region XX</t>
  </si>
  <si>
    <t>Hydroelectric (Power generator) Guatemala, region XX</t>
  </si>
  <si>
    <t>Hydroelectric (Power generator) Haiti, region XX</t>
  </si>
  <si>
    <t>Hydroelectric (Power generator) Honduras, region XX</t>
  </si>
  <si>
    <t>Hydroelectric (Power generator) Mexico, region XX</t>
  </si>
  <si>
    <t>Hydroelectric (Power generator) Nicaragua, region XX</t>
  </si>
  <si>
    <t>Hydroelectric (Power generator) Panama, region XX</t>
  </si>
  <si>
    <t>Hydroelectric (Power generator) Paraguay, region XX</t>
  </si>
  <si>
    <t>Hydroelectric (Power generator) Peru, region XX</t>
  </si>
  <si>
    <t>Hydroelectric (Power generator) Uruguay, region XX</t>
  </si>
  <si>
    <t>Long duration storage (Power generator) Argentina, region XX</t>
  </si>
  <si>
    <t>Long duration storage (Power generator) Barbados, region XX</t>
  </si>
  <si>
    <t>Long duration storage (Power generator) Bolivia, region XX</t>
  </si>
  <si>
    <t>Long duration storage (Power generator) Brazil, region XX</t>
  </si>
  <si>
    <t>Long duration storage (Power generator) Chile, region XX</t>
  </si>
  <si>
    <t>Long duration storage (Power generator) Colombia, region XX</t>
  </si>
  <si>
    <t>Long duration storage (Power generator) Costa Rica, region XX</t>
  </si>
  <si>
    <t>Long duration storage (Power generator) Dominican Republic, region XX</t>
  </si>
  <si>
    <t>Long duration storage (Power generator) Ecuador, region XX</t>
  </si>
  <si>
    <t>Long duration storage (Power generator) El Salvador, region XX</t>
  </si>
  <si>
    <t>Long duration storage (Power generator) Guatemala, region XX</t>
  </si>
  <si>
    <t>Long duration storage (Power generator) Haiti, region XX</t>
  </si>
  <si>
    <t>Long duration storage (Power generator) Honduras, region XX</t>
  </si>
  <si>
    <t>Long duration storage (Power generator) Mexico, region XX</t>
  </si>
  <si>
    <t>Long duration storage (Power generator) Nicaragua, region XX</t>
  </si>
  <si>
    <t>Long duration storage (Power generator) Panama, region XX</t>
  </si>
  <si>
    <t>Long duration storage (Power generator) Paraguay, region XX</t>
  </si>
  <si>
    <t>Long duration storage (Power generator) Peru, region XX</t>
  </si>
  <si>
    <t>Long duration storage (Power generator) Uruguay, region XX</t>
  </si>
  <si>
    <t>Natural Gas (Power generator) Argentina, region XX</t>
  </si>
  <si>
    <t>Natural Gas (Power generator) Barbados, region XX</t>
  </si>
  <si>
    <t>Natural Gas (Power generator) Bolivia, region XX</t>
  </si>
  <si>
    <t>Natural Gas (Power generator) Brazil, region XX</t>
  </si>
  <si>
    <t>Natural Gas (Power generator) Chile, region XX</t>
  </si>
  <si>
    <t>Natural Gas (Power generator) Colombia, region XX</t>
  </si>
  <si>
    <t>Natural Gas (Power generator) Costa Rica, region XX</t>
  </si>
  <si>
    <t>Natural Gas (Power generator) Dominican Republic, region XX</t>
  </si>
  <si>
    <t>Natural Gas (Power generator) Ecuador, region XX</t>
  </si>
  <si>
    <t>Natural Gas (Power generator) El Salvador, region XX</t>
  </si>
  <si>
    <t>Natural Gas (Power generator) Guatemala, region XX</t>
  </si>
  <si>
    <t>Natural Gas (Power generator) Haiti, region XX</t>
  </si>
  <si>
    <t>Natural Gas (Power generator) Honduras, region XX</t>
  </si>
  <si>
    <t>Natural Gas (Power generator) Mexico, region XX</t>
  </si>
  <si>
    <t>Natural Gas (Power generator) Nicaragua, region XX</t>
  </si>
  <si>
    <t>Natural Gas (Power generator) Panama, region XX</t>
  </si>
  <si>
    <t>Natural Gas (Power generator) Paraguay, region XX</t>
  </si>
  <si>
    <t>Natural Gas (Power generator) Peru, region XX</t>
  </si>
  <si>
    <t>Natural Gas (Power generator) Uruguay, region XX</t>
  </si>
  <si>
    <t>Nuclear (Power generator) Argentina, region XX</t>
  </si>
  <si>
    <t>Nuclear (Power generator) Barbados, region XX</t>
  </si>
  <si>
    <t>Nuclear (Power generator) Bolivia, region XX</t>
  </si>
  <si>
    <t>Nuclear (Power generator) Brazil, region XX</t>
  </si>
  <si>
    <t>Nuclear (Power generator) Chile, region XX</t>
  </si>
  <si>
    <t>Nuclear (Power generator) Colombia, region XX</t>
  </si>
  <si>
    <t>Nuclear (Power generator) Costa Rica, region XX</t>
  </si>
  <si>
    <t>Nuclear (Power generator) Dominican Republic, region XX</t>
  </si>
  <si>
    <t>Nuclear (Power generator) Ecuador, region XX</t>
  </si>
  <si>
    <t>Nuclear (Power generator) El Salvador, region XX</t>
  </si>
  <si>
    <t>Nuclear (Power generator) Guatemala, region XX</t>
  </si>
  <si>
    <t>Nuclear (Power generator) Haiti, region XX</t>
  </si>
  <si>
    <t>Nuclear (Power generator) Honduras, region XX</t>
  </si>
  <si>
    <t>Nuclear (Power generator) Mexico, region XX</t>
  </si>
  <si>
    <t>Nuclear (Power generator) Nicaragua, region XX</t>
  </si>
  <si>
    <t>Nuclear (Power generator) Panama, region XX</t>
  </si>
  <si>
    <t>Nuclear (Power generator) Paraguay, region XX</t>
  </si>
  <si>
    <t>Nuclear (Power generator) Peru, region XX</t>
  </si>
  <si>
    <t>Nuclear (Power generator) Uruguay, region XX</t>
  </si>
  <si>
    <t>Offshore Wind (Power generator) Argentina, region XX</t>
  </si>
  <si>
    <t>Offshore Wind (Power generator) Barbados, region XX</t>
  </si>
  <si>
    <t>Offshore Wind (Power generator) Bolivia, region XX</t>
  </si>
  <si>
    <t>Offshore Wind (Power generator) Brazil, region XX</t>
  </si>
  <si>
    <t>Offshore Wind (Power generator) Chile, region XX</t>
  </si>
  <si>
    <t>Offshore Wind (Power generator) Colombia, region XX</t>
  </si>
  <si>
    <t>Offshore Wind (Power generator) Costa Rica, region XX</t>
  </si>
  <si>
    <t>Offshore Wind (Power generator) Dominican Republic, region XX</t>
  </si>
  <si>
    <t>Offshore Wind (Power generator) Ecuador, region XX</t>
  </si>
  <si>
    <t>Offshore Wind (Power generator) El Salvador, region XX</t>
  </si>
  <si>
    <t>Offshore Wind (Power generator) Guatemala, region XX</t>
  </si>
  <si>
    <t>Offshore Wind (Power generator) Haiti, region XX</t>
  </si>
  <si>
    <t>Offshore Wind (Power generator) Honduras, region XX</t>
  </si>
  <si>
    <t>Offshore Wind (Power generator) Mexico, region XX</t>
  </si>
  <si>
    <t>Offshore Wind (Power generator) Nicaragua, region XX</t>
  </si>
  <si>
    <t>Offshore Wind (Power generator) Panama, region XX</t>
  </si>
  <si>
    <t>Offshore Wind (Power generator) Paraguay, region XX</t>
  </si>
  <si>
    <t>Offshore Wind (Power generator) Peru, region XX</t>
  </si>
  <si>
    <t>Offshore Wind (Power generator) Uruguay, region XX</t>
  </si>
  <si>
    <t>Oil (Power generator) Argentina, region XX</t>
  </si>
  <si>
    <t>Oil (Power generator) Barbados, region XX</t>
  </si>
  <si>
    <t>Oil (Power generator) Bolivia, region XX</t>
  </si>
  <si>
    <t>Oil (Power generator) Brazil, region XX</t>
  </si>
  <si>
    <t>Oil (Power generator) Chile, region XX</t>
  </si>
  <si>
    <t>Oil (Power generator) Colombia, region XX</t>
  </si>
  <si>
    <t>Oil (Power generator) Costa Rica, region XX</t>
  </si>
  <si>
    <t>Oil (Power generator) Dominican Republic, region XX</t>
  </si>
  <si>
    <t>Oil (Power generator) Ecuador, region XX</t>
  </si>
  <si>
    <t>Oil (Power generator) El Salvador, region XX</t>
  </si>
  <si>
    <t>Oil (Power generator) Guatemala, region XX</t>
  </si>
  <si>
    <t>Oil (Power generator) Haiti, region XX</t>
  </si>
  <si>
    <t>Oil (Power generator) Honduras, region XX</t>
  </si>
  <si>
    <t>Oil (Power generator) Mexico, region XX</t>
  </si>
  <si>
    <t>Oil (Power generator) Nicaragua, region XX</t>
  </si>
  <si>
    <t>Oil (Power generator) Panama, region XX</t>
  </si>
  <si>
    <t>Oil (Power generator) Paraguay, region XX</t>
  </si>
  <si>
    <t>Oil (Power generator) Peru, region XX</t>
  </si>
  <si>
    <t>Oil (Power generator) Uruguay, region XX</t>
  </si>
  <si>
    <t>Onshore Wind (Power generator) Argentina, region XX</t>
  </si>
  <si>
    <t>Onshore Wind (Power generator) Barbados, region XX</t>
  </si>
  <si>
    <t>Onshore Wind (Power generator) Bolivia, region XX</t>
  </si>
  <si>
    <t>Onshore Wind (Power generator) Brazil, region XX</t>
  </si>
  <si>
    <t>Onshore Wind (Power generator) Chile, region XX</t>
  </si>
  <si>
    <t>Onshore Wind (Power generator) Colombia, region XX</t>
  </si>
  <si>
    <t>Onshore Wind (Power generator) Costa Rica, region XX</t>
  </si>
  <si>
    <t>Onshore Wind (Power generator) Dominican Republic, region XX</t>
  </si>
  <si>
    <t>Onshore Wind (Power generator) Ecuador, region XX</t>
  </si>
  <si>
    <t>Onshore Wind (Power generator) El Salvador, region XX</t>
  </si>
  <si>
    <t>Onshore Wind (Power generator) Guatemala, region XX</t>
  </si>
  <si>
    <t>Onshore Wind (Power generator) Haiti, region XX</t>
  </si>
  <si>
    <t>Onshore Wind (Power generator) Honduras, region XX</t>
  </si>
  <si>
    <t>Onshore Wind (Power generator) Mexico, region XX</t>
  </si>
  <si>
    <t>Onshore Wind (Power generator) Nicaragua, region XX</t>
  </si>
  <si>
    <t>Onshore Wind (Power generator) Panama, region XX</t>
  </si>
  <si>
    <t>Onshore Wind (Power generator) Paraguay, region XX</t>
  </si>
  <si>
    <t>Onshore Wind (Power generator) Peru, region XX</t>
  </si>
  <si>
    <t>Onshore Wind (Power generator) Uruguay, region XX</t>
  </si>
  <si>
    <t>Other (Power generator) Argentina, region XX</t>
  </si>
  <si>
    <t>Other (Power generator) Barbados, region XX</t>
  </si>
  <si>
    <t>Other (Power generator) Bolivia, region XX</t>
  </si>
  <si>
    <t>Other (Power generator) Brazil, region XX</t>
  </si>
  <si>
    <t>Other (Power generator) Chile, region XX</t>
  </si>
  <si>
    <t>Other (Power generator) Colombia, region XX</t>
  </si>
  <si>
    <t>Other (Power generator) Costa Rica, region XX</t>
  </si>
  <si>
    <t>Other (Power generator) Dominican Republic, region XX</t>
  </si>
  <si>
    <t>Other (Power generator) Ecuador, region XX</t>
  </si>
  <si>
    <t>Other (Power generator) El Salvador, region XX</t>
  </si>
  <si>
    <t>Other (Power generator) Guatemala, region XX</t>
  </si>
  <si>
    <t>Other (Power generator) Haiti, region XX</t>
  </si>
  <si>
    <t>Other (Power generator) Honduras, region XX</t>
  </si>
  <si>
    <t>Other (Power generator) Mexico, region XX</t>
  </si>
  <si>
    <t>Other (Power generator) Nicaragua, region XX</t>
  </si>
  <si>
    <t>Other (Power generator) Panama, region XX</t>
  </si>
  <si>
    <t>Other (Power generator) Paraguay, region XX</t>
  </si>
  <si>
    <t>Other (Power generator) Peru, region XX</t>
  </si>
  <si>
    <t>Other (Power generator) Uruguay, region XX</t>
  </si>
  <si>
    <t>Petroleum (Power generator) Argentina, region XX</t>
  </si>
  <si>
    <t>Petroleum (Power generator) Barbados, region XX</t>
  </si>
  <si>
    <t>Petroleum (Power generator) Bolivia, region XX</t>
  </si>
  <si>
    <t>Petroleum (Power generator) Brazil, region XX</t>
  </si>
  <si>
    <t>Petroleum (Power generator) Chile, region XX</t>
  </si>
  <si>
    <t>Petroleum (Power generator) Colombia, region XX</t>
  </si>
  <si>
    <t>Petroleum (Power generator) Costa Rica, region XX</t>
  </si>
  <si>
    <t>Petroleum (Power generator) Dominican Republic, region XX</t>
  </si>
  <si>
    <t>Petroleum (Power generator) Ecuador, region XX</t>
  </si>
  <si>
    <t>Petroleum (Power generator) El Salvador, region XX</t>
  </si>
  <si>
    <t>Petroleum (Power generator) Guatemala, region XX</t>
  </si>
  <si>
    <t>Petroleum (Power generator) Haiti, region XX</t>
  </si>
  <si>
    <t>Petroleum (Power generator) Honduras, region XX</t>
  </si>
  <si>
    <t>Petroleum (Power generator) Mexico, region XX</t>
  </si>
  <si>
    <t>Petroleum (Power generator) Nicaragua, region XX</t>
  </si>
  <si>
    <t>Petroleum (Power generator) Panama, region XX</t>
  </si>
  <si>
    <t>Petroleum (Power generator) Paraguay, region XX</t>
  </si>
  <si>
    <t>Petroleum (Power generator) Peru, region XX</t>
  </si>
  <si>
    <t>Petroleum (Power generator) Uruguay, region XX</t>
  </si>
  <si>
    <t>Short duration storage (Power generator) Argentina, region XX</t>
  </si>
  <si>
    <t>Short duration storage (Power generator) Barbados, region XX</t>
  </si>
  <si>
    <t>Short duration storage (Power generator) Bolivia, region XX</t>
  </si>
  <si>
    <t>Short duration storage (Power generator) Brazil, region XX</t>
  </si>
  <si>
    <t>Short duration storage (Power generator) Chile, region XX</t>
  </si>
  <si>
    <t>Short duration storage (Power generator) Colombia, region XX</t>
  </si>
  <si>
    <t>Short duration storage (Power generator) Costa Rica, region XX</t>
  </si>
  <si>
    <t>Short duration storage (Power generator) Dominican Republic, region XX</t>
  </si>
  <si>
    <t>Short duration storage (Power generator) Ecuador, region XX</t>
  </si>
  <si>
    <t>Short duration storage (Power generator) El Salvador, region XX</t>
  </si>
  <si>
    <t>Short duration storage (Power generator) Guatemala, region XX</t>
  </si>
  <si>
    <t>Short duration storage (Power generator) Haiti, region XX</t>
  </si>
  <si>
    <t>Short duration storage (Power generator) Honduras, region XX</t>
  </si>
  <si>
    <t>Short duration storage (Power generator) Mexico, region XX</t>
  </si>
  <si>
    <t>Short duration storage (Power generator) Nicaragua, region XX</t>
  </si>
  <si>
    <t>Short duration storage (Power generator) Panama, region XX</t>
  </si>
  <si>
    <t>Short duration storage (Power generator) Paraguay, region XX</t>
  </si>
  <si>
    <t>Short duration storage (Power generator) Peru, region XX</t>
  </si>
  <si>
    <t>Short duration storage (Power generator) Uruguay, region XX</t>
  </si>
  <si>
    <t>Solar Photovoltaic (Power generator) Argentina, region XX</t>
  </si>
  <si>
    <t>Solar Photovoltaic (Power generator) Barbados, region XX</t>
  </si>
  <si>
    <t>Solar Photovoltaic (Power generator) Bolivia, region XX</t>
  </si>
  <si>
    <t>Solar Photovoltaic (Power generator) Brazil, region XX</t>
  </si>
  <si>
    <t>Solar Photovoltaic (Power generator) Chile, region XX</t>
  </si>
  <si>
    <t>Solar Photovoltaic (Power generator) Colombia, region XX</t>
  </si>
  <si>
    <t>Solar Photovoltaic (Power generator) Costa Rica, region XX</t>
  </si>
  <si>
    <t>Solar Photovoltaic (Power generator) Dominican Republic, region XX</t>
  </si>
  <si>
    <t>Solar Photovoltaic (Power generator) Ecuador, region XX</t>
  </si>
  <si>
    <t>Solar Photovoltaic (Power generator) El Salvador, region XX</t>
  </si>
  <si>
    <t>Solar Photovoltaic (Power generator) Guatemala, region XX</t>
  </si>
  <si>
    <t>Solar Photovoltaic (Power generator) Haiti, region XX</t>
  </si>
  <si>
    <t>Solar Photovoltaic (Power generator) Honduras, region XX</t>
  </si>
  <si>
    <t>Solar Photovoltaic (Power generator) Mexico, region XX</t>
  </si>
  <si>
    <t>Solar Photovoltaic (Power generator) Nicaragua, region XX</t>
  </si>
  <si>
    <t>Solar Photovoltaic (Power generator) Panama, region XX</t>
  </si>
  <si>
    <t>Solar Photovoltaic (Power generator) Paraguay, region XX</t>
  </si>
  <si>
    <t>Solar Photovoltaic (Power generator) Peru, region XX</t>
  </si>
  <si>
    <t>Solar Photovoltaic (Power generator) Uruguay, region XX</t>
  </si>
  <si>
    <t>Transmission interconnection from Argentina, region XX to Bolivia, region XX</t>
  </si>
  <si>
    <t>Transmission interconnection from Argentina, region XX to Brazil, region XX</t>
  </si>
  <si>
    <t>Transmission interconnection from Argentina, region XX to Chile, region XX</t>
  </si>
  <si>
    <t>Transmission interconnection from Argentina, region XX to Paraguay, region XX</t>
  </si>
  <si>
    <t>Transmission interconnection from Argentina, region XX to Uruguay, region XX</t>
  </si>
  <si>
    <t>Transmission interconnection from Bolivia, region XX to Brazil, region XX</t>
  </si>
  <si>
    <t>Transmission interconnection from Bolivia, region XX to Chile, region XX</t>
  </si>
  <si>
    <t>Transmission interconnection from Bolivia, region XX to Paraguay, region XX</t>
  </si>
  <si>
    <t>Transmission interconnection from Bolivia, region XX to Peru, region XX</t>
  </si>
  <si>
    <t>Transmission interconnection from Brazil, region XX to Colombia, region XX</t>
  </si>
  <si>
    <t>Transmission interconnection from Brazil, region XX to Paraguay, region XX</t>
  </si>
  <si>
    <t>Transmission interconnection from Brazil, region XX to Peru, region XX</t>
  </si>
  <si>
    <t>Transmission interconnection from Brazil, region XX to Uruguay, region XX</t>
  </si>
  <si>
    <t>Transmission interconnection from Chile, region XX to Peru, region XX</t>
  </si>
  <si>
    <t>Transmission interconnection from Colombia, region XX to Ecuador, region XX</t>
  </si>
  <si>
    <t>Transmission interconnection from Colombia, region XX to Panama, region XX</t>
  </si>
  <si>
    <t>Transmission interconnection from Colombia, region XX to Peru, region XX</t>
  </si>
  <si>
    <t>Transmission interconnection from Costa Rica, region XX to Nicaragua, region XX</t>
  </si>
  <si>
    <t>Transmission interconnection from Costa Rica, region XX to Panama, region XX</t>
  </si>
  <si>
    <t>Transmission interconnection from Dominican Republic, region XX to Haiti, region XX</t>
  </si>
  <si>
    <t>Transmission interconnection from Ecuador, region XX to Peru, region XX</t>
  </si>
  <si>
    <t>Transmission interconnection from Guatemala, region XX to El Salvador, region XX</t>
  </si>
  <si>
    <t>Transmission interconnection from Guatemala, region XX to Honduras, region XX</t>
  </si>
  <si>
    <t>Transmission interconnection from Guatemala, region XX to Mexico, region XX</t>
  </si>
  <si>
    <t>Transmission interconnection from Honduras, region XX to El Salvador, region XX</t>
  </si>
  <si>
    <t>Transmission interconnection from Honduras, region XX to Nicaragua, region XX</t>
  </si>
  <si>
    <t>Waste (Power generator) Argentina, region XX</t>
  </si>
  <si>
    <t>Waste (Power generator) Barbados, region XX</t>
  </si>
  <si>
    <t>Waste (Power generator) Bolivia, region XX</t>
  </si>
  <si>
    <t>Waste (Power generator) Brazil, region XX</t>
  </si>
  <si>
    <t>Waste (Power generator) Chile, region XX</t>
  </si>
  <si>
    <t>Waste (Power generator) Colombia, region XX</t>
  </si>
  <si>
    <t>Waste (Power generator) Costa Rica, region XX</t>
  </si>
  <si>
    <t>Waste (Power generator) Dominican Republic, region XX</t>
  </si>
  <si>
    <t>Waste (Power generator) Ecuador, region XX</t>
  </si>
  <si>
    <t>Waste (Power generator) El Salvador, region XX</t>
  </si>
  <si>
    <t>Waste (Power generator) Guatemala, region XX</t>
  </si>
  <si>
    <t>Waste (Power generator) Haiti, region XX</t>
  </si>
  <si>
    <t>Waste (Power generator) Honduras, region XX</t>
  </si>
  <si>
    <t>Waste (Power generator) Mexico, region XX</t>
  </si>
  <si>
    <t>Waste (Power generator) Nicaragua, region XX</t>
  </si>
  <si>
    <t>Waste (Power generator) Panama, region XX</t>
  </si>
  <si>
    <t>Waste (Power generator) Paraguay, region XX</t>
  </si>
  <si>
    <t>Waste (Power generator) Peru, region XX</t>
  </si>
  <si>
    <t>Waste (Power generator) Uruguay, region XX</t>
  </si>
  <si>
    <t>Wave (Power generator) Argentina, region XX</t>
  </si>
  <si>
    <t>Wave (Power generator) Barbados, region XX</t>
  </si>
  <si>
    <t>Wave (Power generator) Bolivia, region XX</t>
  </si>
  <si>
    <t>Wave (Power generator) Brazil, region XX</t>
  </si>
  <si>
    <t>Wave (Power generator) Chile, region XX</t>
  </si>
  <si>
    <t>Wave (Power generator) Colombia, region XX</t>
  </si>
  <si>
    <t>Wave (Power generator) Costa Rica, region XX</t>
  </si>
  <si>
    <t>Wave (Power generator) Dominican Republic, region XX</t>
  </si>
  <si>
    <t>Wave (Power generator) Ecuador, region XX</t>
  </si>
  <si>
    <t>Wave (Power generator) El Salvador, region XX</t>
  </si>
  <si>
    <t>Wave (Power generator) Guatemala, region XX</t>
  </si>
  <si>
    <t>Wave (Power generator) Haiti, region XX</t>
  </si>
  <si>
    <t>Wave (Power generator) Honduras, region XX</t>
  </si>
  <si>
    <t>Wave (Power generator) Mexico, region XX</t>
  </si>
  <si>
    <t>Wave (Power generator) Nicaragua, region XX</t>
  </si>
  <si>
    <t>Wave (Power generator) Panama, region XX</t>
  </si>
  <si>
    <t>Wave (Power generator) Paraguay, region XX</t>
  </si>
  <si>
    <t>Wave (Power generator) Peru, region XX</t>
  </si>
  <si>
    <t>Wave (Power generator) Uruguay, region XX</t>
  </si>
  <si>
    <t>PWRBCKARGXX</t>
  </si>
  <si>
    <t>PWRBCKBRBXX</t>
  </si>
  <si>
    <t>PWRBCKBOLXX</t>
  </si>
  <si>
    <t>PWRBCKBRAXX</t>
  </si>
  <si>
    <t>PWRBCKCHLXX</t>
  </si>
  <si>
    <t>PWRBCKCOLXX</t>
  </si>
  <si>
    <t>PWRBCKCRIXX</t>
  </si>
  <si>
    <t>PWRBCKDOMXX</t>
  </si>
  <si>
    <t>PWRBCKECUXX</t>
  </si>
  <si>
    <t>PWRBCKSLVXX</t>
  </si>
  <si>
    <t>PWRBCKGTMXX</t>
  </si>
  <si>
    <t>PWRBCKHTIXX</t>
  </si>
  <si>
    <t>PWRBCKHNDXX</t>
  </si>
  <si>
    <t>PWRBCKMEXXX</t>
  </si>
  <si>
    <t>PWRBCKNICXX</t>
  </si>
  <si>
    <t>PWRBCKPANXX</t>
  </si>
  <si>
    <t>PWRBCKPRYXX</t>
  </si>
  <si>
    <t>PWRBCKPERXX</t>
  </si>
  <si>
    <t>PWRBCKURYXX</t>
  </si>
  <si>
    <t>PWRBIOARGXX</t>
  </si>
  <si>
    <t>PWRBIOBRBXX</t>
  </si>
  <si>
    <t>PWRBIOBOLXX</t>
  </si>
  <si>
    <t>PWRBIOBRAXX</t>
  </si>
  <si>
    <t>PWRBIOCHLXX</t>
  </si>
  <si>
    <t>PWRBIOCOLXX</t>
  </si>
  <si>
    <t>PWRBIOCRIXX</t>
  </si>
  <si>
    <t>PWRBIODOMXX</t>
  </si>
  <si>
    <t>PWRBIOECUXX</t>
  </si>
  <si>
    <t>PWRBIOSLVXX</t>
  </si>
  <si>
    <t>PWRBIOGTMXX</t>
  </si>
  <si>
    <t>PWRBIOHTIXX</t>
  </si>
  <si>
    <t>PWRBIOHNDXX</t>
  </si>
  <si>
    <t>PWRBIOMEXXX</t>
  </si>
  <si>
    <t>PWRBIONICXX</t>
  </si>
  <si>
    <t>PWRBIOPANXX</t>
  </si>
  <si>
    <t>PWRBIOPRYXX</t>
  </si>
  <si>
    <t>PWRBIOPERXX</t>
  </si>
  <si>
    <t>PWRBIOURYXX</t>
  </si>
  <si>
    <t>PWRCCSARGXX</t>
  </si>
  <si>
    <t>PWRCCSBRBXX</t>
  </si>
  <si>
    <t>PWRCCSBOLXX</t>
  </si>
  <si>
    <t>PWRCCSBRAXX</t>
  </si>
  <si>
    <t>PWRCCSCHLXX</t>
  </si>
  <si>
    <t>PWRCCSCOLXX</t>
  </si>
  <si>
    <t>PWRCCSCRIXX</t>
  </si>
  <si>
    <t>PWRCCSDOMXX</t>
  </si>
  <si>
    <t>PWRCCSECUXX</t>
  </si>
  <si>
    <t>PWRCCSSLVXX</t>
  </si>
  <si>
    <t>PWRCCSGTMXX</t>
  </si>
  <si>
    <t>PWRCCSHTIXX</t>
  </si>
  <si>
    <t>PWRCCSHNDXX</t>
  </si>
  <si>
    <t>PWRCCSMEXXX</t>
  </si>
  <si>
    <t>PWRCCSNICXX</t>
  </si>
  <si>
    <t>PWRCCSPANXX</t>
  </si>
  <si>
    <t>PWRCCSPRYXX</t>
  </si>
  <si>
    <t>PWRCCSPERXX</t>
  </si>
  <si>
    <t>PWRCCSURYXX</t>
  </si>
  <si>
    <t>PWRCOAARGXX</t>
  </si>
  <si>
    <t>PWRCOABRBXX</t>
  </si>
  <si>
    <t>PWRCOABOLXX</t>
  </si>
  <si>
    <t>PWRCOABRAXX</t>
  </si>
  <si>
    <t>PWRCOACHLXX</t>
  </si>
  <si>
    <t>PWRCOACOLXX</t>
  </si>
  <si>
    <t>PWRCOACRIXX</t>
  </si>
  <si>
    <t>PWRCOADOMXX</t>
  </si>
  <si>
    <t>PWRCOAECUXX</t>
  </si>
  <si>
    <t>PWRCOASLVXX</t>
  </si>
  <si>
    <t>PWRCOAGTMXX</t>
  </si>
  <si>
    <t>PWRCOAHTIXX</t>
  </si>
  <si>
    <t>PWRCOAHNDXX</t>
  </si>
  <si>
    <t>PWRCOAMEXXX</t>
  </si>
  <si>
    <t>PWRCOANICXX</t>
  </si>
  <si>
    <t>PWRCOAPANXX</t>
  </si>
  <si>
    <t>PWRCOAPRYXX</t>
  </si>
  <si>
    <t>PWRCOAPERXX</t>
  </si>
  <si>
    <t>PWRCOAURYXX</t>
  </si>
  <si>
    <t>PWRCOGARGXX</t>
  </si>
  <si>
    <t>PWRCOGBRBXX</t>
  </si>
  <si>
    <t>PWRCOGBOLXX</t>
  </si>
  <si>
    <t>PWRCOGBRAXX</t>
  </si>
  <si>
    <t>PWRCOGCHLXX</t>
  </si>
  <si>
    <t>PWRCOGCOLXX</t>
  </si>
  <si>
    <t>PWRCOGCRIXX</t>
  </si>
  <si>
    <t>PWRCOGDOMXX</t>
  </si>
  <si>
    <t>PWRCOGECUXX</t>
  </si>
  <si>
    <t>PWRCOGSLVXX</t>
  </si>
  <si>
    <t>PWRCOGGTMXX</t>
  </si>
  <si>
    <t>PWRCOGHTIXX</t>
  </si>
  <si>
    <t>PWRCOGHNDXX</t>
  </si>
  <si>
    <t>PWRCOGMEXXX</t>
  </si>
  <si>
    <t>PWRCOGNICXX</t>
  </si>
  <si>
    <t>PWRCOGPANXX</t>
  </si>
  <si>
    <t>PWRCOGPRYXX</t>
  </si>
  <si>
    <t>PWRCOGPERXX</t>
  </si>
  <si>
    <t>PWRCOGURYXX</t>
  </si>
  <si>
    <t>PWRCSPARGXX</t>
  </si>
  <si>
    <t>PWRCSPBRBXX</t>
  </si>
  <si>
    <t>PWRCSPBOLXX</t>
  </si>
  <si>
    <t>PWRCSPBRAXX</t>
  </si>
  <si>
    <t>PWRCSPCHLXX</t>
  </si>
  <si>
    <t>PWRCSPCOLXX</t>
  </si>
  <si>
    <t>PWRCSPCRIXX</t>
  </si>
  <si>
    <t>PWRCSPDOMXX</t>
  </si>
  <si>
    <t>PWRCSPECUXX</t>
  </si>
  <si>
    <t>PWRCSPSLVXX</t>
  </si>
  <si>
    <t>PWRCSPGTMXX</t>
  </si>
  <si>
    <t>PWRCSPHTIXX</t>
  </si>
  <si>
    <t>PWRCSPHNDXX</t>
  </si>
  <si>
    <t>PWRCSPMEXXX</t>
  </si>
  <si>
    <t>PWRCSPNICXX</t>
  </si>
  <si>
    <t>PWRCSPPANXX</t>
  </si>
  <si>
    <t>PWRCSPPRYXX</t>
  </si>
  <si>
    <t>PWRCSPPERXX</t>
  </si>
  <si>
    <t>PWRCSPURYXX</t>
  </si>
  <si>
    <t>ELCARGXX01</t>
  </si>
  <si>
    <t>ELCBRBXX01</t>
  </si>
  <si>
    <t>ELCBOLXX01</t>
  </si>
  <si>
    <t>ELCBRAXX01</t>
  </si>
  <si>
    <t>ELCCHLXX01</t>
  </si>
  <si>
    <t>ELCCOLXX01</t>
  </si>
  <si>
    <t>ELCCRIXX01</t>
  </si>
  <si>
    <t>ELCDOMXX01</t>
  </si>
  <si>
    <t>ELCECUXX01</t>
  </si>
  <si>
    <t>ELCSLVXX01</t>
  </si>
  <si>
    <t>ELCGTMXX01</t>
  </si>
  <si>
    <t>ELCHTIXX01</t>
  </si>
  <si>
    <t>ELCHNDXX01</t>
  </si>
  <si>
    <t>ELCMEXXX01</t>
  </si>
  <si>
    <t>ELCNICXX01</t>
  </si>
  <si>
    <t>ELCPANXX01</t>
  </si>
  <si>
    <t>ELCPRYXX01</t>
  </si>
  <si>
    <t>ELCPERXX01</t>
  </si>
  <si>
    <t>ELCURYXX01</t>
  </si>
  <si>
    <t>PWRGEOARGXX</t>
  </si>
  <si>
    <t>PWRGEOBRBXX</t>
  </si>
  <si>
    <t>PWRGEOBOLXX</t>
  </si>
  <si>
    <t>PWRGEOBRAXX</t>
  </si>
  <si>
    <t>PWRGEOCHLXX</t>
  </si>
  <si>
    <t>PWRGEOCOLXX</t>
  </si>
  <si>
    <t>PWRGEOCRIXX</t>
  </si>
  <si>
    <t>PWRGEODOMXX</t>
  </si>
  <si>
    <t>PWRGEOECUXX</t>
  </si>
  <si>
    <t>PWRGEOSLVXX</t>
  </si>
  <si>
    <t>PWRGEOGTMXX</t>
  </si>
  <si>
    <t>PWRGEOHTIXX</t>
  </si>
  <si>
    <t>PWRGEOHNDXX</t>
  </si>
  <si>
    <t>PWRGEOMEXXX</t>
  </si>
  <si>
    <t>PWRGEONICXX</t>
  </si>
  <si>
    <t>PWRGEOPANXX</t>
  </si>
  <si>
    <t>PWRGEOPRYXX</t>
  </si>
  <si>
    <t>PWRGEOPERXX</t>
  </si>
  <si>
    <t>PWRGEOURYXX</t>
  </si>
  <si>
    <t>PWRHYDARGXX</t>
  </si>
  <si>
    <t>PWRHYDBRBXX</t>
  </si>
  <si>
    <t>PWRHYDBOLXX</t>
  </si>
  <si>
    <t>PWRHYDBRAXX</t>
  </si>
  <si>
    <t>PWRHYDCHLXX</t>
  </si>
  <si>
    <t>PWRHYDCOLXX</t>
  </si>
  <si>
    <t>PWRHYDCRIXX</t>
  </si>
  <si>
    <t>PWRHYDDOMXX</t>
  </si>
  <si>
    <t>PWRHYDECUXX</t>
  </si>
  <si>
    <t>PWRHYDSLVXX</t>
  </si>
  <si>
    <t>PWRHYDGTMXX</t>
  </si>
  <si>
    <t>PWRHYDHTIXX</t>
  </si>
  <si>
    <t>PWRHYDHNDXX</t>
  </si>
  <si>
    <t>PWRHYDMEXXX</t>
  </si>
  <si>
    <t>PWRHYDNICXX</t>
  </si>
  <si>
    <t>PWRHYDPANXX</t>
  </si>
  <si>
    <t>PWRHYDPRYXX</t>
  </si>
  <si>
    <t>PWRHYDPERXX</t>
  </si>
  <si>
    <t>PWRHYDURYXX</t>
  </si>
  <si>
    <t>PWRLDSARGXX</t>
  </si>
  <si>
    <t>PWRLDSBRBXX</t>
  </si>
  <si>
    <t>PWRLDSBOLXX</t>
  </si>
  <si>
    <t>PWRLDSBRAXX</t>
  </si>
  <si>
    <t>PWRLDSCHLXX</t>
  </si>
  <si>
    <t>PWRLDSCOLXX</t>
  </si>
  <si>
    <t>PWRLDSCRIXX</t>
  </si>
  <si>
    <t>PWRLDSDOMXX</t>
  </si>
  <si>
    <t>PWRLDSECUXX</t>
  </si>
  <si>
    <t>PWRLDSSLVXX</t>
  </si>
  <si>
    <t>PWRLDSGTMXX</t>
  </si>
  <si>
    <t>PWRLDSHTIXX</t>
  </si>
  <si>
    <t>PWRLDSHNDXX</t>
  </si>
  <si>
    <t>PWRLDSMEXXX</t>
  </si>
  <si>
    <t>PWRLDSNICXX</t>
  </si>
  <si>
    <t>PWRLDSPANXX</t>
  </si>
  <si>
    <t>PWRLDSPRYXX</t>
  </si>
  <si>
    <t>PWRLDSPERXX</t>
  </si>
  <si>
    <t>PWRLDSURYXX</t>
  </si>
  <si>
    <t>PWRNGSARGXX</t>
  </si>
  <si>
    <t>PWRNGSBRBXX</t>
  </si>
  <si>
    <t>PWRNGSBOLXX</t>
  </si>
  <si>
    <t>PWRNGSBRAXX</t>
  </si>
  <si>
    <t>PWRNGSCHLXX</t>
  </si>
  <si>
    <t>PWRNGSCOLXX</t>
  </si>
  <si>
    <t>PWRNGSCRIXX</t>
  </si>
  <si>
    <t>PWRNGSDOMXX</t>
  </si>
  <si>
    <t>PWRNGSECUXX</t>
  </si>
  <si>
    <t>PWRNGSSLVXX</t>
  </si>
  <si>
    <t>PWRNGSGTMXX</t>
  </si>
  <si>
    <t>PWRNGSHTIXX</t>
  </si>
  <si>
    <t>PWRNGSHNDXX</t>
  </si>
  <si>
    <t>PWRNGSMEXXX</t>
  </si>
  <si>
    <t>PWRNGSNICXX</t>
  </si>
  <si>
    <t>PWRNGSPANXX</t>
  </si>
  <si>
    <t>PWRNGSPRYXX</t>
  </si>
  <si>
    <t>PWRNGSPERXX</t>
  </si>
  <si>
    <t>PWRNGSURYXX</t>
  </si>
  <si>
    <t>PWRURNARGXX</t>
  </si>
  <si>
    <t>PWRURNBRBXX</t>
  </si>
  <si>
    <t>PWRURNBOLXX</t>
  </si>
  <si>
    <t>PWRURNBRAXX</t>
  </si>
  <si>
    <t>PWRURNCHLXX</t>
  </si>
  <si>
    <t>PWRURNCOLXX</t>
  </si>
  <si>
    <t>PWRURNCRIXX</t>
  </si>
  <si>
    <t>PWRURNDOMXX</t>
  </si>
  <si>
    <t>PWRURNECUXX</t>
  </si>
  <si>
    <t>PWRURNSLVXX</t>
  </si>
  <si>
    <t>PWRURNGTMXX</t>
  </si>
  <si>
    <t>PWRURNHTIXX</t>
  </si>
  <si>
    <t>PWRURNHNDXX</t>
  </si>
  <si>
    <t>PWRURNMEXXX</t>
  </si>
  <si>
    <t>PWRURNNICXX</t>
  </si>
  <si>
    <t>PWRURNPANXX</t>
  </si>
  <si>
    <t>PWRURNPRYXX</t>
  </si>
  <si>
    <t>PWRURNPERXX</t>
  </si>
  <si>
    <t>PWRURNURYXX</t>
  </si>
  <si>
    <t>PWRWOFARGXX</t>
  </si>
  <si>
    <t>PWRWOFBRBXX</t>
  </si>
  <si>
    <t>PWRWOFBOLXX</t>
  </si>
  <si>
    <t>PWRWOFBRAXX</t>
  </si>
  <si>
    <t>PWRWOFCHLXX</t>
  </si>
  <si>
    <t>PWRWOFCOLXX</t>
  </si>
  <si>
    <t>PWRWOFCRIXX</t>
  </si>
  <si>
    <t>PWRWOFDOMXX</t>
  </si>
  <si>
    <t>PWRWOFECUXX</t>
  </si>
  <si>
    <t>PWRWOFSLVXX</t>
  </si>
  <si>
    <t>PWRWOFGTMXX</t>
  </si>
  <si>
    <t>PWRWOFHTIXX</t>
  </si>
  <si>
    <t>PWRWOFHNDXX</t>
  </si>
  <si>
    <t>PWRWOFMEXXX</t>
  </si>
  <si>
    <t>PWRWOFNICXX</t>
  </si>
  <si>
    <t>PWRWOFPANXX</t>
  </si>
  <si>
    <t>PWRWOFPRYXX</t>
  </si>
  <si>
    <t>PWRWOFPERXX</t>
  </si>
  <si>
    <t>PWRWOFURYXX</t>
  </si>
  <si>
    <t>PWROILARGXX</t>
  </si>
  <si>
    <t>PWROILBRBXX</t>
  </si>
  <si>
    <t>PWROILBOLXX</t>
  </si>
  <si>
    <t>PWROILBRAXX</t>
  </si>
  <si>
    <t>PWROILCHLXX</t>
  </si>
  <si>
    <t>PWROILCOLXX</t>
  </si>
  <si>
    <t>PWROILCRIXX</t>
  </si>
  <si>
    <t>PWROILDOMXX</t>
  </si>
  <si>
    <t>PWROILECUXX</t>
  </si>
  <si>
    <t>PWROILSLVXX</t>
  </si>
  <si>
    <t>PWROILGTMXX</t>
  </si>
  <si>
    <t>PWROILHTIXX</t>
  </si>
  <si>
    <t>PWROILHNDXX</t>
  </si>
  <si>
    <t>PWROILMEXXX</t>
  </si>
  <si>
    <t>PWROILNICXX</t>
  </si>
  <si>
    <t>PWROILPANXX</t>
  </si>
  <si>
    <t>PWROILPRYXX</t>
  </si>
  <si>
    <t>PWROILPERXX</t>
  </si>
  <si>
    <t>PWROILURYXX</t>
  </si>
  <si>
    <t>PWRWONARGXX</t>
  </si>
  <si>
    <t>PWRWONBRBXX</t>
  </si>
  <si>
    <t>PWRWONBOLXX</t>
  </si>
  <si>
    <t>PWRWONBRAXX</t>
  </si>
  <si>
    <t>PWRWONCHLXX</t>
  </si>
  <si>
    <t>PWRWONCOLXX</t>
  </si>
  <si>
    <t>PWRWONCRIXX</t>
  </si>
  <si>
    <t>PWRWONDOMXX</t>
  </si>
  <si>
    <t>PWRWONECUXX</t>
  </si>
  <si>
    <t>PWRWONSLVXX</t>
  </si>
  <si>
    <t>PWRWONGTMXX</t>
  </si>
  <si>
    <t>PWRWONHTIXX</t>
  </si>
  <si>
    <t>PWRWONHNDXX</t>
  </si>
  <si>
    <t>PWRWONMEXXX</t>
  </si>
  <si>
    <t>PWRWONNICXX</t>
  </si>
  <si>
    <t>PWRWONPANXX</t>
  </si>
  <si>
    <t>PWRWONPRYXX</t>
  </si>
  <si>
    <t>PWRWONPERXX</t>
  </si>
  <si>
    <t>PWRWONURYXX</t>
  </si>
  <si>
    <t>PWROTHARGXX</t>
  </si>
  <si>
    <t>PWROTHBRBXX</t>
  </si>
  <si>
    <t>PWROTHBOLXX</t>
  </si>
  <si>
    <t>PWROTHBRAXX</t>
  </si>
  <si>
    <t>PWROTHCHLXX</t>
  </si>
  <si>
    <t>PWROTHCOLXX</t>
  </si>
  <si>
    <t>PWROTHCRIXX</t>
  </si>
  <si>
    <t>PWROTHDOMXX</t>
  </si>
  <si>
    <t>PWROTHECUXX</t>
  </si>
  <si>
    <t>PWROTHSLVXX</t>
  </si>
  <si>
    <t>PWROTHGTMXX</t>
  </si>
  <si>
    <t>PWROTHHTIXX</t>
  </si>
  <si>
    <t>PWROTHHNDXX</t>
  </si>
  <si>
    <t>PWROTHMEXXX</t>
  </si>
  <si>
    <t>PWROTHNICXX</t>
  </si>
  <si>
    <t>PWROTHPANXX</t>
  </si>
  <si>
    <t>PWROTHPRYXX</t>
  </si>
  <si>
    <t>PWROTHPERXX</t>
  </si>
  <si>
    <t>PWROTHURYXX</t>
  </si>
  <si>
    <t>PWRPETARGXX</t>
  </si>
  <si>
    <t>PWRPETBRBXX</t>
  </si>
  <si>
    <t>PWRPETBOLXX</t>
  </si>
  <si>
    <t>PWRPETBRAXX</t>
  </si>
  <si>
    <t>PWRPETCHLXX</t>
  </si>
  <si>
    <t>PWRPETCOLXX</t>
  </si>
  <si>
    <t>PWRPETCRIXX</t>
  </si>
  <si>
    <t>PWRPETDOMXX</t>
  </si>
  <si>
    <t>PWRPETECUXX</t>
  </si>
  <si>
    <t>PWRPETSLVXX</t>
  </si>
  <si>
    <t>PWRPETGTMXX</t>
  </si>
  <si>
    <t>PWRPETHTIXX</t>
  </si>
  <si>
    <t>PWRPETHNDXX</t>
  </si>
  <si>
    <t>PWRPETMEXXX</t>
  </si>
  <si>
    <t>PWRPETNICXX</t>
  </si>
  <si>
    <t>PWRPETPANXX</t>
  </si>
  <si>
    <t>PWRPETPRYXX</t>
  </si>
  <si>
    <t>PWRPETPERXX</t>
  </si>
  <si>
    <t>PWRPETURYXX</t>
  </si>
  <si>
    <t>PWRSDSARGXX</t>
  </si>
  <si>
    <t>PWRSDSBRBXX</t>
  </si>
  <si>
    <t>PWRSDSBOLXX</t>
  </si>
  <si>
    <t>PWRSDSBRAXX</t>
  </si>
  <si>
    <t>PWRSDSCHLXX</t>
  </si>
  <si>
    <t>PWRSDSCOLXX</t>
  </si>
  <si>
    <t>PWRSDSCRIXX</t>
  </si>
  <si>
    <t>PWRSDSDOMXX</t>
  </si>
  <si>
    <t>PWRSDSECUXX</t>
  </si>
  <si>
    <t>PWRSDSSLVXX</t>
  </si>
  <si>
    <t>PWRSDSGTMXX</t>
  </si>
  <si>
    <t>PWRSDSHTIXX</t>
  </si>
  <si>
    <t>PWRSDSHNDXX</t>
  </si>
  <si>
    <t>PWRSDSMEXXX</t>
  </si>
  <si>
    <t>PWRSDSNICXX</t>
  </si>
  <si>
    <t>PWRSDSPANXX</t>
  </si>
  <si>
    <t>PWRSDSPRYXX</t>
  </si>
  <si>
    <t>PWRSDSPERXX</t>
  </si>
  <si>
    <t>PWRSDSURYXX</t>
  </si>
  <si>
    <t>PWRSPVARGXX</t>
  </si>
  <si>
    <t>PWRSPVBRBXX</t>
  </si>
  <si>
    <t>PWRSPVBOLXX</t>
  </si>
  <si>
    <t>PWRSPVBRAXX</t>
  </si>
  <si>
    <t>PWRSPVCHLXX</t>
  </si>
  <si>
    <t>PWRSPVCOLXX</t>
  </si>
  <si>
    <t>PWRSPVCRIXX</t>
  </si>
  <si>
    <t>PWRSPVDOMXX</t>
  </si>
  <si>
    <t>PWRSPVECUXX</t>
  </si>
  <si>
    <t>PWRSPVSLVXX</t>
  </si>
  <si>
    <t>PWRSPVGTMXX</t>
  </si>
  <si>
    <t>PWRSPVHTIXX</t>
  </si>
  <si>
    <t>PWRSPVHNDXX</t>
  </si>
  <si>
    <t>PWRSPVMEXXX</t>
  </si>
  <si>
    <t>PWRSPVNICXX</t>
  </si>
  <si>
    <t>PWRSPVPANXX</t>
  </si>
  <si>
    <t>PWRSPVPRYXX</t>
  </si>
  <si>
    <t>PWRSPVPERXX</t>
  </si>
  <si>
    <t>PWRSPVURYXX</t>
  </si>
  <si>
    <t>PWRWASARGXX</t>
  </si>
  <si>
    <t>PWRWASBRBXX</t>
  </si>
  <si>
    <t>PWRWASBOLXX</t>
  </si>
  <si>
    <t>PWRWASBRAXX</t>
  </si>
  <si>
    <t>PWRWASCHLXX</t>
  </si>
  <si>
    <t>PWRWASCOLXX</t>
  </si>
  <si>
    <t>PWRWASCRIXX</t>
  </si>
  <si>
    <t>PWRWASDOMXX</t>
  </si>
  <si>
    <t>PWRWASECUXX</t>
  </si>
  <si>
    <t>PWRWASSLVXX</t>
  </si>
  <si>
    <t>PWRWASGTMXX</t>
  </si>
  <si>
    <t>PWRWASHTIXX</t>
  </si>
  <si>
    <t>PWRWASHNDXX</t>
  </si>
  <si>
    <t>PWRWASMEXXX</t>
  </si>
  <si>
    <t>PWRWASNICXX</t>
  </si>
  <si>
    <t>PWRWASPANXX</t>
  </si>
  <si>
    <t>PWRWASPRYXX</t>
  </si>
  <si>
    <t>PWRWASPERXX</t>
  </si>
  <si>
    <t>PWRWASURYXX</t>
  </si>
  <si>
    <t>PWRWAVARGXX</t>
  </si>
  <si>
    <t>PWRWAVBRBXX</t>
  </si>
  <si>
    <t>PWRWAVBOLXX</t>
  </si>
  <si>
    <t>PWRWAVBRAXX</t>
  </si>
  <si>
    <t>PWRWAVCHLXX</t>
  </si>
  <si>
    <t>PWRWAVCOLXX</t>
  </si>
  <si>
    <t>PWRWAVCRIXX</t>
  </si>
  <si>
    <t>PWRWAVDOMXX</t>
  </si>
  <si>
    <t>PWRWAVECUXX</t>
  </si>
  <si>
    <t>PWRWAVSLVXX</t>
  </si>
  <si>
    <t>PWRWAVGTMXX</t>
  </si>
  <si>
    <t>PWRWAVHTIXX</t>
  </si>
  <si>
    <t>PWRWAVHNDXX</t>
  </si>
  <si>
    <t>PWRWAVMEXXX</t>
  </si>
  <si>
    <t>PWRWAVNICXX</t>
  </si>
  <si>
    <t>PWRWAVPANXX</t>
  </si>
  <si>
    <t>PWRWAVPRYXX</t>
  </si>
  <si>
    <t>PWRWAVPERXX</t>
  </si>
  <si>
    <t>PWRWAVURYXX</t>
  </si>
  <si>
    <t>AvailabilityFactor</t>
  </si>
  <si>
    <t>CapitalCost</t>
  </si>
  <si>
    <t>FixedCost</t>
  </si>
  <si>
    <t>ReserveMarginTagFuel</t>
  </si>
  <si>
    <t>ReserveMarginTagTechnology</t>
  </si>
  <si>
    <t>ResidualCapacity</t>
  </si>
  <si>
    <t>TotalAnnualMaxCapacity</t>
  </si>
  <si>
    <t>TotalAnnualMaxCapacityInvestment</t>
  </si>
  <si>
    <t>TotalAnnualMinCapacityInvestment</t>
  </si>
  <si>
    <t>TotalTechnologyAnnualActivityLowerLimit</t>
  </si>
  <si>
    <t>TotalTechnologyAnnualActivityUpperLimit</t>
  </si>
  <si>
    <t>YES</t>
  </si>
  <si>
    <t>EXISTING_ONLY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</si>
</sst>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366092"/>
      <name val="Calibri"/>
    </font>
    <font>
      <i/>
      <sz val="11"/>
      <name val="Calibri"/>
    </font>
    <font>
      <b/>
      <sz val="12"/>
      <color rgb="FFFFFFFF"/>
      <name val="Calibri"/>
    </font>
    <font>
      <b/>
      <sz val="12"/>
      <color rgb="FF366092"/>
      <name val="Calibri"/>
    </font>
    <font>
      <b/>
      <sz val="11"/>
      <name val="Calibri"/>
    </font>
    <font>
      <sz val="9"/>
      <name val="Calibri"/>
    </font>
    <font>
      <b/>
      <sz val="11"/>
      <color rgb="FF366092"/>
      <name val="Calibri"/>
    </font>
    <font>
      <b/>
      <sz val="16"/>
      <color rgb="FF366092"/>
      <name val="Calibri"/>
    </font>
    <font>
      <b/>
      <sz val="12"/>
      <name val="Calibri"/>
    </font>
    <font>
      <i/>
      <sz val="9"/>
      <name val="Calibri"/>
    </font>
    <font>
      <b/>
      <sz val="10"/>
      <name val="Calibri"/>
    </font>
    <font>
      <b/>
      <sz val="11"/>
      <color rgb="FFFF0000"/>
      <name val="Calibri"/>
    </font>
    <font>
      <b/>
      <i/>
      <sz val="9"/>
      <name val="Calibri"/>
    </font>
    <font>
      <b/>
      <sz val="16"/>
      <color rgb="FFFFFFFF"/>
      <name val="Calibri"/>
    </font>
    <font>
      <b/>
      <sz val="11"/>
      <name val="Calibri"/>
    </font>
    <font>
      <b/>
      <u/>
      <sz val="11"/>
      <name val="Calibri"/>
    </font>
    <font>
      <b/>
      <sz val="11"/>
      <color rgb="FFFF0000"/>
      <name val="Calibri"/>
    </font>
    <font>
      <b/>
      <sz val="11"/>
      <color rgb="FF00B05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A500"/>
        <bgColor rgb="FFFFA500"/>
      </patternFill>
    </fill>
    <fill>
      <patternFill patternType="solid">
        <fgColor rgb="FF70AD47"/>
        <bgColor rgb="FF70AD47"/>
      </patternFill>
    </fill>
    <fill>
      <patternFill patternType="solid">
        <fgColor rgb="FF5B9BD5"/>
        <bgColor rgb="FF5B9BD5"/>
      </patternFill>
    </fill>
    <fill>
      <patternFill patternType="solid">
        <fgColor rgb="FFC65911"/>
        <bgColor rgb="FFC65911"/>
      </patternFill>
    </fill>
    <fill>
      <patternFill patternType="solid">
        <fgColor rgb="FFE8EDF3"/>
        <bgColor rgb="FFE8EDF3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9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0" fillId="0" borderId="0" xfId="0" applyFont="1" applyAlignment="1">
      <alignment vertical="top" wrapText="1"/>
    </xf>
    <xf numFmtId="0" fontId="3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4" fillId="3" borderId="1" xfId="0" applyFont="1" applyFill="1" applyBorder="1"/>
    <xf numFmtId="0" fontId="0" fillId="0" borderId="1" xfId="0" applyBorder="1"/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9" borderId="1" xfId="0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/>
    </xf>
    <xf numFmtId="0" fontId="12" fillId="0" borderId="0" xfId="0" applyFont="1"/>
    <xf numFmtId="0" fontId="1" fillId="5" borderId="1" xfId="0" applyFont="1" applyFill="1" applyBorder="1" applyAlignment="1">
      <alignment horizontal="center" vertical="center"/>
    </xf>
    <xf numFmtId="10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2" fontId="0" fillId="0" borderId="1" xfId="0" applyNumberFormat="1" applyBorder="1"/>
    <xf numFmtId="0" fontId="1" fillId="2" borderId="0" xfId="0" applyFont="1" applyFill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0" borderId="1" xfId="0" applyBorder="1" applyAlignment="1" applyProtection="1">
      <alignment horizontal="center"/>
      <protection locked="0"/>
    </xf>
    <xf numFmtId="0" fontId="7" fillId="7" borderId="1" xfId="0" applyFont="1" applyFill="1" applyBorder="1"/>
    <xf numFmtId="0" fontId="0" fillId="8" borderId="1" xfId="0" applyFill="1" applyBorder="1" applyAlignment="1">
      <alignment horizontal="center"/>
    </xf>
    <xf numFmtId="0" fontId="7" fillId="8" borderId="1" xfId="0" applyFont="1" applyFill="1" applyBorder="1"/>
    <xf numFmtId="0" fontId="3" fillId="0" borderId="0" xfId="0" applyFont="1"/>
    <xf numFmtId="0" fontId="0" fillId="0" borderId="0" xfId="0"/>
    <xf numFmtId="0" fontId="4" fillId="11" borderId="0" xfId="0" applyFont="1" applyFill="1"/>
    <xf numFmtId="0" fontId="16" fillId="0" borderId="0" xfId="0" applyFont="1"/>
    <xf numFmtId="0" fontId="3" fillId="12" borderId="0" xfId="0" applyFont="1" applyFill="1"/>
    <xf numFmtId="0" fontId="15" fillId="10" borderId="0" xfId="0" applyFont="1" applyFill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2" fillId="0" borderId="0" xfId="0" applyFont="1"/>
    <xf numFmtId="0" fontId="8" fillId="0" borderId="0" xfId="0" applyFont="1"/>
    <xf numFmtId="0" fontId="5" fillId="0" borderId="0" xfId="0" applyFont="1"/>
    <xf numFmtId="0" fontId="11" fillId="0" borderId="0" xfId="0" applyFont="1"/>
    <xf numFmtId="0" fontId="14" fillId="0" borderId="0" xfId="0" applyFont="1"/>
    <xf numFmtId="0" fontId="12" fillId="0" borderId="0" xfId="0" applyFont="1"/>
    <xf numFmtId="0" fontId="13" fillId="0" borderId="0" xfId="0" applyFont="1"/>
    <xf numFmtId="0" fontId="1" fillId="4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5"/>
  <sheetViews>
    <sheetView workbookViewId="0"/>
  </sheetViews>
  <sheetFormatPr defaultRowHeight="15" x14ac:dyDescent="0.25"/>
  <cols>
    <col min="1" max="1" width="80" customWidth="1"/>
  </cols>
  <sheetData>
    <row r="1" spans="1:1" ht="21" x14ac:dyDescent="0.25">
      <c r="A1" s="1" t="s">
        <v>0</v>
      </c>
    </row>
    <row r="2" spans="1:1" x14ac:dyDescent="0.25">
      <c r="A2" s="2"/>
    </row>
    <row r="3" spans="1:1" x14ac:dyDescent="0.25">
      <c r="A3" s="2" t="s">
        <v>1</v>
      </c>
    </row>
    <row r="4" spans="1:1" x14ac:dyDescent="0.25">
      <c r="A4" s="2"/>
    </row>
    <row r="5" spans="1:1" ht="15.75" x14ac:dyDescent="0.25">
      <c r="A5" s="3" t="s">
        <v>2</v>
      </c>
    </row>
    <row r="6" spans="1:1" x14ac:dyDescent="0.25">
      <c r="A6" s="2" t="s">
        <v>3</v>
      </c>
    </row>
    <row r="7" spans="1:1" x14ac:dyDescent="0.25">
      <c r="A7" s="2" t="s">
        <v>4</v>
      </c>
    </row>
    <row r="8" spans="1:1" x14ac:dyDescent="0.25">
      <c r="A8" s="2" t="s">
        <v>5</v>
      </c>
    </row>
    <row r="9" spans="1:1" x14ac:dyDescent="0.25">
      <c r="A9" s="2" t="s">
        <v>6</v>
      </c>
    </row>
    <row r="10" spans="1:1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 t="s">
        <v>9</v>
      </c>
    </row>
    <row r="13" spans="1:1" x14ac:dyDescent="0.25">
      <c r="A13" s="2" t="s">
        <v>10</v>
      </c>
    </row>
    <row r="14" spans="1:1" x14ac:dyDescent="0.25">
      <c r="A14" s="2" t="s">
        <v>11</v>
      </c>
    </row>
    <row r="15" spans="1:1" x14ac:dyDescent="0.25">
      <c r="A15" s="2"/>
    </row>
    <row r="16" spans="1:1" x14ac:dyDescent="0.25">
      <c r="A16" s="2" t="s">
        <v>12</v>
      </c>
    </row>
    <row r="17" spans="1:1" x14ac:dyDescent="0.25">
      <c r="A17" s="2" t="s">
        <v>13</v>
      </c>
    </row>
    <row r="18" spans="1:1" x14ac:dyDescent="0.25">
      <c r="A18" s="2"/>
    </row>
    <row r="19" spans="1:1" ht="15.75" x14ac:dyDescent="0.25">
      <c r="A19" s="3" t="s">
        <v>14</v>
      </c>
    </row>
    <row r="20" spans="1:1" x14ac:dyDescent="0.25">
      <c r="A20" s="2" t="s">
        <v>15</v>
      </c>
    </row>
    <row r="21" spans="1:1" x14ac:dyDescent="0.25">
      <c r="A21" s="2" t="s">
        <v>16</v>
      </c>
    </row>
    <row r="22" spans="1:1" x14ac:dyDescent="0.25">
      <c r="A22" s="2" t="s">
        <v>17</v>
      </c>
    </row>
    <row r="23" spans="1:1" x14ac:dyDescent="0.25">
      <c r="A23" s="2" t="s">
        <v>18</v>
      </c>
    </row>
    <row r="24" spans="1:1" x14ac:dyDescent="0.25">
      <c r="A24" s="2" t="s">
        <v>19</v>
      </c>
    </row>
    <row r="25" spans="1:1" x14ac:dyDescent="0.25">
      <c r="A25" s="2"/>
    </row>
    <row r="26" spans="1:1" x14ac:dyDescent="0.25">
      <c r="A26" s="2" t="s">
        <v>20</v>
      </c>
    </row>
    <row r="27" spans="1:1" x14ac:dyDescent="0.25">
      <c r="A27" s="2" t="s">
        <v>21</v>
      </c>
    </row>
    <row r="28" spans="1:1" x14ac:dyDescent="0.25">
      <c r="A28" s="2" t="s">
        <v>22</v>
      </c>
    </row>
    <row r="29" spans="1:1" x14ac:dyDescent="0.25">
      <c r="A29" s="2" t="s">
        <v>23</v>
      </c>
    </row>
    <row r="30" spans="1:1" x14ac:dyDescent="0.25">
      <c r="A30" s="2" t="s">
        <v>24</v>
      </c>
    </row>
    <row r="31" spans="1:1" x14ac:dyDescent="0.25">
      <c r="A31" s="2" t="s">
        <v>25</v>
      </c>
    </row>
    <row r="32" spans="1:1" x14ac:dyDescent="0.25">
      <c r="A32" s="2"/>
    </row>
    <row r="33" spans="1:1" x14ac:dyDescent="0.25">
      <c r="A33" s="2" t="s">
        <v>26</v>
      </c>
    </row>
    <row r="34" spans="1:1" ht="30" x14ac:dyDescent="0.25">
      <c r="A34" s="2" t="s">
        <v>27</v>
      </c>
    </row>
    <row r="35" spans="1:1" ht="30" x14ac:dyDescent="0.25">
      <c r="A35" s="2" t="s">
        <v>28</v>
      </c>
    </row>
    <row r="36" spans="1:1" x14ac:dyDescent="0.25">
      <c r="A36" s="2" t="s">
        <v>29</v>
      </c>
    </row>
    <row r="37" spans="1:1" x14ac:dyDescent="0.25">
      <c r="A37" s="2" t="s">
        <v>30</v>
      </c>
    </row>
    <row r="38" spans="1:1" x14ac:dyDescent="0.25">
      <c r="A38" s="2"/>
    </row>
    <row r="39" spans="1:1" ht="15.75" x14ac:dyDescent="0.25">
      <c r="A39" s="3" t="s">
        <v>31</v>
      </c>
    </row>
    <row r="40" spans="1:1" x14ac:dyDescent="0.25">
      <c r="A40" s="2" t="s">
        <v>32</v>
      </c>
    </row>
    <row r="41" spans="1:1" x14ac:dyDescent="0.25">
      <c r="A41" s="2" t="s">
        <v>33</v>
      </c>
    </row>
    <row r="42" spans="1:1" x14ac:dyDescent="0.25">
      <c r="A42" s="2" t="s">
        <v>34</v>
      </c>
    </row>
    <row r="43" spans="1:1" ht="30" x14ac:dyDescent="0.25">
      <c r="A43" s="2" t="s">
        <v>35</v>
      </c>
    </row>
    <row r="44" spans="1:1" ht="30" x14ac:dyDescent="0.25">
      <c r="A44" s="2" t="s">
        <v>36</v>
      </c>
    </row>
    <row r="45" spans="1:1" x14ac:dyDescent="0.25">
      <c r="A45" s="2" t="s">
        <v>37</v>
      </c>
    </row>
    <row r="46" spans="1:1" x14ac:dyDescent="0.25">
      <c r="A46" s="2"/>
    </row>
    <row r="47" spans="1:1" ht="15.75" x14ac:dyDescent="0.25">
      <c r="A47" s="3" t="s">
        <v>38</v>
      </c>
    </row>
    <row r="48" spans="1:1" x14ac:dyDescent="0.25">
      <c r="A48" s="2" t="s">
        <v>39</v>
      </c>
    </row>
    <row r="49" spans="1:1" x14ac:dyDescent="0.25">
      <c r="A49" s="2" t="s">
        <v>40</v>
      </c>
    </row>
    <row r="50" spans="1:1" x14ac:dyDescent="0.25">
      <c r="A50" s="2" t="s">
        <v>41</v>
      </c>
    </row>
    <row r="51" spans="1:1" x14ac:dyDescent="0.25">
      <c r="A51" s="2" t="s">
        <v>42</v>
      </c>
    </row>
    <row r="52" spans="1:1" x14ac:dyDescent="0.25">
      <c r="A52" s="2" t="s">
        <v>43</v>
      </c>
    </row>
    <row r="53" spans="1:1" x14ac:dyDescent="0.25">
      <c r="A53" s="2" t="s">
        <v>44</v>
      </c>
    </row>
    <row r="54" spans="1:1" x14ac:dyDescent="0.25">
      <c r="A54" s="2"/>
    </row>
    <row r="55" spans="1:1" x14ac:dyDescent="0.25">
      <c r="A55" s="2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6"/>
  <sheetViews>
    <sheetView workbookViewId="0">
      <selection sqref="A1:H1"/>
    </sheetView>
  </sheetViews>
  <sheetFormatPr defaultRowHeight="15" x14ac:dyDescent="0.25"/>
  <cols>
    <col min="1" max="1" width="100" customWidth="1"/>
    <col min="2" max="8" width="12" customWidth="1"/>
  </cols>
  <sheetData>
    <row r="1" spans="1:8" ht="24.95" customHeight="1" x14ac:dyDescent="0.25">
      <c r="A1" s="34" t="s">
        <v>46</v>
      </c>
      <c r="B1" s="30"/>
      <c r="C1" s="30"/>
      <c r="D1" s="30"/>
      <c r="E1" s="30"/>
      <c r="F1" s="30"/>
      <c r="G1" s="30"/>
      <c r="H1" s="30"/>
    </row>
    <row r="3" spans="1:8" ht="15.75" x14ac:dyDescent="0.25">
      <c r="A3" s="31" t="s">
        <v>47</v>
      </c>
      <c r="B3" s="30"/>
      <c r="C3" s="30"/>
      <c r="D3" s="30"/>
      <c r="E3" s="30"/>
      <c r="F3" s="30"/>
      <c r="G3" s="30"/>
      <c r="H3" s="30"/>
    </row>
    <row r="4" spans="1:8" x14ac:dyDescent="0.25">
      <c r="A4" s="29" t="s">
        <v>48</v>
      </c>
      <c r="B4" s="30"/>
      <c r="C4" s="30"/>
      <c r="D4" s="30"/>
      <c r="E4" s="30"/>
      <c r="F4" s="30"/>
      <c r="G4" s="30"/>
      <c r="H4" s="30"/>
    </row>
    <row r="6" spans="1:8" x14ac:dyDescent="0.25">
      <c r="A6" s="5" t="s">
        <v>49</v>
      </c>
    </row>
    <row r="7" spans="1:8" x14ac:dyDescent="0.25">
      <c r="A7" t="s">
        <v>50</v>
      </c>
    </row>
    <row r="8" spans="1:8" x14ac:dyDescent="0.25">
      <c r="A8" t="s">
        <v>51</v>
      </c>
    </row>
    <row r="9" spans="1:8" x14ac:dyDescent="0.25">
      <c r="A9" t="s">
        <v>52</v>
      </c>
    </row>
    <row r="10" spans="1:8" x14ac:dyDescent="0.25">
      <c r="A10" t="s">
        <v>53</v>
      </c>
    </row>
    <row r="12" spans="1:8" x14ac:dyDescent="0.25">
      <c r="A12" s="4" t="s">
        <v>54</v>
      </c>
    </row>
    <row r="15" spans="1:8" ht="15.75" x14ac:dyDescent="0.25">
      <c r="A15" s="31" t="s">
        <v>55</v>
      </c>
      <c r="B15" s="30"/>
      <c r="C15" s="30"/>
      <c r="D15" s="30"/>
      <c r="E15" s="30"/>
      <c r="F15" s="30"/>
      <c r="G15" s="30"/>
      <c r="H15" s="30"/>
    </row>
    <row r="16" spans="1:8" x14ac:dyDescent="0.25">
      <c r="A16" s="32" t="s">
        <v>56</v>
      </c>
      <c r="B16" s="30"/>
      <c r="C16" s="30"/>
      <c r="D16" s="30"/>
      <c r="E16" s="30"/>
      <c r="F16" s="30"/>
      <c r="G16" s="30"/>
      <c r="H16" s="30"/>
    </row>
    <row r="18" spans="1:8" x14ac:dyDescent="0.25">
      <c r="A18" s="29" t="s">
        <v>57</v>
      </c>
      <c r="B18" s="30"/>
      <c r="C18" s="30"/>
      <c r="D18" s="30"/>
      <c r="E18" s="30"/>
      <c r="F18" s="30"/>
      <c r="G18" s="30"/>
      <c r="H18" s="30"/>
    </row>
    <row r="20" spans="1:8" x14ac:dyDescent="0.25">
      <c r="A20" s="29" t="s">
        <v>58</v>
      </c>
      <c r="B20" s="30"/>
      <c r="C20" s="30"/>
      <c r="D20" s="30"/>
      <c r="E20" s="30"/>
      <c r="F20" s="30"/>
      <c r="G20" s="30"/>
      <c r="H20" s="30"/>
    </row>
    <row r="22" spans="1:8" x14ac:dyDescent="0.25">
      <c r="A22" s="5" t="s">
        <v>59</v>
      </c>
    </row>
    <row r="23" spans="1:8" x14ac:dyDescent="0.25">
      <c r="A23" t="s">
        <v>60</v>
      </c>
    </row>
    <row r="24" spans="1:8" x14ac:dyDescent="0.25">
      <c r="A24" t="s">
        <v>61</v>
      </c>
    </row>
    <row r="25" spans="1:8" x14ac:dyDescent="0.25">
      <c r="A25" t="s">
        <v>62</v>
      </c>
    </row>
    <row r="26" spans="1:8" x14ac:dyDescent="0.25">
      <c r="A26" t="s">
        <v>63</v>
      </c>
    </row>
    <row r="27" spans="1:8" x14ac:dyDescent="0.25">
      <c r="A27" t="s">
        <v>64</v>
      </c>
    </row>
    <row r="29" spans="1:8" x14ac:dyDescent="0.25">
      <c r="A29" t="s">
        <v>65</v>
      </c>
    </row>
    <row r="30" spans="1:8" x14ac:dyDescent="0.25">
      <c r="A30" t="s">
        <v>66</v>
      </c>
    </row>
    <row r="31" spans="1:8" x14ac:dyDescent="0.25">
      <c r="A31" t="s">
        <v>67</v>
      </c>
    </row>
    <row r="32" spans="1:8" x14ac:dyDescent="0.25">
      <c r="A32" t="s">
        <v>68</v>
      </c>
    </row>
    <row r="33" spans="1:8" x14ac:dyDescent="0.25">
      <c r="A33" t="s">
        <v>69</v>
      </c>
    </row>
    <row r="34" spans="1:8" x14ac:dyDescent="0.25">
      <c r="A34" t="s">
        <v>70</v>
      </c>
    </row>
    <row r="37" spans="1:8" ht="15.75" x14ac:dyDescent="0.25">
      <c r="A37" s="31" t="s">
        <v>71</v>
      </c>
      <c r="B37" s="30"/>
      <c r="C37" s="30"/>
      <c r="D37" s="30"/>
      <c r="E37" s="30"/>
      <c r="F37" s="30"/>
      <c r="G37" s="30"/>
      <c r="H37" s="30"/>
    </row>
    <row r="38" spans="1:8" x14ac:dyDescent="0.25">
      <c r="A38" s="32" t="s">
        <v>72</v>
      </c>
      <c r="B38" s="30"/>
      <c r="C38" s="30"/>
      <c r="D38" s="30"/>
      <c r="E38" s="30"/>
      <c r="F38" s="30"/>
      <c r="G38" s="30"/>
      <c r="H38" s="30"/>
    </row>
    <row r="39" spans="1:8" x14ac:dyDescent="0.25">
      <c r="A39" t="s">
        <v>73</v>
      </c>
    </row>
    <row r="40" spans="1:8" x14ac:dyDescent="0.25">
      <c r="A40" t="s">
        <v>74</v>
      </c>
    </row>
    <row r="42" spans="1:8" x14ac:dyDescent="0.25">
      <c r="A42" s="4" t="s">
        <v>75</v>
      </c>
    </row>
    <row r="44" spans="1:8" x14ac:dyDescent="0.25">
      <c r="A44" s="32" t="s">
        <v>76</v>
      </c>
      <c r="B44" s="30"/>
      <c r="C44" s="30"/>
      <c r="D44" s="30"/>
      <c r="E44" s="30"/>
      <c r="F44" s="30"/>
      <c r="G44" s="30"/>
      <c r="H44" s="30"/>
    </row>
    <row r="45" spans="1:8" x14ac:dyDescent="0.25">
      <c r="A45" s="30" t="s">
        <v>77</v>
      </c>
      <c r="B45" s="30"/>
      <c r="C45" s="30"/>
      <c r="D45" s="30"/>
      <c r="E45" s="30"/>
      <c r="F45" s="30"/>
      <c r="G45" s="30"/>
      <c r="H45" s="30"/>
    </row>
    <row r="48" spans="1:8" ht="15.75" x14ac:dyDescent="0.25">
      <c r="A48" s="31" t="s">
        <v>78</v>
      </c>
      <c r="B48" s="30"/>
      <c r="C48" s="30"/>
      <c r="D48" s="30"/>
      <c r="E48" s="30"/>
      <c r="F48" s="30"/>
      <c r="G48" s="30"/>
      <c r="H48" s="30"/>
    </row>
    <row r="49" spans="1:8" x14ac:dyDescent="0.25">
      <c r="A49" s="32" t="s">
        <v>79</v>
      </c>
      <c r="B49" s="30"/>
      <c r="C49" s="30"/>
      <c r="D49" s="30"/>
      <c r="E49" s="30"/>
      <c r="F49" s="30"/>
      <c r="G49" s="30"/>
      <c r="H49" s="30"/>
    </row>
    <row r="51" spans="1:8" x14ac:dyDescent="0.25">
      <c r="A51" s="5" t="s">
        <v>80</v>
      </c>
    </row>
    <row r="52" spans="1:8" x14ac:dyDescent="0.25">
      <c r="A52" t="s">
        <v>81</v>
      </c>
    </row>
    <row r="53" spans="1:8" x14ac:dyDescent="0.25">
      <c r="A53" t="s">
        <v>82</v>
      </c>
    </row>
    <row r="54" spans="1:8" x14ac:dyDescent="0.25">
      <c r="A54" t="s">
        <v>83</v>
      </c>
    </row>
    <row r="55" spans="1:8" x14ac:dyDescent="0.25">
      <c r="A55" t="s">
        <v>84</v>
      </c>
    </row>
    <row r="56" spans="1:8" x14ac:dyDescent="0.25">
      <c r="A56" t="s">
        <v>85</v>
      </c>
    </row>
    <row r="57" spans="1:8" x14ac:dyDescent="0.25">
      <c r="A57" t="s">
        <v>86</v>
      </c>
    </row>
    <row r="58" spans="1:8" x14ac:dyDescent="0.25">
      <c r="A58" t="s">
        <v>87</v>
      </c>
    </row>
    <row r="59" spans="1:8" x14ac:dyDescent="0.25">
      <c r="A59" t="s">
        <v>88</v>
      </c>
    </row>
    <row r="61" spans="1:8" x14ac:dyDescent="0.25">
      <c r="A61" s="6" t="s">
        <v>89</v>
      </c>
    </row>
    <row r="62" spans="1:8" x14ac:dyDescent="0.25">
      <c r="A62" t="s">
        <v>90</v>
      </c>
    </row>
    <row r="63" spans="1:8" x14ac:dyDescent="0.25">
      <c r="A63" t="s">
        <v>91</v>
      </c>
    </row>
    <row r="64" spans="1:8" x14ac:dyDescent="0.25">
      <c r="A64" t="s">
        <v>92</v>
      </c>
    </row>
    <row r="66" spans="1:8" x14ac:dyDescent="0.25">
      <c r="A66" s="6" t="s">
        <v>93</v>
      </c>
    </row>
    <row r="67" spans="1:8" x14ac:dyDescent="0.25">
      <c r="A67" t="s">
        <v>94</v>
      </c>
    </row>
    <row r="68" spans="1:8" x14ac:dyDescent="0.25">
      <c r="A68" t="s">
        <v>95</v>
      </c>
    </row>
    <row r="69" spans="1:8" x14ac:dyDescent="0.25">
      <c r="A69" t="s">
        <v>96</v>
      </c>
    </row>
    <row r="71" spans="1:8" x14ac:dyDescent="0.25">
      <c r="A71" s="6" t="s">
        <v>97</v>
      </c>
    </row>
    <row r="72" spans="1:8" x14ac:dyDescent="0.25">
      <c r="A72" s="7" t="s">
        <v>98</v>
      </c>
    </row>
    <row r="73" spans="1:8" x14ac:dyDescent="0.25">
      <c r="A73" s="8" t="s">
        <v>99</v>
      </c>
    </row>
    <row r="74" spans="1:8" x14ac:dyDescent="0.25">
      <c r="A74" s="8" t="s">
        <v>100</v>
      </c>
    </row>
    <row r="76" spans="1:8" x14ac:dyDescent="0.25">
      <c r="A76" s="33" t="s">
        <v>101</v>
      </c>
      <c r="B76" s="30"/>
      <c r="C76" s="30"/>
      <c r="D76" s="30"/>
      <c r="E76" s="30"/>
      <c r="F76" s="30"/>
      <c r="G76" s="30"/>
      <c r="H76" s="30"/>
    </row>
  </sheetData>
  <mergeCells count="14">
    <mergeCell ref="A76:H76"/>
    <mergeCell ref="A49:H49"/>
    <mergeCell ref="A44:H44"/>
    <mergeCell ref="A1:H1"/>
    <mergeCell ref="A37:H37"/>
    <mergeCell ref="A18:H18"/>
    <mergeCell ref="A4:H4"/>
    <mergeCell ref="A45:H45"/>
    <mergeCell ref="A3:H3"/>
    <mergeCell ref="A48:H48"/>
    <mergeCell ref="A15:H15"/>
    <mergeCell ref="A20:H20"/>
    <mergeCell ref="A38:H38"/>
    <mergeCell ref="A16:H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5"/>
  <sheetViews>
    <sheetView tabSelected="1" workbookViewId="0">
      <selection activeCell="B11" sqref="B11"/>
    </sheetView>
  </sheetViews>
  <sheetFormatPr defaultRowHeight="15" x14ac:dyDescent="0.25"/>
  <cols>
    <col min="1" max="1" width="80" customWidth="1"/>
    <col min="2" max="2" width="20" customWidth="1"/>
  </cols>
  <sheetData>
    <row r="1" spans="1:2" ht="18.75" x14ac:dyDescent="0.3">
      <c r="A1" s="37" t="s">
        <v>102</v>
      </c>
      <c r="B1" s="30"/>
    </row>
    <row r="2" spans="1:2" x14ac:dyDescent="0.25">
      <c r="A2" s="29" t="s">
        <v>103</v>
      </c>
      <c r="B2" s="30"/>
    </row>
    <row r="4" spans="1:2" ht="15.75" x14ac:dyDescent="0.25">
      <c r="A4" s="9" t="s">
        <v>104</v>
      </c>
      <c r="B4" s="9" t="s">
        <v>105</v>
      </c>
    </row>
    <row r="5" spans="1:2" x14ac:dyDescent="0.25">
      <c r="A5" s="10" t="s">
        <v>106</v>
      </c>
      <c r="B5" s="10" t="s">
        <v>1359</v>
      </c>
    </row>
    <row r="6" spans="1:2" x14ac:dyDescent="0.25">
      <c r="A6" s="10" t="s">
        <v>108</v>
      </c>
      <c r="B6" s="10" t="s">
        <v>109</v>
      </c>
    </row>
    <row r="7" spans="1:2" x14ac:dyDescent="0.25">
      <c r="A7" s="10" t="s">
        <v>110</v>
      </c>
      <c r="B7" s="10" t="s">
        <v>1359</v>
      </c>
    </row>
    <row r="8" spans="1:2" x14ac:dyDescent="0.25">
      <c r="A8" s="10" t="s">
        <v>111</v>
      </c>
      <c r="B8" s="10" t="s">
        <v>107</v>
      </c>
    </row>
    <row r="9" spans="1:2" x14ac:dyDescent="0.25">
      <c r="A9" s="10" t="s">
        <v>112</v>
      </c>
      <c r="B9" s="10" t="s">
        <v>1360</v>
      </c>
    </row>
    <row r="10" spans="1:2" x14ac:dyDescent="0.25">
      <c r="A10" s="10" t="s">
        <v>113</v>
      </c>
      <c r="B10" s="10" t="s">
        <v>1359</v>
      </c>
    </row>
    <row r="11" spans="1:2" x14ac:dyDescent="0.25">
      <c r="A11" s="10" t="s">
        <v>114</v>
      </c>
      <c r="B11" s="10" t="s">
        <v>107</v>
      </c>
    </row>
    <row r="13" spans="1:2" ht="15.75" x14ac:dyDescent="0.25">
      <c r="A13" s="39" t="s">
        <v>115</v>
      </c>
      <c r="B13" s="30"/>
    </row>
    <row r="15" spans="1:2" x14ac:dyDescent="0.25">
      <c r="A15" s="35" t="s">
        <v>116</v>
      </c>
      <c r="B15" s="30"/>
    </row>
    <row r="16" spans="1:2" x14ac:dyDescent="0.25">
      <c r="A16" s="36" t="s">
        <v>117</v>
      </c>
      <c r="B16" s="30"/>
    </row>
    <row r="17" spans="1:2" x14ac:dyDescent="0.25">
      <c r="A17" s="36"/>
      <c r="B17" s="30"/>
    </row>
    <row r="18" spans="1:2" x14ac:dyDescent="0.25">
      <c r="A18" s="36" t="s">
        <v>118</v>
      </c>
      <c r="B18" s="30"/>
    </row>
    <row r="19" spans="1:2" x14ac:dyDescent="0.25">
      <c r="A19" s="36" t="s">
        <v>119</v>
      </c>
      <c r="B19" s="30"/>
    </row>
    <row r="20" spans="1:2" x14ac:dyDescent="0.25">
      <c r="A20" s="36" t="s">
        <v>120</v>
      </c>
      <c r="B20" s="30"/>
    </row>
    <row r="21" spans="1:2" x14ac:dyDescent="0.25">
      <c r="A21" s="36" t="s">
        <v>121</v>
      </c>
      <c r="B21" s="30"/>
    </row>
    <row r="22" spans="1:2" x14ac:dyDescent="0.25">
      <c r="A22" s="36" t="s">
        <v>122</v>
      </c>
      <c r="B22" s="30"/>
    </row>
    <row r="23" spans="1:2" x14ac:dyDescent="0.25">
      <c r="A23" s="36"/>
      <c r="B23" s="30"/>
    </row>
    <row r="24" spans="1:2" x14ac:dyDescent="0.25">
      <c r="A24" s="36" t="s">
        <v>123</v>
      </c>
      <c r="B24" s="30"/>
    </row>
    <row r="25" spans="1:2" x14ac:dyDescent="0.25">
      <c r="A25" s="36" t="s">
        <v>124</v>
      </c>
      <c r="B25" s="30"/>
    </row>
    <row r="26" spans="1:2" x14ac:dyDescent="0.25">
      <c r="A26" s="36"/>
      <c r="B26" s="30"/>
    </row>
    <row r="27" spans="1:2" x14ac:dyDescent="0.25">
      <c r="A27" s="36" t="s">
        <v>125</v>
      </c>
      <c r="B27" s="30"/>
    </row>
    <row r="28" spans="1:2" x14ac:dyDescent="0.25">
      <c r="A28" s="36" t="s">
        <v>126</v>
      </c>
      <c r="B28" s="30"/>
    </row>
    <row r="29" spans="1:2" x14ac:dyDescent="0.25">
      <c r="A29" s="36" t="s">
        <v>127</v>
      </c>
      <c r="B29" s="30"/>
    </row>
    <row r="31" spans="1:2" x14ac:dyDescent="0.25">
      <c r="A31" s="35" t="s">
        <v>128</v>
      </c>
      <c r="B31" s="30"/>
    </row>
    <row r="32" spans="1:2" x14ac:dyDescent="0.25">
      <c r="A32" s="36" t="s">
        <v>129</v>
      </c>
      <c r="B32" s="30"/>
    </row>
    <row r="33" spans="1:2" x14ac:dyDescent="0.25">
      <c r="A33" s="36"/>
      <c r="B33" s="30"/>
    </row>
    <row r="34" spans="1:2" x14ac:dyDescent="0.25">
      <c r="A34" s="36" t="s">
        <v>130</v>
      </c>
      <c r="B34" s="30"/>
    </row>
    <row r="35" spans="1:2" x14ac:dyDescent="0.25">
      <c r="A35" s="36" t="s">
        <v>131</v>
      </c>
      <c r="B35" s="30"/>
    </row>
    <row r="36" spans="1:2" x14ac:dyDescent="0.25">
      <c r="A36" s="36" t="s">
        <v>132</v>
      </c>
      <c r="B36" s="30"/>
    </row>
    <row r="37" spans="1:2" x14ac:dyDescent="0.25">
      <c r="A37" s="36"/>
      <c r="B37" s="30"/>
    </row>
    <row r="38" spans="1:2" x14ac:dyDescent="0.25">
      <c r="A38" s="36" t="s">
        <v>133</v>
      </c>
      <c r="B38" s="30"/>
    </row>
    <row r="39" spans="1:2" x14ac:dyDescent="0.25">
      <c r="A39" s="36" t="s">
        <v>134</v>
      </c>
      <c r="B39" s="30"/>
    </row>
    <row r="40" spans="1:2" x14ac:dyDescent="0.25">
      <c r="A40" s="36" t="s">
        <v>135</v>
      </c>
      <c r="B40" s="30"/>
    </row>
    <row r="41" spans="1:2" x14ac:dyDescent="0.25">
      <c r="A41" s="36" t="s">
        <v>136</v>
      </c>
      <c r="B41" s="30"/>
    </row>
    <row r="42" spans="1:2" x14ac:dyDescent="0.25">
      <c r="A42" s="36"/>
      <c r="B42" s="30"/>
    </row>
    <row r="43" spans="1:2" x14ac:dyDescent="0.25">
      <c r="A43" s="36" t="s">
        <v>137</v>
      </c>
      <c r="B43" s="30"/>
    </row>
    <row r="44" spans="1:2" x14ac:dyDescent="0.25">
      <c r="A44" s="36" t="s">
        <v>138</v>
      </c>
      <c r="B44" s="30"/>
    </row>
    <row r="45" spans="1:2" x14ac:dyDescent="0.25">
      <c r="A45" s="36" t="s">
        <v>139</v>
      </c>
      <c r="B45" s="30"/>
    </row>
    <row r="47" spans="1:2" x14ac:dyDescent="0.25">
      <c r="A47" s="35" t="s">
        <v>140</v>
      </c>
      <c r="B47" s="30"/>
    </row>
    <row r="48" spans="1:2" x14ac:dyDescent="0.25">
      <c r="A48" s="36" t="s">
        <v>141</v>
      </c>
      <c r="B48" s="30"/>
    </row>
    <row r="49" spans="1:2" x14ac:dyDescent="0.25">
      <c r="A49" s="36"/>
      <c r="B49" s="30"/>
    </row>
    <row r="50" spans="1:2" x14ac:dyDescent="0.25">
      <c r="A50" s="36" t="s">
        <v>118</v>
      </c>
      <c r="B50" s="30"/>
    </row>
    <row r="51" spans="1:2" x14ac:dyDescent="0.25">
      <c r="A51" s="36" t="s">
        <v>142</v>
      </c>
      <c r="B51" s="30"/>
    </row>
    <row r="52" spans="1:2" x14ac:dyDescent="0.25">
      <c r="A52" s="36" t="s">
        <v>143</v>
      </c>
      <c r="B52" s="30"/>
    </row>
    <row r="53" spans="1:2" x14ac:dyDescent="0.25">
      <c r="A53" s="36" t="s">
        <v>144</v>
      </c>
      <c r="B53" s="30"/>
    </row>
    <row r="54" spans="1:2" x14ac:dyDescent="0.25">
      <c r="A54" s="36" t="s">
        <v>145</v>
      </c>
      <c r="B54" s="30"/>
    </row>
    <row r="55" spans="1:2" x14ac:dyDescent="0.25">
      <c r="A55" s="36"/>
      <c r="B55" s="30"/>
    </row>
    <row r="56" spans="1:2" x14ac:dyDescent="0.25">
      <c r="A56" s="36" t="s">
        <v>123</v>
      </c>
      <c r="B56" s="30"/>
    </row>
    <row r="57" spans="1:2" x14ac:dyDescent="0.25">
      <c r="A57" s="36" t="s">
        <v>146</v>
      </c>
      <c r="B57" s="30"/>
    </row>
    <row r="58" spans="1:2" x14ac:dyDescent="0.25">
      <c r="A58" s="36"/>
      <c r="B58" s="30"/>
    </row>
    <row r="59" spans="1:2" x14ac:dyDescent="0.25">
      <c r="A59" s="36" t="s">
        <v>147</v>
      </c>
      <c r="B59" s="30"/>
    </row>
    <row r="60" spans="1:2" x14ac:dyDescent="0.25">
      <c r="A60" s="36" t="s">
        <v>148</v>
      </c>
      <c r="B60" s="30"/>
    </row>
    <row r="61" spans="1:2" x14ac:dyDescent="0.25">
      <c r="A61" s="36" t="s">
        <v>149</v>
      </c>
      <c r="B61" s="30"/>
    </row>
    <row r="62" spans="1:2" x14ac:dyDescent="0.25">
      <c r="A62" s="36"/>
      <c r="B62" s="30"/>
    </row>
    <row r="63" spans="1:2" x14ac:dyDescent="0.25">
      <c r="A63" s="36" t="s">
        <v>150</v>
      </c>
      <c r="B63" s="30"/>
    </row>
    <row r="64" spans="1:2" x14ac:dyDescent="0.25">
      <c r="A64" s="36" t="s">
        <v>151</v>
      </c>
      <c r="B64" s="30"/>
    </row>
    <row r="66" spans="1:2" x14ac:dyDescent="0.25">
      <c r="A66" s="35" t="s">
        <v>152</v>
      </c>
      <c r="B66" s="30"/>
    </row>
    <row r="67" spans="1:2" x14ac:dyDescent="0.25">
      <c r="A67" s="36" t="s">
        <v>153</v>
      </c>
      <c r="B67" s="30"/>
    </row>
    <row r="68" spans="1:2" x14ac:dyDescent="0.25">
      <c r="A68" s="36"/>
      <c r="B68" s="30"/>
    </row>
    <row r="69" spans="1:2" x14ac:dyDescent="0.25">
      <c r="A69" s="36" t="s">
        <v>154</v>
      </c>
      <c r="B69" s="30"/>
    </row>
    <row r="70" spans="1:2" x14ac:dyDescent="0.25">
      <c r="A70" s="36" t="s">
        <v>155</v>
      </c>
      <c r="B70" s="30"/>
    </row>
    <row r="71" spans="1:2" x14ac:dyDescent="0.25">
      <c r="A71" s="36" t="s">
        <v>156</v>
      </c>
      <c r="B71" s="30"/>
    </row>
    <row r="72" spans="1:2" x14ac:dyDescent="0.25">
      <c r="A72" s="36" t="s">
        <v>157</v>
      </c>
      <c r="B72" s="30"/>
    </row>
    <row r="73" spans="1:2" x14ac:dyDescent="0.25">
      <c r="A73" s="36" t="s">
        <v>158</v>
      </c>
      <c r="B73" s="30"/>
    </row>
    <row r="74" spans="1:2" x14ac:dyDescent="0.25">
      <c r="A74" s="36"/>
      <c r="B74" s="30"/>
    </row>
    <row r="75" spans="1:2" x14ac:dyDescent="0.25">
      <c r="A75" s="36" t="s">
        <v>123</v>
      </c>
      <c r="B75" s="30"/>
    </row>
    <row r="76" spans="1:2" x14ac:dyDescent="0.25">
      <c r="A76" s="36" t="s">
        <v>159</v>
      </c>
      <c r="B76" s="30"/>
    </row>
    <row r="77" spans="1:2" x14ac:dyDescent="0.25">
      <c r="A77" s="36"/>
      <c r="B77" s="30"/>
    </row>
    <row r="78" spans="1:2" x14ac:dyDescent="0.25">
      <c r="A78" s="36" t="s">
        <v>160</v>
      </c>
      <c r="B78" s="30"/>
    </row>
    <row r="79" spans="1:2" x14ac:dyDescent="0.25">
      <c r="A79" s="36" t="s">
        <v>161</v>
      </c>
      <c r="B79" s="30"/>
    </row>
    <row r="80" spans="1:2" x14ac:dyDescent="0.25">
      <c r="A80" s="36" t="s">
        <v>162</v>
      </c>
      <c r="B80" s="30"/>
    </row>
    <row r="81" spans="1:2" x14ac:dyDescent="0.25">
      <c r="A81" s="36"/>
      <c r="B81" s="30"/>
    </row>
    <row r="82" spans="1:2" x14ac:dyDescent="0.25">
      <c r="A82" s="36" t="s">
        <v>163</v>
      </c>
      <c r="B82" s="30"/>
    </row>
    <row r="83" spans="1:2" x14ac:dyDescent="0.25">
      <c r="A83" s="36" t="s">
        <v>164</v>
      </c>
      <c r="B83" s="30"/>
    </row>
    <row r="84" spans="1:2" x14ac:dyDescent="0.25">
      <c r="A84" s="36" t="s">
        <v>165</v>
      </c>
      <c r="B84" s="30"/>
    </row>
    <row r="86" spans="1:2" x14ac:dyDescent="0.25">
      <c r="A86" s="35" t="s">
        <v>166</v>
      </c>
      <c r="B86" s="30"/>
    </row>
    <row r="87" spans="1:2" x14ac:dyDescent="0.25">
      <c r="A87" s="36" t="s">
        <v>167</v>
      </c>
      <c r="B87" s="30"/>
    </row>
    <row r="88" spans="1:2" x14ac:dyDescent="0.25">
      <c r="A88" s="36"/>
      <c r="B88" s="30"/>
    </row>
    <row r="89" spans="1:2" x14ac:dyDescent="0.25">
      <c r="A89" s="36" t="s">
        <v>168</v>
      </c>
      <c r="B89" s="30"/>
    </row>
    <row r="90" spans="1:2" x14ac:dyDescent="0.25">
      <c r="A90" s="36" t="s">
        <v>169</v>
      </c>
      <c r="B90" s="30"/>
    </row>
    <row r="91" spans="1:2" x14ac:dyDescent="0.25">
      <c r="A91" s="36" t="s">
        <v>170</v>
      </c>
      <c r="B91" s="30"/>
    </row>
    <row r="92" spans="1:2" x14ac:dyDescent="0.25">
      <c r="A92" s="36" t="s">
        <v>171</v>
      </c>
      <c r="B92" s="30"/>
    </row>
    <row r="93" spans="1:2" x14ac:dyDescent="0.25">
      <c r="A93" s="36" t="s">
        <v>172</v>
      </c>
      <c r="B93" s="30"/>
    </row>
    <row r="94" spans="1:2" x14ac:dyDescent="0.25">
      <c r="A94" s="36"/>
      <c r="B94" s="30"/>
    </row>
    <row r="95" spans="1:2" x14ac:dyDescent="0.25">
      <c r="A95" s="36" t="s">
        <v>123</v>
      </c>
      <c r="B95" s="30"/>
    </row>
    <row r="96" spans="1:2" x14ac:dyDescent="0.25">
      <c r="A96" s="36" t="s">
        <v>173</v>
      </c>
      <c r="B96" s="30"/>
    </row>
    <row r="97" spans="1:2" x14ac:dyDescent="0.25">
      <c r="A97" s="36"/>
      <c r="B97" s="30"/>
    </row>
    <row r="98" spans="1:2" x14ac:dyDescent="0.25">
      <c r="A98" s="36" t="s">
        <v>125</v>
      </c>
      <c r="B98" s="30"/>
    </row>
    <row r="99" spans="1:2" x14ac:dyDescent="0.25">
      <c r="A99" s="36" t="s">
        <v>174</v>
      </c>
      <c r="B99" s="30"/>
    </row>
    <row r="100" spans="1:2" x14ac:dyDescent="0.25">
      <c r="A100" s="36" t="s">
        <v>175</v>
      </c>
      <c r="B100" s="30"/>
    </row>
    <row r="102" spans="1:2" x14ac:dyDescent="0.25">
      <c r="A102" s="35" t="s">
        <v>176</v>
      </c>
      <c r="B102" s="30"/>
    </row>
    <row r="103" spans="1:2" x14ac:dyDescent="0.25">
      <c r="A103" s="36" t="s">
        <v>177</v>
      </c>
      <c r="B103" s="30"/>
    </row>
    <row r="104" spans="1:2" x14ac:dyDescent="0.25">
      <c r="A104" s="36" t="s">
        <v>178</v>
      </c>
      <c r="B104" s="30"/>
    </row>
    <row r="105" spans="1:2" x14ac:dyDescent="0.25">
      <c r="A105" s="36"/>
      <c r="B105" s="30"/>
    </row>
    <row r="106" spans="1:2" x14ac:dyDescent="0.25">
      <c r="A106" s="36" t="s">
        <v>179</v>
      </c>
      <c r="B106" s="30"/>
    </row>
    <row r="107" spans="1:2" x14ac:dyDescent="0.25">
      <c r="A107" s="36" t="s">
        <v>180</v>
      </c>
      <c r="B107" s="30"/>
    </row>
    <row r="108" spans="1:2" x14ac:dyDescent="0.25">
      <c r="A108" s="36" t="s">
        <v>181</v>
      </c>
      <c r="B108" s="30"/>
    </row>
    <row r="109" spans="1:2" x14ac:dyDescent="0.25">
      <c r="A109" s="36" t="s">
        <v>182</v>
      </c>
      <c r="B109" s="30"/>
    </row>
    <row r="110" spans="1:2" x14ac:dyDescent="0.25">
      <c r="A110" s="36" t="s">
        <v>183</v>
      </c>
      <c r="B110" s="30"/>
    </row>
    <row r="111" spans="1:2" x14ac:dyDescent="0.25">
      <c r="A111" s="36" t="s">
        <v>184</v>
      </c>
      <c r="B111" s="30"/>
    </row>
    <row r="112" spans="1:2" x14ac:dyDescent="0.25">
      <c r="A112" s="36" t="s">
        <v>185</v>
      </c>
      <c r="B112" s="30"/>
    </row>
    <row r="113" spans="1:2" x14ac:dyDescent="0.25">
      <c r="A113" s="36" t="s">
        <v>186</v>
      </c>
      <c r="B113" s="30"/>
    </row>
    <row r="114" spans="1:2" x14ac:dyDescent="0.25">
      <c r="A114" s="36" t="s">
        <v>187</v>
      </c>
      <c r="B114" s="30"/>
    </row>
    <row r="115" spans="1:2" x14ac:dyDescent="0.25">
      <c r="A115" s="36"/>
      <c r="B115" s="30"/>
    </row>
    <row r="116" spans="1:2" x14ac:dyDescent="0.25">
      <c r="A116" s="36" t="s">
        <v>188</v>
      </c>
      <c r="B116" s="30"/>
    </row>
    <row r="117" spans="1:2" x14ac:dyDescent="0.25">
      <c r="A117" s="36" t="s">
        <v>189</v>
      </c>
      <c r="B117" s="30"/>
    </row>
    <row r="118" spans="1:2" x14ac:dyDescent="0.25">
      <c r="A118" s="36" t="s">
        <v>190</v>
      </c>
      <c r="B118" s="30"/>
    </row>
    <row r="119" spans="1:2" x14ac:dyDescent="0.25">
      <c r="A119" s="36" t="s">
        <v>191</v>
      </c>
      <c r="B119" s="30"/>
    </row>
    <row r="120" spans="1:2" x14ac:dyDescent="0.25">
      <c r="A120" s="36" t="s">
        <v>192</v>
      </c>
      <c r="B120" s="30"/>
    </row>
    <row r="121" spans="1:2" x14ac:dyDescent="0.25">
      <c r="A121" s="36" t="s">
        <v>193</v>
      </c>
      <c r="B121" s="30"/>
    </row>
    <row r="122" spans="1:2" x14ac:dyDescent="0.25">
      <c r="A122" s="36"/>
      <c r="B122" s="30"/>
    </row>
    <row r="123" spans="1:2" x14ac:dyDescent="0.25">
      <c r="A123" s="36" t="s">
        <v>194</v>
      </c>
      <c r="B123" s="30"/>
    </row>
    <row r="124" spans="1:2" x14ac:dyDescent="0.25">
      <c r="A124" s="36" t="s">
        <v>195</v>
      </c>
      <c r="B124" s="30"/>
    </row>
    <row r="125" spans="1:2" x14ac:dyDescent="0.25">
      <c r="A125" s="36" t="s">
        <v>196</v>
      </c>
      <c r="B125" s="30"/>
    </row>
    <row r="126" spans="1:2" x14ac:dyDescent="0.25">
      <c r="A126" s="36" t="s">
        <v>197</v>
      </c>
      <c r="B126" s="30"/>
    </row>
    <row r="127" spans="1:2" x14ac:dyDescent="0.25">
      <c r="A127" s="36"/>
      <c r="B127" s="30"/>
    </row>
    <row r="128" spans="1:2" x14ac:dyDescent="0.25">
      <c r="A128" s="36" t="s">
        <v>198</v>
      </c>
      <c r="B128" s="30"/>
    </row>
    <row r="129" spans="1:2" x14ac:dyDescent="0.25">
      <c r="A129" s="36" t="s">
        <v>199</v>
      </c>
      <c r="B129" s="30"/>
    </row>
    <row r="130" spans="1:2" x14ac:dyDescent="0.25">
      <c r="A130" s="36" t="s">
        <v>200</v>
      </c>
      <c r="B130" s="30"/>
    </row>
    <row r="131" spans="1:2" x14ac:dyDescent="0.25">
      <c r="A131" s="36" t="s">
        <v>201</v>
      </c>
      <c r="B131" s="30"/>
    </row>
    <row r="133" spans="1:2" x14ac:dyDescent="0.25">
      <c r="A133" s="38" t="s">
        <v>202</v>
      </c>
      <c r="B133" s="30"/>
    </row>
    <row r="134" spans="1:2" x14ac:dyDescent="0.25">
      <c r="A134" s="36"/>
      <c r="B134" s="30"/>
    </row>
    <row r="135" spans="1:2" x14ac:dyDescent="0.25">
      <c r="A135" s="36" t="s">
        <v>203</v>
      </c>
      <c r="B135" s="30"/>
    </row>
    <row r="136" spans="1:2" x14ac:dyDescent="0.25">
      <c r="A136" s="36" t="s">
        <v>204</v>
      </c>
      <c r="B136" s="30"/>
    </row>
    <row r="137" spans="1:2" x14ac:dyDescent="0.25">
      <c r="A137" s="36" t="s">
        <v>205</v>
      </c>
      <c r="B137" s="30"/>
    </row>
    <row r="138" spans="1:2" x14ac:dyDescent="0.25">
      <c r="A138" s="36" t="s">
        <v>206</v>
      </c>
      <c r="B138" s="30"/>
    </row>
    <row r="139" spans="1:2" x14ac:dyDescent="0.25">
      <c r="A139" s="36" t="s">
        <v>207</v>
      </c>
      <c r="B139" s="30"/>
    </row>
    <row r="140" spans="1:2" x14ac:dyDescent="0.25">
      <c r="A140" s="36" t="s">
        <v>208</v>
      </c>
      <c r="B140" s="30"/>
    </row>
    <row r="141" spans="1:2" x14ac:dyDescent="0.25">
      <c r="A141" s="36"/>
      <c r="B141" s="30"/>
    </row>
    <row r="142" spans="1:2" x14ac:dyDescent="0.25">
      <c r="A142" s="36" t="s">
        <v>209</v>
      </c>
      <c r="B142" s="30"/>
    </row>
    <row r="143" spans="1:2" x14ac:dyDescent="0.25">
      <c r="A143" s="36" t="s">
        <v>210</v>
      </c>
      <c r="B143" s="30"/>
    </row>
    <row r="144" spans="1:2" x14ac:dyDescent="0.25">
      <c r="A144" s="36" t="s">
        <v>211</v>
      </c>
      <c r="B144" s="30"/>
    </row>
    <row r="145" spans="1:2" x14ac:dyDescent="0.25">
      <c r="A145" s="36" t="s">
        <v>212</v>
      </c>
      <c r="B145" s="30"/>
    </row>
    <row r="146" spans="1:2" x14ac:dyDescent="0.25">
      <c r="A146" s="36" t="s">
        <v>213</v>
      </c>
      <c r="B146" s="30"/>
    </row>
    <row r="147" spans="1:2" x14ac:dyDescent="0.25">
      <c r="A147" s="36" t="s">
        <v>214</v>
      </c>
      <c r="B147" s="30"/>
    </row>
    <row r="149" spans="1:2" x14ac:dyDescent="0.25">
      <c r="A149" s="35" t="s">
        <v>215</v>
      </c>
      <c r="B149" s="30"/>
    </row>
    <row r="150" spans="1:2" x14ac:dyDescent="0.25">
      <c r="A150" s="36" t="s">
        <v>216</v>
      </c>
      <c r="B150" s="30"/>
    </row>
    <row r="151" spans="1:2" x14ac:dyDescent="0.25">
      <c r="A151" s="36" t="s">
        <v>217</v>
      </c>
      <c r="B151" s="30"/>
    </row>
    <row r="152" spans="1:2" x14ac:dyDescent="0.25">
      <c r="A152" s="36"/>
      <c r="B152" s="30"/>
    </row>
    <row r="153" spans="1:2" x14ac:dyDescent="0.25">
      <c r="A153" s="36" t="s">
        <v>218</v>
      </c>
      <c r="B153" s="30"/>
    </row>
    <row r="154" spans="1:2" x14ac:dyDescent="0.25">
      <c r="A154" s="36" t="s">
        <v>219</v>
      </c>
      <c r="B154" s="30"/>
    </row>
    <row r="155" spans="1:2" x14ac:dyDescent="0.25">
      <c r="A155" s="36" t="s">
        <v>220</v>
      </c>
      <c r="B155" s="30"/>
    </row>
    <row r="156" spans="1:2" x14ac:dyDescent="0.25">
      <c r="A156" s="36"/>
      <c r="B156" s="30"/>
    </row>
    <row r="157" spans="1:2" x14ac:dyDescent="0.25">
      <c r="A157" s="36" t="s">
        <v>221</v>
      </c>
      <c r="B157" s="30"/>
    </row>
    <row r="158" spans="1:2" x14ac:dyDescent="0.25">
      <c r="A158" s="36" t="s">
        <v>222</v>
      </c>
      <c r="B158" s="30"/>
    </row>
    <row r="159" spans="1:2" x14ac:dyDescent="0.25">
      <c r="A159" s="36" t="s">
        <v>223</v>
      </c>
      <c r="B159" s="30"/>
    </row>
    <row r="160" spans="1:2" x14ac:dyDescent="0.25">
      <c r="A160" s="36"/>
      <c r="B160" s="30"/>
    </row>
    <row r="161" spans="1:2" x14ac:dyDescent="0.25">
      <c r="A161" s="36" t="s">
        <v>224</v>
      </c>
      <c r="B161" s="30"/>
    </row>
    <row r="162" spans="1:2" x14ac:dyDescent="0.25">
      <c r="A162" s="36" t="s">
        <v>225</v>
      </c>
      <c r="B162" s="30"/>
    </row>
    <row r="163" spans="1:2" x14ac:dyDescent="0.25">
      <c r="A163" s="36" t="s">
        <v>226</v>
      </c>
      <c r="B163" s="30"/>
    </row>
    <row r="164" spans="1:2" x14ac:dyDescent="0.25">
      <c r="A164" s="36"/>
      <c r="B164" s="30"/>
    </row>
    <row r="165" spans="1:2" x14ac:dyDescent="0.25">
      <c r="A165" s="36" t="s">
        <v>227</v>
      </c>
      <c r="B165" s="30"/>
    </row>
  </sheetData>
  <mergeCells count="147">
    <mergeCell ref="A2:B2"/>
    <mergeCell ref="A86:B86"/>
    <mergeCell ref="A95:B95"/>
    <mergeCell ref="A151:B151"/>
    <mergeCell ref="A47:B47"/>
    <mergeCell ref="A160:B160"/>
    <mergeCell ref="A141:B141"/>
    <mergeCell ref="A135:B135"/>
    <mergeCell ref="A150:B150"/>
    <mergeCell ref="A144:B144"/>
    <mergeCell ref="A159:B159"/>
    <mergeCell ref="A122:B122"/>
    <mergeCell ref="A97:B97"/>
    <mergeCell ref="A20:B20"/>
    <mergeCell ref="A125:B125"/>
    <mergeCell ref="A72:B72"/>
    <mergeCell ref="A29:B29"/>
    <mergeCell ref="A134:B134"/>
    <mergeCell ref="A81:B81"/>
    <mergeCell ref="A112:B112"/>
    <mergeCell ref="A152:B152"/>
    <mergeCell ref="A121:B121"/>
    <mergeCell ref="A13:B13"/>
    <mergeCell ref="A44:B44"/>
    <mergeCell ref="A16:B16"/>
    <mergeCell ref="A25:B25"/>
    <mergeCell ref="A108:B108"/>
    <mergeCell ref="A84:B84"/>
    <mergeCell ref="A66:B66"/>
    <mergeCell ref="A118:B118"/>
    <mergeCell ref="A149:B149"/>
    <mergeCell ref="A18:B18"/>
    <mergeCell ref="A158:B158"/>
    <mergeCell ref="A50:B50"/>
    <mergeCell ref="A127:B127"/>
    <mergeCell ref="A31:B31"/>
    <mergeCell ref="A58:B58"/>
    <mergeCell ref="A114:B114"/>
    <mergeCell ref="A1:B1"/>
    <mergeCell ref="A94:B94"/>
    <mergeCell ref="A69:B69"/>
    <mergeCell ref="A78:B78"/>
    <mergeCell ref="A75:B75"/>
    <mergeCell ref="A133:B133"/>
    <mergeCell ref="A80:B80"/>
    <mergeCell ref="A120:B120"/>
    <mergeCell ref="A55:B55"/>
    <mergeCell ref="A21:B21"/>
    <mergeCell ref="A104:B104"/>
    <mergeCell ref="A57:B57"/>
    <mergeCell ref="A113:B113"/>
    <mergeCell ref="A32:B32"/>
    <mergeCell ref="A23:B23"/>
    <mergeCell ref="A106:B106"/>
    <mergeCell ref="A38:B38"/>
    <mergeCell ref="A96:B96"/>
    <mergeCell ref="A43:B43"/>
    <mergeCell ref="A40:B40"/>
    <mergeCell ref="A67:B67"/>
    <mergeCell ref="A130:B130"/>
    <mergeCell ref="A24:B24"/>
    <mergeCell ref="A82:B82"/>
    <mergeCell ref="A165:B165"/>
    <mergeCell ref="A63:B63"/>
    <mergeCell ref="A115:B115"/>
    <mergeCell ref="A155:B155"/>
    <mergeCell ref="A93:B93"/>
    <mergeCell ref="A102:B102"/>
    <mergeCell ref="A77:B77"/>
    <mergeCell ref="A83:B83"/>
    <mergeCell ref="A34:B34"/>
    <mergeCell ref="A143:B143"/>
    <mergeCell ref="A92:B92"/>
    <mergeCell ref="A157:B157"/>
    <mergeCell ref="A49:B49"/>
    <mergeCell ref="A36:B36"/>
    <mergeCell ref="A119:B119"/>
    <mergeCell ref="A147:B147"/>
    <mergeCell ref="A156:B156"/>
    <mergeCell ref="A60:B60"/>
    <mergeCell ref="A123:B123"/>
    <mergeCell ref="A138:B138"/>
    <mergeCell ref="A110:B110"/>
    <mergeCell ref="A146:B146"/>
    <mergeCell ref="A124:B124"/>
    <mergeCell ref="A161:B161"/>
    <mergeCell ref="A89:B89"/>
    <mergeCell ref="A136:B136"/>
    <mergeCell ref="A105:B105"/>
    <mergeCell ref="A145:B145"/>
    <mergeCell ref="A26:B26"/>
    <mergeCell ref="A139:B139"/>
    <mergeCell ref="A71:B71"/>
    <mergeCell ref="A129:B129"/>
    <mergeCell ref="A116:B116"/>
    <mergeCell ref="A91:B91"/>
    <mergeCell ref="A131:B131"/>
    <mergeCell ref="A100:B100"/>
    <mergeCell ref="A52:B52"/>
    <mergeCell ref="A164:B164"/>
    <mergeCell ref="A74:B74"/>
    <mergeCell ref="A56:B56"/>
    <mergeCell ref="A27:B27"/>
    <mergeCell ref="A154:B154"/>
    <mergeCell ref="A163:B163"/>
    <mergeCell ref="A76:B76"/>
    <mergeCell ref="A33:B33"/>
    <mergeCell ref="A42:B42"/>
    <mergeCell ref="A126:B126"/>
    <mergeCell ref="A140:B140"/>
    <mergeCell ref="A53:B53"/>
    <mergeCell ref="A35:B35"/>
    <mergeCell ref="A109:B109"/>
    <mergeCell ref="A62:B62"/>
    <mergeCell ref="A68:B68"/>
    <mergeCell ref="A28:B28"/>
    <mergeCell ref="A117:B117"/>
    <mergeCell ref="A111:B111"/>
    <mergeCell ref="A39:B39"/>
    <mergeCell ref="A48:B48"/>
    <mergeCell ref="A59:B59"/>
    <mergeCell ref="A142:B142"/>
    <mergeCell ref="A45:B45"/>
    <mergeCell ref="A15:B15"/>
    <mergeCell ref="A64:B64"/>
    <mergeCell ref="A98:B98"/>
    <mergeCell ref="A73:B73"/>
    <mergeCell ref="A51:B51"/>
    <mergeCell ref="A107:B107"/>
    <mergeCell ref="A88:B88"/>
    <mergeCell ref="A70:B70"/>
    <mergeCell ref="A162:B162"/>
    <mergeCell ref="A54:B54"/>
    <mergeCell ref="A41:B41"/>
    <mergeCell ref="A90:B90"/>
    <mergeCell ref="A99:B99"/>
    <mergeCell ref="A17:B17"/>
    <mergeCell ref="A22:B22"/>
    <mergeCell ref="A19:B19"/>
    <mergeCell ref="A103:B103"/>
    <mergeCell ref="A79:B79"/>
    <mergeCell ref="A61:B61"/>
    <mergeCell ref="A87:B87"/>
    <mergeCell ref="A153:B153"/>
    <mergeCell ref="A128:B128"/>
    <mergeCell ref="A137:B137"/>
    <mergeCell ref="A37:B37"/>
  </mergeCells>
  <dataValidations count="3">
    <dataValidation type="list" sqref="B5 B7 B8 B10 B11" xr:uid="{00000000-0002-0000-0200-000000000000}">
      <formula1>"YES,NO"</formula1>
    </dataValidation>
    <dataValidation type="list" sqref="B6" xr:uid="{00000000-0002-0000-0200-000001000000}">
      <formula1>"OIL_only,Split_PET_OIL"</formula1>
    </dataValidation>
    <dataValidation type="list" sqref="B9" xr:uid="{00000000-0002-0000-0200-000002000000}">
      <formula1>"NO,YES_ALL,EXISTING_ONLY"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6"/>
  <sheetViews>
    <sheetView workbookViewId="0">
      <selection activeCell="C5" sqref="C5:C23"/>
    </sheetView>
  </sheetViews>
  <sheetFormatPr defaultRowHeight="15" x14ac:dyDescent="0.25"/>
  <cols>
    <col min="1" max="1" width="15" customWidth="1"/>
    <col min="2" max="2" width="30" customWidth="1"/>
    <col min="3" max="3" width="20" customWidth="1"/>
  </cols>
  <sheetData>
    <row r="1" spans="1:3" ht="18.75" x14ac:dyDescent="0.3">
      <c r="A1" s="37" t="s">
        <v>228</v>
      </c>
      <c r="B1" s="30"/>
      <c r="C1" s="30"/>
    </row>
    <row r="2" spans="1:3" x14ac:dyDescent="0.25">
      <c r="A2" s="29" t="s">
        <v>229</v>
      </c>
      <c r="B2" s="30"/>
      <c r="C2" s="30"/>
    </row>
    <row r="4" spans="1:3" x14ac:dyDescent="0.25">
      <c r="A4" s="11" t="s">
        <v>230</v>
      </c>
      <c r="B4" s="12" t="s">
        <v>231</v>
      </c>
      <c r="C4" s="11" t="s">
        <v>232</v>
      </c>
    </row>
    <row r="5" spans="1:3" x14ac:dyDescent="0.25">
      <c r="A5" s="13" t="s">
        <v>233</v>
      </c>
      <c r="B5" s="10" t="s">
        <v>234</v>
      </c>
      <c r="C5" s="14">
        <v>0.88</v>
      </c>
    </row>
    <row r="6" spans="1:3" x14ac:dyDescent="0.25">
      <c r="A6" s="13" t="s">
        <v>235</v>
      </c>
      <c r="B6" s="10" t="s">
        <v>236</v>
      </c>
      <c r="C6" s="14">
        <v>6.38</v>
      </c>
    </row>
    <row r="7" spans="1:3" x14ac:dyDescent="0.25">
      <c r="A7" s="13" t="s">
        <v>237</v>
      </c>
      <c r="B7" s="10" t="s">
        <v>238</v>
      </c>
      <c r="C7" s="14">
        <v>2.19</v>
      </c>
    </row>
    <row r="8" spans="1:3" x14ac:dyDescent="0.25">
      <c r="A8" s="13" t="s">
        <v>239</v>
      </c>
      <c r="B8" s="10" t="s">
        <v>240</v>
      </c>
      <c r="C8" s="14">
        <v>5.34</v>
      </c>
    </row>
    <row r="9" spans="1:3" x14ac:dyDescent="0.25">
      <c r="A9" s="13" t="s">
        <v>241</v>
      </c>
      <c r="B9" s="10" t="s">
        <v>242</v>
      </c>
      <c r="C9" s="14">
        <v>3.69</v>
      </c>
    </row>
    <row r="10" spans="1:3" x14ac:dyDescent="0.25">
      <c r="A10" s="13" t="s">
        <v>243</v>
      </c>
      <c r="B10" s="10" t="s">
        <v>244</v>
      </c>
      <c r="C10" s="14">
        <v>2.06</v>
      </c>
    </row>
    <row r="11" spans="1:3" x14ac:dyDescent="0.25">
      <c r="A11" s="13" t="s">
        <v>245</v>
      </c>
      <c r="B11" s="10" t="s">
        <v>246</v>
      </c>
      <c r="C11" s="14">
        <v>3.5</v>
      </c>
    </row>
    <row r="12" spans="1:3" x14ac:dyDescent="0.25">
      <c r="A12" s="13" t="s">
        <v>247</v>
      </c>
      <c r="B12" s="10" t="s">
        <v>248</v>
      </c>
      <c r="C12" s="14">
        <v>4.5599999999999996</v>
      </c>
    </row>
    <row r="13" spans="1:3" x14ac:dyDescent="0.25">
      <c r="A13" s="13" t="s">
        <v>249</v>
      </c>
      <c r="B13" s="10" t="s">
        <v>250</v>
      </c>
      <c r="C13" s="14">
        <v>3.48</v>
      </c>
    </row>
    <row r="14" spans="1:3" x14ac:dyDescent="0.25">
      <c r="A14" s="13" t="s">
        <v>251</v>
      </c>
      <c r="B14" s="10" t="s">
        <v>252</v>
      </c>
      <c r="C14" s="14">
        <v>3.06</v>
      </c>
    </row>
    <row r="15" spans="1:3" x14ac:dyDescent="0.25">
      <c r="A15" s="13" t="s">
        <v>253</v>
      </c>
      <c r="B15" s="10" t="s">
        <v>254</v>
      </c>
      <c r="C15" s="14">
        <v>3.21</v>
      </c>
    </row>
    <row r="16" spans="1:3" x14ac:dyDescent="0.25">
      <c r="A16" s="13" t="s">
        <v>255</v>
      </c>
      <c r="B16" s="10" t="s">
        <v>256</v>
      </c>
      <c r="C16" s="14">
        <v>6.38</v>
      </c>
    </row>
    <row r="17" spans="1:3" x14ac:dyDescent="0.25">
      <c r="A17" s="13" t="s">
        <v>257</v>
      </c>
      <c r="B17" s="10" t="s">
        <v>258</v>
      </c>
      <c r="C17" s="14">
        <v>3</v>
      </c>
    </row>
    <row r="18" spans="1:3" x14ac:dyDescent="0.25">
      <c r="A18" s="13" t="s">
        <v>259</v>
      </c>
      <c r="B18" s="10" t="s">
        <v>260</v>
      </c>
      <c r="C18" s="14">
        <v>4.57</v>
      </c>
    </row>
    <row r="19" spans="1:3" x14ac:dyDescent="0.25">
      <c r="A19" s="13" t="s">
        <v>261</v>
      </c>
      <c r="B19" s="10" t="s">
        <v>262</v>
      </c>
      <c r="C19" s="14">
        <v>4.87</v>
      </c>
    </row>
    <row r="20" spans="1:3" x14ac:dyDescent="0.25">
      <c r="A20" s="13" t="s">
        <v>263</v>
      </c>
      <c r="B20" s="10" t="s">
        <v>264</v>
      </c>
      <c r="C20" s="14">
        <v>4.28</v>
      </c>
    </row>
    <row r="21" spans="1:3" x14ac:dyDescent="0.25">
      <c r="A21" s="13" t="s">
        <v>265</v>
      </c>
      <c r="B21" s="10" t="s">
        <v>266</v>
      </c>
      <c r="C21" s="14">
        <v>6.38</v>
      </c>
    </row>
    <row r="22" spans="1:3" x14ac:dyDescent="0.25">
      <c r="A22" s="13" t="s">
        <v>267</v>
      </c>
      <c r="B22" s="10" t="s">
        <v>268</v>
      </c>
      <c r="C22" s="14">
        <v>2.31</v>
      </c>
    </row>
    <row r="23" spans="1:3" x14ac:dyDescent="0.25">
      <c r="A23" s="13" t="s">
        <v>269</v>
      </c>
      <c r="B23" s="10" t="s">
        <v>270</v>
      </c>
      <c r="C23" s="14">
        <v>2.36</v>
      </c>
    </row>
    <row r="25" spans="1:3" x14ac:dyDescent="0.25">
      <c r="A25" s="40" t="s">
        <v>271</v>
      </c>
      <c r="B25" s="30"/>
      <c r="C25" s="30"/>
    </row>
    <row r="26" spans="1:3" x14ac:dyDescent="0.25">
      <c r="A26" s="40" t="s">
        <v>272</v>
      </c>
      <c r="B26" s="30"/>
      <c r="C26" s="30"/>
    </row>
  </sheetData>
  <mergeCells count="4">
    <mergeCell ref="A1:C1"/>
    <mergeCell ref="A25:C25"/>
    <mergeCell ref="A26:C26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86"/>
  <sheetViews>
    <sheetView workbookViewId="0">
      <pane xSplit="2" ySplit="5" topLeftCell="C6" activePane="bottomRight" state="frozen"/>
      <selection pane="topRight"/>
      <selection pane="bottomLeft"/>
      <selection pane="bottomRight" activeCell="C6" sqref="C6:AD62"/>
    </sheetView>
  </sheetViews>
  <sheetFormatPr defaultRowHeight="15" x14ac:dyDescent="0.25"/>
  <cols>
    <col min="1" max="2" width="15" customWidth="1"/>
    <col min="3" max="30" width="8" customWidth="1"/>
  </cols>
  <sheetData>
    <row r="1" spans="1:30" ht="18.75" x14ac:dyDescent="0.3">
      <c r="A1" s="37" t="s">
        <v>273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</row>
    <row r="2" spans="1:30" x14ac:dyDescent="0.25">
      <c r="A2" s="29" t="s">
        <v>274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</row>
    <row r="3" spans="1:30" x14ac:dyDescent="0.25">
      <c r="A3" s="41" t="s">
        <v>275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</row>
    <row r="5" spans="1:30" x14ac:dyDescent="0.25">
      <c r="A5" s="15" t="s">
        <v>276</v>
      </c>
      <c r="B5" s="15" t="s">
        <v>277</v>
      </c>
      <c r="C5" s="15" t="s">
        <v>278</v>
      </c>
      <c r="D5" s="15" t="s">
        <v>279</v>
      </c>
      <c r="E5" s="15" t="s">
        <v>280</v>
      </c>
      <c r="F5" s="15" t="s">
        <v>281</v>
      </c>
      <c r="G5" s="15" t="s">
        <v>282</v>
      </c>
      <c r="H5" s="15" t="s">
        <v>283</v>
      </c>
      <c r="I5" s="15" t="s">
        <v>284</v>
      </c>
      <c r="J5" s="15" t="s">
        <v>285</v>
      </c>
      <c r="K5" s="15" t="s">
        <v>286</v>
      </c>
      <c r="L5" s="15" t="s">
        <v>287</v>
      </c>
      <c r="M5" s="15" t="s">
        <v>288</v>
      </c>
      <c r="N5" s="15" t="s">
        <v>289</v>
      </c>
      <c r="O5" s="15" t="s">
        <v>290</v>
      </c>
      <c r="P5" s="15" t="s">
        <v>291</v>
      </c>
      <c r="Q5" s="15" t="s">
        <v>292</v>
      </c>
      <c r="R5" s="15" t="s">
        <v>293</v>
      </c>
      <c r="S5" s="15" t="s">
        <v>294</v>
      </c>
      <c r="T5" s="15" t="s">
        <v>295</v>
      </c>
      <c r="U5" s="15" t="s">
        <v>296</v>
      </c>
      <c r="V5" s="15" t="s">
        <v>297</v>
      </c>
      <c r="W5" s="15" t="s">
        <v>298</v>
      </c>
      <c r="X5" s="15" t="s">
        <v>299</v>
      </c>
      <c r="Y5" s="15" t="s">
        <v>300</v>
      </c>
      <c r="Z5" s="15" t="s">
        <v>301</v>
      </c>
      <c r="AA5" s="15" t="s">
        <v>302</v>
      </c>
      <c r="AB5" s="15" t="s">
        <v>303</v>
      </c>
      <c r="AC5" s="15" t="s">
        <v>304</v>
      </c>
      <c r="AD5" s="15" t="s">
        <v>305</v>
      </c>
    </row>
    <row r="6" spans="1:30" x14ac:dyDescent="0.25">
      <c r="A6" s="13" t="s">
        <v>233</v>
      </c>
      <c r="B6" s="13" t="s">
        <v>306</v>
      </c>
      <c r="C6" s="16">
        <v>0</v>
      </c>
      <c r="D6" s="16">
        <v>0</v>
      </c>
      <c r="E6" s="16">
        <v>5.0000000000000001E-3</v>
      </c>
      <c r="F6" s="16">
        <v>0.01</v>
      </c>
      <c r="G6" s="16">
        <v>1.4999999999999999E-2</v>
      </c>
      <c r="H6" s="16">
        <v>0.02</v>
      </c>
      <c r="I6" s="16">
        <v>2.5000000000000001E-2</v>
      </c>
      <c r="J6" s="16">
        <v>0.03</v>
      </c>
      <c r="K6" s="16">
        <v>3.5000000000000003E-2</v>
      </c>
      <c r="L6" s="16">
        <v>0.04</v>
      </c>
      <c r="M6" s="16">
        <v>4.4999999999999998E-2</v>
      </c>
      <c r="N6" s="16">
        <v>0.05</v>
      </c>
      <c r="O6" s="16">
        <v>5.5E-2</v>
      </c>
      <c r="P6" s="16">
        <v>0.06</v>
      </c>
      <c r="Q6" s="16">
        <v>6.5000000000000002E-2</v>
      </c>
      <c r="R6" s="16">
        <v>7.0000000000000007E-2</v>
      </c>
      <c r="S6" s="16">
        <v>7.4999999999999997E-2</v>
      </c>
      <c r="T6" s="16">
        <v>0.08</v>
      </c>
      <c r="U6" s="16">
        <v>8.5000000000000006E-2</v>
      </c>
      <c r="V6" s="16">
        <v>0.09</v>
      </c>
      <c r="W6" s="16">
        <v>9.5000000000000001E-2</v>
      </c>
      <c r="X6" s="16">
        <v>0.1</v>
      </c>
      <c r="Y6" s="16">
        <v>0.105</v>
      </c>
      <c r="Z6" s="16">
        <v>0.11</v>
      </c>
      <c r="AA6" s="16">
        <v>0.115</v>
      </c>
      <c r="AB6" s="16">
        <v>0.12</v>
      </c>
      <c r="AC6" s="16">
        <v>0.125</v>
      </c>
      <c r="AD6" s="16">
        <v>0.13</v>
      </c>
    </row>
    <row r="7" spans="1:30" x14ac:dyDescent="0.25">
      <c r="A7" s="13" t="s">
        <v>233</v>
      </c>
      <c r="B7" s="13" t="s">
        <v>307</v>
      </c>
      <c r="C7" s="16">
        <v>0</v>
      </c>
      <c r="D7" s="16">
        <v>0</v>
      </c>
      <c r="E7" s="16">
        <v>5.0000000000000001E-3</v>
      </c>
      <c r="F7" s="16">
        <v>0.01</v>
      </c>
      <c r="G7" s="16">
        <v>1.4999999999999999E-2</v>
      </c>
      <c r="H7" s="16">
        <v>0.02</v>
      </c>
      <c r="I7" s="16">
        <v>2.5000000000000001E-2</v>
      </c>
      <c r="J7" s="16">
        <v>0.03</v>
      </c>
      <c r="K7" s="16">
        <v>3.5000000000000003E-2</v>
      </c>
      <c r="L7" s="16">
        <v>0.04</v>
      </c>
      <c r="M7" s="16">
        <v>4.4999999999999998E-2</v>
      </c>
      <c r="N7" s="16">
        <v>0.05</v>
      </c>
      <c r="O7" s="16">
        <v>5.5E-2</v>
      </c>
      <c r="P7" s="16">
        <v>0.06</v>
      </c>
      <c r="Q7" s="16">
        <v>6.5000000000000002E-2</v>
      </c>
      <c r="R7" s="16">
        <v>7.0000000000000007E-2</v>
      </c>
      <c r="S7" s="16">
        <v>7.4999999999999997E-2</v>
      </c>
      <c r="T7" s="16">
        <v>0.08</v>
      </c>
      <c r="U7" s="16">
        <v>8.5000000000000006E-2</v>
      </c>
      <c r="V7" s="16">
        <v>0.09</v>
      </c>
      <c r="W7" s="16">
        <v>9.5000000000000001E-2</v>
      </c>
      <c r="X7" s="16">
        <v>0.1</v>
      </c>
      <c r="Y7" s="16">
        <v>0.105</v>
      </c>
      <c r="Z7" s="16">
        <v>0.11</v>
      </c>
      <c r="AA7" s="16">
        <v>0.115</v>
      </c>
      <c r="AB7" s="16">
        <v>0.12</v>
      </c>
      <c r="AC7" s="16">
        <v>0.125</v>
      </c>
      <c r="AD7" s="16">
        <v>0.13</v>
      </c>
    </row>
    <row r="8" spans="1:30" x14ac:dyDescent="0.25">
      <c r="A8" s="13" t="s">
        <v>233</v>
      </c>
      <c r="B8" s="13" t="s">
        <v>308</v>
      </c>
      <c r="C8" s="16">
        <v>0</v>
      </c>
      <c r="D8" s="16">
        <v>0</v>
      </c>
      <c r="E8" s="16">
        <v>5.0000000000000001E-3</v>
      </c>
      <c r="F8" s="16">
        <v>0.01</v>
      </c>
      <c r="G8" s="16">
        <v>1.4999999999999999E-2</v>
      </c>
      <c r="H8" s="16">
        <v>0.02</v>
      </c>
      <c r="I8" s="16">
        <v>2.5000000000000001E-2</v>
      </c>
      <c r="J8" s="16">
        <v>0.03</v>
      </c>
      <c r="K8" s="16">
        <v>3.5000000000000003E-2</v>
      </c>
      <c r="L8" s="16">
        <v>0.04</v>
      </c>
      <c r="M8" s="16">
        <v>4.4999999999999998E-2</v>
      </c>
      <c r="N8" s="16">
        <v>0.05</v>
      </c>
      <c r="O8" s="16">
        <v>5.5E-2</v>
      </c>
      <c r="P8" s="16">
        <v>0.06</v>
      </c>
      <c r="Q8" s="16">
        <v>6.5000000000000002E-2</v>
      </c>
      <c r="R8" s="16">
        <v>7.0000000000000007E-2</v>
      </c>
      <c r="S8" s="16">
        <v>7.4999999999999997E-2</v>
      </c>
      <c r="T8" s="16">
        <v>0.08</v>
      </c>
      <c r="U8" s="16">
        <v>8.5000000000000006E-2</v>
      </c>
      <c r="V8" s="16">
        <v>0.09</v>
      </c>
      <c r="W8" s="16">
        <v>9.5000000000000001E-2</v>
      </c>
      <c r="X8" s="16">
        <v>0.1</v>
      </c>
      <c r="Y8" s="16">
        <v>0.105</v>
      </c>
      <c r="Z8" s="16">
        <v>0.11</v>
      </c>
      <c r="AA8" s="16">
        <v>0.115</v>
      </c>
      <c r="AB8" s="16">
        <v>0.12</v>
      </c>
      <c r="AC8" s="16">
        <v>0.125</v>
      </c>
      <c r="AD8" s="16">
        <v>0.13</v>
      </c>
    </row>
    <row r="9" spans="1:30" x14ac:dyDescent="0.25">
      <c r="A9" s="13" t="s">
        <v>235</v>
      </c>
      <c r="B9" s="13" t="s">
        <v>306</v>
      </c>
      <c r="C9" s="16">
        <v>0</v>
      </c>
      <c r="D9" s="16">
        <v>0</v>
      </c>
      <c r="E9" s="16">
        <v>5.0000000000000001E-3</v>
      </c>
      <c r="F9" s="16">
        <v>0.01</v>
      </c>
      <c r="G9" s="16">
        <v>1.4999999999999999E-2</v>
      </c>
      <c r="H9" s="16">
        <v>0.02</v>
      </c>
      <c r="I9" s="16">
        <v>2.5000000000000001E-2</v>
      </c>
      <c r="J9" s="16">
        <v>0.03</v>
      </c>
      <c r="K9" s="16">
        <v>3.5000000000000003E-2</v>
      </c>
      <c r="L9" s="16">
        <v>0.04</v>
      </c>
      <c r="M9" s="16">
        <v>4.4999999999999998E-2</v>
      </c>
      <c r="N9" s="16">
        <v>0.05</v>
      </c>
      <c r="O9" s="16">
        <v>5.5E-2</v>
      </c>
      <c r="P9" s="16">
        <v>0.06</v>
      </c>
      <c r="Q9" s="16">
        <v>6.5000000000000002E-2</v>
      </c>
      <c r="R9" s="16">
        <v>7.0000000000000007E-2</v>
      </c>
      <c r="S9" s="16">
        <v>7.4999999999999997E-2</v>
      </c>
      <c r="T9" s="16">
        <v>0.08</v>
      </c>
      <c r="U9" s="16">
        <v>8.5000000000000006E-2</v>
      </c>
      <c r="V9" s="16">
        <v>0.09</v>
      </c>
      <c r="W9" s="16">
        <v>9.5000000000000001E-2</v>
      </c>
      <c r="X9" s="16">
        <v>0.1</v>
      </c>
      <c r="Y9" s="16">
        <v>0.105</v>
      </c>
      <c r="Z9" s="16">
        <v>0.11</v>
      </c>
      <c r="AA9" s="16">
        <v>0.115</v>
      </c>
      <c r="AB9" s="16">
        <v>0.12</v>
      </c>
      <c r="AC9" s="16">
        <v>0.125</v>
      </c>
      <c r="AD9" s="16">
        <v>0.13</v>
      </c>
    </row>
    <row r="10" spans="1:30" x14ac:dyDescent="0.25">
      <c r="A10" s="13" t="s">
        <v>235</v>
      </c>
      <c r="B10" s="13" t="s">
        <v>307</v>
      </c>
      <c r="C10" s="16">
        <v>0</v>
      </c>
      <c r="D10" s="16">
        <v>0</v>
      </c>
      <c r="E10" s="16">
        <v>5.0000000000000001E-3</v>
      </c>
      <c r="F10" s="16">
        <v>0.01</v>
      </c>
      <c r="G10" s="16">
        <v>1.4999999999999999E-2</v>
      </c>
      <c r="H10" s="16">
        <v>0.02</v>
      </c>
      <c r="I10" s="16">
        <v>2.5000000000000001E-2</v>
      </c>
      <c r="J10" s="16">
        <v>0.03</v>
      </c>
      <c r="K10" s="16">
        <v>3.5000000000000003E-2</v>
      </c>
      <c r="L10" s="16">
        <v>0.04</v>
      </c>
      <c r="M10" s="16">
        <v>4.4999999999999998E-2</v>
      </c>
      <c r="N10" s="16">
        <v>0.05</v>
      </c>
      <c r="O10" s="16">
        <v>5.5E-2</v>
      </c>
      <c r="P10" s="16">
        <v>0.06</v>
      </c>
      <c r="Q10" s="16">
        <v>6.5000000000000002E-2</v>
      </c>
      <c r="R10" s="16">
        <v>7.0000000000000007E-2</v>
      </c>
      <c r="S10" s="16">
        <v>7.4999999999999997E-2</v>
      </c>
      <c r="T10" s="16">
        <v>0.08</v>
      </c>
      <c r="U10" s="16">
        <v>8.5000000000000006E-2</v>
      </c>
      <c r="V10" s="16">
        <v>0.09</v>
      </c>
      <c r="W10" s="16">
        <v>9.5000000000000001E-2</v>
      </c>
      <c r="X10" s="16">
        <v>0.1</v>
      </c>
      <c r="Y10" s="16">
        <v>0.105</v>
      </c>
      <c r="Z10" s="16">
        <v>0.11</v>
      </c>
      <c r="AA10" s="16">
        <v>0.115</v>
      </c>
      <c r="AB10" s="16">
        <v>0.12</v>
      </c>
      <c r="AC10" s="16">
        <v>0.125</v>
      </c>
      <c r="AD10" s="16">
        <v>0.13</v>
      </c>
    </row>
    <row r="11" spans="1:30" x14ac:dyDescent="0.25">
      <c r="A11" s="13" t="s">
        <v>235</v>
      </c>
      <c r="B11" s="13" t="s">
        <v>308</v>
      </c>
      <c r="C11" s="16">
        <v>0</v>
      </c>
      <c r="D11" s="16">
        <v>0</v>
      </c>
      <c r="E11" s="16">
        <v>5.0000000000000001E-3</v>
      </c>
      <c r="F11" s="16">
        <v>0.01</v>
      </c>
      <c r="G11" s="16">
        <v>1.4999999999999999E-2</v>
      </c>
      <c r="H11" s="16">
        <v>0.02</v>
      </c>
      <c r="I11" s="16">
        <v>2.5000000000000001E-2</v>
      </c>
      <c r="J11" s="16">
        <v>0.03</v>
      </c>
      <c r="K11" s="16">
        <v>3.5000000000000003E-2</v>
      </c>
      <c r="L11" s="16">
        <v>0.04</v>
      </c>
      <c r="M11" s="16">
        <v>4.4999999999999998E-2</v>
      </c>
      <c r="N11" s="16">
        <v>0.05</v>
      </c>
      <c r="O11" s="16">
        <v>5.5E-2</v>
      </c>
      <c r="P11" s="16">
        <v>0.06</v>
      </c>
      <c r="Q11" s="16">
        <v>6.5000000000000002E-2</v>
      </c>
      <c r="R11" s="16">
        <v>7.0000000000000007E-2</v>
      </c>
      <c r="S11" s="16">
        <v>7.4999999999999997E-2</v>
      </c>
      <c r="T11" s="16">
        <v>0.08</v>
      </c>
      <c r="U11" s="16">
        <v>8.5000000000000006E-2</v>
      </c>
      <c r="V11" s="16">
        <v>0.09</v>
      </c>
      <c r="W11" s="16">
        <v>9.5000000000000001E-2</v>
      </c>
      <c r="X11" s="16">
        <v>0.1</v>
      </c>
      <c r="Y11" s="16">
        <v>0.105</v>
      </c>
      <c r="Z11" s="16">
        <v>0.11</v>
      </c>
      <c r="AA11" s="16">
        <v>0.115</v>
      </c>
      <c r="AB11" s="16">
        <v>0.12</v>
      </c>
      <c r="AC11" s="16">
        <v>0.125</v>
      </c>
      <c r="AD11" s="16">
        <v>0.13</v>
      </c>
    </row>
    <row r="12" spans="1:30" x14ac:dyDescent="0.25">
      <c r="A12" s="13" t="s">
        <v>237</v>
      </c>
      <c r="B12" s="13" t="s">
        <v>306</v>
      </c>
      <c r="C12" s="16">
        <v>0</v>
      </c>
      <c r="D12" s="16">
        <v>0</v>
      </c>
      <c r="E12" s="16">
        <v>5.0000000000000001E-3</v>
      </c>
      <c r="F12" s="16">
        <v>0.01</v>
      </c>
      <c r="G12" s="16">
        <v>1.4999999999999999E-2</v>
      </c>
      <c r="H12" s="16">
        <v>0.02</v>
      </c>
      <c r="I12" s="16">
        <v>2.5000000000000001E-2</v>
      </c>
      <c r="J12" s="16">
        <v>0.03</v>
      </c>
      <c r="K12" s="16">
        <v>3.5000000000000003E-2</v>
      </c>
      <c r="L12" s="16">
        <v>0.04</v>
      </c>
      <c r="M12" s="16">
        <v>4.4999999999999998E-2</v>
      </c>
      <c r="N12" s="16">
        <v>0.05</v>
      </c>
      <c r="O12" s="16">
        <v>5.5E-2</v>
      </c>
      <c r="P12" s="16">
        <v>0.06</v>
      </c>
      <c r="Q12" s="16">
        <v>6.5000000000000002E-2</v>
      </c>
      <c r="R12" s="16">
        <v>7.0000000000000007E-2</v>
      </c>
      <c r="S12" s="16">
        <v>7.4999999999999997E-2</v>
      </c>
      <c r="T12" s="16">
        <v>0.08</v>
      </c>
      <c r="U12" s="16">
        <v>8.5000000000000006E-2</v>
      </c>
      <c r="V12" s="16">
        <v>0.09</v>
      </c>
      <c r="W12" s="16">
        <v>9.5000000000000001E-2</v>
      </c>
      <c r="X12" s="16">
        <v>0.1</v>
      </c>
      <c r="Y12" s="16">
        <v>0.105</v>
      </c>
      <c r="Z12" s="16">
        <v>0.11</v>
      </c>
      <c r="AA12" s="16">
        <v>0.115</v>
      </c>
      <c r="AB12" s="16">
        <v>0.12</v>
      </c>
      <c r="AC12" s="16">
        <v>0.125</v>
      </c>
      <c r="AD12" s="16">
        <v>0.13</v>
      </c>
    </row>
    <row r="13" spans="1:30" x14ac:dyDescent="0.25">
      <c r="A13" s="13" t="s">
        <v>237</v>
      </c>
      <c r="B13" s="13" t="s">
        <v>307</v>
      </c>
      <c r="C13" s="16">
        <v>0</v>
      </c>
      <c r="D13" s="16">
        <v>0</v>
      </c>
      <c r="E13" s="16">
        <v>5.0000000000000001E-3</v>
      </c>
      <c r="F13" s="16">
        <v>0.01</v>
      </c>
      <c r="G13" s="16">
        <v>1.4999999999999999E-2</v>
      </c>
      <c r="H13" s="16">
        <v>0.02</v>
      </c>
      <c r="I13" s="16">
        <v>2.5000000000000001E-2</v>
      </c>
      <c r="J13" s="16">
        <v>0.03</v>
      </c>
      <c r="K13" s="16">
        <v>3.5000000000000003E-2</v>
      </c>
      <c r="L13" s="16">
        <v>0.04</v>
      </c>
      <c r="M13" s="16">
        <v>4.4999999999999998E-2</v>
      </c>
      <c r="N13" s="16">
        <v>0.05</v>
      </c>
      <c r="O13" s="16">
        <v>5.5E-2</v>
      </c>
      <c r="P13" s="16">
        <v>0.06</v>
      </c>
      <c r="Q13" s="16">
        <v>6.5000000000000002E-2</v>
      </c>
      <c r="R13" s="16">
        <v>7.0000000000000007E-2</v>
      </c>
      <c r="S13" s="16">
        <v>7.4999999999999997E-2</v>
      </c>
      <c r="T13" s="16">
        <v>0.08</v>
      </c>
      <c r="U13" s="16">
        <v>8.5000000000000006E-2</v>
      </c>
      <c r="V13" s="16">
        <v>0.09</v>
      </c>
      <c r="W13" s="16">
        <v>9.5000000000000001E-2</v>
      </c>
      <c r="X13" s="16">
        <v>0.1</v>
      </c>
      <c r="Y13" s="16">
        <v>0.105</v>
      </c>
      <c r="Z13" s="16">
        <v>0.11</v>
      </c>
      <c r="AA13" s="16">
        <v>0.115</v>
      </c>
      <c r="AB13" s="16">
        <v>0.12</v>
      </c>
      <c r="AC13" s="16">
        <v>0.125</v>
      </c>
      <c r="AD13" s="16">
        <v>0.13</v>
      </c>
    </row>
    <row r="14" spans="1:30" x14ac:dyDescent="0.25">
      <c r="A14" s="13" t="s">
        <v>237</v>
      </c>
      <c r="B14" s="13" t="s">
        <v>308</v>
      </c>
      <c r="C14" s="16">
        <v>0</v>
      </c>
      <c r="D14" s="16">
        <v>0</v>
      </c>
      <c r="E14" s="16">
        <v>5.0000000000000001E-3</v>
      </c>
      <c r="F14" s="16">
        <v>0.01</v>
      </c>
      <c r="G14" s="16">
        <v>1.4999999999999999E-2</v>
      </c>
      <c r="H14" s="16">
        <v>0.02</v>
      </c>
      <c r="I14" s="16">
        <v>2.5000000000000001E-2</v>
      </c>
      <c r="J14" s="16">
        <v>0.03</v>
      </c>
      <c r="K14" s="16">
        <v>3.5000000000000003E-2</v>
      </c>
      <c r="L14" s="16">
        <v>0.04</v>
      </c>
      <c r="M14" s="16">
        <v>4.4999999999999998E-2</v>
      </c>
      <c r="N14" s="16">
        <v>0.05</v>
      </c>
      <c r="O14" s="16">
        <v>5.5E-2</v>
      </c>
      <c r="P14" s="16">
        <v>0.06</v>
      </c>
      <c r="Q14" s="16">
        <v>6.5000000000000002E-2</v>
      </c>
      <c r="R14" s="16">
        <v>7.0000000000000007E-2</v>
      </c>
      <c r="S14" s="16">
        <v>7.4999999999999997E-2</v>
      </c>
      <c r="T14" s="16">
        <v>0.08</v>
      </c>
      <c r="U14" s="16">
        <v>8.5000000000000006E-2</v>
      </c>
      <c r="V14" s="16">
        <v>0.09</v>
      </c>
      <c r="W14" s="16">
        <v>9.5000000000000001E-2</v>
      </c>
      <c r="X14" s="16">
        <v>0.1</v>
      </c>
      <c r="Y14" s="16">
        <v>0.105</v>
      </c>
      <c r="Z14" s="16">
        <v>0.11</v>
      </c>
      <c r="AA14" s="16">
        <v>0.115</v>
      </c>
      <c r="AB14" s="16">
        <v>0.12</v>
      </c>
      <c r="AC14" s="16">
        <v>0.125</v>
      </c>
      <c r="AD14" s="16">
        <v>0.13</v>
      </c>
    </row>
    <row r="15" spans="1:30" x14ac:dyDescent="0.25">
      <c r="A15" s="13" t="s">
        <v>239</v>
      </c>
      <c r="B15" s="13" t="s">
        <v>306</v>
      </c>
      <c r="C15" s="16">
        <v>0</v>
      </c>
      <c r="D15" s="16">
        <v>0</v>
      </c>
      <c r="E15" s="16">
        <v>5.0000000000000001E-3</v>
      </c>
      <c r="F15" s="16">
        <v>0.01</v>
      </c>
      <c r="G15" s="16">
        <v>1.4999999999999999E-2</v>
      </c>
      <c r="H15" s="16">
        <v>0.02</v>
      </c>
      <c r="I15" s="16">
        <v>2.5000000000000001E-2</v>
      </c>
      <c r="J15" s="16">
        <v>0.03</v>
      </c>
      <c r="K15" s="16">
        <v>3.5000000000000003E-2</v>
      </c>
      <c r="L15" s="16">
        <v>0.04</v>
      </c>
      <c r="M15" s="16">
        <v>4.4999999999999998E-2</v>
      </c>
      <c r="N15" s="16">
        <v>0.05</v>
      </c>
      <c r="O15" s="16">
        <v>5.5E-2</v>
      </c>
      <c r="P15" s="16">
        <v>0.06</v>
      </c>
      <c r="Q15" s="16">
        <v>6.5000000000000002E-2</v>
      </c>
      <c r="R15" s="16">
        <v>7.0000000000000007E-2</v>
      </c>
      <c r="S15" s="16">
        <v>7.4999999999999997E-2</v>
      </c>
      <c r="T15" s="16">
        <v>0.08</v>
      </c>
      <c r="U15" s="16">
        <v>8.5000000000000006E-2</v>
      </c>
      <c r="V15" s="16">
        <v>0.09</v>
      </c>
      <c r="W15" s="16">
        <v>9.5000000000000001E-2</v>
      </c>
      <c r="X15" s="16">
        <v>0.1</v>
      </c>
      <c r="Y15" s="16">
        <v>0.105</v>
      </c>
      <c r="Z15" s="16">
        <v>0.11</v>
      </c>
      <c r="AA15" s="16">
        <v>0.115</v>
      </c>
      <c r="AB15" s="16">
        <v>0.12</v>
      </c>
      <c r="AC15" s="16">
        <v>0.125</v>
      </c>
      <c r="AD15" s="16">
        <v>0.13</v>
      </c>
    </row>
    <row r="16" spans="1:30" x14ac:dyDescent="0.25">
      <c r="A16" s="13" t="s">
        <v>239</v>
      </c>
      <c r="B16" s="13" t="s">
        <v>307</v>
      </c>
      <c r="C16" s="16">
        <v>0</v>
      </c>
      <c r="D16" s="16">
        <v>0</v>
      </c>
      <c r="E16" s="16">
        <v>5.0000000000000001E-3</v>
      </c>
      <c r="F16" s="16">
        <v>0.01</v>
      </c>
      <c r="G16" s="16">
        <v>1.4999999999999999E-2</v>
      </c>
      <c r="H16" s="16">
        <v>0.02</v>
      </c>
      <c r="I16" s="16">
        <v>2.5000000000000001E-2</v>
      </c>
      <c r="J16" s="16">
        <v>0.03</v>
      </c>
      <c r="K16" s="16">
        <v>3.5000000000000003E-2</v>
      </c>
      <c r="L16" s="16">
        <v>0.04</v>
      </c>
      <c r="M16" s="16">
        <v>4.4999999999999998E-2</v>
      </c>
      <c r="N16" s="16">
        <v>0.05</v>
      </c>
      <c r="O16" s="16">
        <v>5.5E-2</v>
      </c>
      <c r="P16" s="16">
        <v>0.06</v>
      </c>
      <c r="Q16" s="16">
        <v>6.5000000000000002E-2</v>
      </c>
      <c r="R16" s="16">
        <v>7.0000000000000007E-2</v>
      </c>
      <c r="S16" s="16">
        <v>7.4999999999999997E-2</v>
      </c>
      <c r="T16" s="16">
        <v>0.08</v>
      </c>
      <c r="U16" s="16">
        <v>8.5000000000000006E-2</v>
      </c>
      <c r="V16" s="16">
        <v>0.09</v>
      </c>
      <c r="W16" s="16">
        <v>9.5000000000000001E-2</v>
      </c>
      <c r="X16" s="16">
        <v>0.1</v>
      </c>
      <c r="Y16" s="16">
        <v>0.105</v>
      </c>
      <c r="Z16" s="16">
        <v>0.11</v>
      </c>
      <c r="AA16" s="16">
        <v>0.115</v>
      </c>
      <c r="AB16" s="16">
        <v>0.12</v>
      </c>
      <c r="AC16" s="16">
        <v>0.125</v>
      </c>
      <c r="AD16" s="16">
        <v>0.13</v>
      </c>
    </row>
    <row r="17" spans="1:30" x14ac:dyDescent="0.25">
      <c r="A17" s="13" t="s">
        <v>239</v>
      </c>
      <c r="B17" s="13" t="s">
        <v>308</v>
      </c>
      <c r="C17" s="16">
        <v>0</v>
      </c>
      <c r="D17" s="16">
        <v>0</v>
      </c>
      <c r="E17" s="16">
        <v>5.0000000000000001E-3</v>
      </c>
      <c r="F17" s="16">
        <v>0.01</v>
      </c>
      <c r="G17" s="16">
        <v>1.4999999999999999E-2</v>
      </c>
      <c r="H17" s="16">
        <v>0.02</v>
      </c>
      <c r="I17" s="16">
        <v>2.5000000000000001E-2</v>
      </c>
      <c r="J17" s="16">
        <v>0.03</v>
      </c>
      <c r="K17" s="16">
        <v>3.5000000000000003E-2</v>
      </c>
      <c r="L17" s="16">
        <v>0.04</v>
      </c>
      <c r="M17" s="16">
        <v>4.4999999999999998E-2</v>
      </c>
      <c r="N17" s="16">
        <v>0.05</v>
      </c>
      <c r="O17" s="16">
        <v>5.5E-2</v>
      </c>
      <c r="P17" s="16">
        <v>0.06</v>
      </c>
      <c r="Q17" s="16">
        <v>6.5000000000000002E-2</v>
      </c>
      <c r="R17" s="16">
        <v>7.0000000000000007E-2</v>
      </c>
      <c r="S17" s="16">
        <v>7.4999999999999997E-2</v>
      </c>
      <c r="T17" s="16">
        <v>0.08</v>
      </c>
      <c r="U17" s="16">
        <v>8.5000000000000006E-2</v>
      </c>
      <c r="V17" s="16">
        <v>0.09</v>
      </c>
      <c r="W17" s="16">
        <v>9.5000000000000001E-2</v>
      </c>
      <c r="X17" s="16">
        <v>0.1</v>
      </c>
      <c r="Y17" s="16">
        <v>0.105</v>
      </c>
      <c r="Z17" s="16">
        <v>0.11</v>
      </c>
      <c r="AA17" s="16">
        <v>0.115</v>
      </c>
      <c r="AB17" s="16">
        <v>0.12</v>
      </c>
      <c r="AC17" s="16">
        <v>0.125</v>
      </c>
      <c r="AD17" s="16">
        <v>0.13</v>
      </c>
    </row>
    <row r="18" spans="1:30" x14ac:dyDescent="0.25">
      <c r="A18" s="13" t="s">
        <v>241</v>
      </c>
      <c r="B18" s="13" t="s">
        <v>306</v>
      </c>
      <c r="C18" s="16">
        <v>0</v>
      </c>
      <c r="D18" s="16">
        <v>0</v>
      </c>
      <c r="E18" s="16">
        <v>5.0000000000000001E-3</v>
      </c>
      <c r="F18" s="16">
        <v>0.01</v>
      </c>
      <c r="G18" s="16">
        <v>1.4999999999999999E-2</v>
      </c>
      <c r="H18" s="16">
        <v>0.02</v>
      </c>
      <c r="I18" s="16">
        <v>2.5000000000000001E-2</v>
      </c>
      <c r="J18" s="16">
        <v>0.03</v>
      </c>
      <c r="K18" s="16">
        <v>3.5000000000000003E-2</v>
      </c>
      <c r="L18" s="16">
        <v>0.04</v>
      </c>
      <c r="M18" s="16">
        <v>4.4999999999999998E-2</v>
      </c>
      <c r="N18" s="16">
        <v>0.05</v>
      </c>
      <c r="O18" s="16">
        <v>5.5E-2</v>
      </c>
      <c r="P18" s="16">
        <v>0.06</v>
      </c>
      <c r="Q18" s="16">
        <v>6.5000000000000002E-2</v>
      </c>
      <c r="R18" s="16">
        <v>7.0000000000000007E-2</v>
      </c>
      <c r="S18" s="16">
        <v>7.4999999999999997E-2</v>
      </c>
      <c r="T18" s="16">
        <v>0.08</v>
      </c>
      <c r="U18" s="16">
        <v>8.5000000000000006E-2</v>
      </c>
      <c r="V18" s="16">
        <v>0.09</v>
      </c>
      <c r="W18" s="16">
        <v>9.5000000000000001E-2</v>
      </c>
      <c r="X18" s="16">
        <v>0.1</v>
      </c>
      <c r="Y18" s="16">
        <v>0.105</v>
      </c>
      <c r="Z18" s="16">
        <v>0.11</v>
      </c>
      <c r="AA18" s="16">
        <v>0.115</v>
      </c>
      <c r="AB18" s="16">
        <v>0.12</v>
      </c>
      <c r="AC18" s="16">
        <v>0.125</v>
      </c>
      <c r="AD18" s="16">
        <v>0.13</v>
      </c>
    </row>
    <row r="19" spans="1:30" x14ac:dyDescent="0.25">
      <c r="A19" s="13" t="s">
        <v>241</v>
      </c>
      <c r="B19" s="13" t="s">
        <v>307</v>
      </c>
      <c r="C19" s="16">
        <v>0</v>
      </c>
      <c r="D19" s="16">
        <v>0</v>
      </c>
      <c r="E19" s="16">
        <v>5.0000000000000001E-3</v>
      </c>
      <c r="F19" s="16">
        <v>0.01</v>
      </c>
      <c r="G19" s="16">
        <v>1.4999999999999999E-2</v>
      </c>
      <c r="H19" s="16">
        <v>0.02</v>
      </c>
      <c r="I19" s="16">
        <v>2.5000000000000001E-2</v>
      </c>
      <c r="J19" s="16">
        <v>0.03</v>
      </c>
      <c r="K19" s="16">
        <v>3.5000000000000003E-2</v>
      </c>
      <c r="L19" s="16">
        <v>0.04</v>
      </c>
      <c r="M19" s="16">
        <v>4.4999999999999998E-2</v>
      </c>
      <c r="N19" s="16">
        <v>0.05</v>
      </c>
      <c r="O19" s="16">
        <v>5.5E-2</v>
      </c>
      <c r="P19" s="16">
        <v>0.06</v>
      </c>
      <c r="Q19" s="16">
        <v>6.5000000000000002E-2</v>
      </c>
      <c r="R19" s="16">
        <v>7.0000000000000007E-2</v>
      </c>
      <c r="S19" s="16">
        <v>7.4999999999999997E-2</v>
      </c>
      <c r="T19" s="16">
        <v>0.08</v>
      </c>
      <c r="U19" s="16">
        <v>8.5000000000000006E-2</v>
      </c>
      <c r="V19" s="16">
        <v>0.09</v>
      </c>
      <c r="W19" s="16">
        <v>9.5000000000000001E-2</v>
      </c>
      <c r="X19" s="16">
        <v>0.1</v>
      </c>
      <c r="Y19" s="16">
        <v>0.105</v>
      </c>
      <c r="Z19" s="16">
        <v>0.11</v>
      </c>
      <c r="AA19" s="16">
        <v>0.115</v>
      </c>
      <c r="AB19" s="16">
        <v>0.12</v>
      </c>
      <c r="AC19" s="16">
        <v>0.125</v>
      </c>
      <c r="AD19" s="16">
        <v>0.13</v>
      </c>
    </row>
    <row r="20" spans="1:30" x14ac:dyDescent="0.25">
      <c r="A20" s="13" t="s">
        <v>241</v>
      </c>
      <c r="B20" s="13" t="s">
        <v>308</v>
      </c>
      <c r="C20" s="16">
        <v>0</v>
      </c>
      <c r="D20" s="16">
        <v>0</v>
      </c>
      <c r="E20" s="16">
        <v>5.0000000000000001E-3</v>
      </c>
      <c r="F20" s="16">
        <v>0.01</v>
      </c>
      <c r="G20" s="16">
        <v>1.4999999999999999E-2</v>
      </c>
      <c r="H20" s="16">
        <v>0.02</v>
      </c>
      <c r="I20" s="16">
        <v>2.5000000000000001E-2</v>
      </c>
      <c r="J20" s="16">
        <v>0.03</v>
      </c>
      <c r="K20" s="16">
        <v>3.5000000000000003E-2</v>
      </c>
      <c r="L20" s="16">
        <v>0.04</v>
      </c>
      <c r="M20" s="16">
        <v>4.4999999999999998E-2</v>
      </c>
      <c r="N20" s="16">
        <v>0.05</v>
      </c>
      <c r="O20" s="16">
        <v>5.5E-2</v>
      </c>
      <c r="P20" s="16">
        <v>0.06</v>
      </c>
      <c r="Q20" s="16">
        <v>6.5000000000000002E-2</v>
      </c>
      <c r="R20" s="16">
        <v>7.0000000000000007E-2</v>
      </c>
      <c r="S20" s="16">
        <v>7.4999999999999997E-2</v>
      </c>
      <c r="T20" s="16">
        <v>0.08</v>
      </c>
      <c r="U20" s="16">
        <v>8.5000000000000006E-2</v>
      </c>
      <c r="V20" s="16">
        <v>0.09</v>
      </c>
      <c r="W20" s="16">
        <v>9.5000000000000001E-2</v>
      </c>
      <c r="X20" s="16">
        <v>0.1</v>
      </c>
      <c r="Y20" s="16">
        <v>0.105</v>
      </c>
      <c r="Z20" s="16">
        <v>0.11</v>
      </c>
      <c r="AA20" s="16">
        <v>0.115</v>
      </c>
      <c r="AB20" s="16">
        <v>0.12</v>
      </c>
      <c r="AC20" s="16">
        <v>0.125</v>
      </c>
      <c r="AD20" s="16">
        <v>0.13</v>
      </c>
    </row>
    <row r="21" spans="1:30" x14ac:dyDescent="0.25">
      <c r="A21" s="13" t="s">
        <v>243</v>
      </c>
      <c r="B21" s="13" t="s">
        <v>306</v>
      </c>
      <c r="C21" s="16">
        <v>0</v>
      </c>
      <c r="D21" s="16">
        <v>0</v>
      </c>
      <c r="E21" s="16">
        <v>5.0000000000000001E-3</v>
      </c>
      <c r="F21" s="16">
        <v>0.01</v>
      </c>
      <c r="G21" s="16">
        <v>1.4999999999999999E-2</v>
      </c>
      <c r="H21" s="16">
        <v>0.02</v>
      </c>
      <c r="I21" s="16">
        <v>2.5000000000000001E-2</v>
      </c>
      <c r="J21" s="16">
        <v>0.03</v>
      </c>
      <c r="K21" s="16">
        <v>3.5000000000000003E-2</v>
      </c>
      <c r="L21" s="16">
        <v>0.04</v>
      </c>
      <c r="M21" s="16">
        <v>4.4999999999999998E-2</v>
      </c>
      <c r="N21" s="16">
        <v>0.05</v>
      </c>
      <c r="O21" s="16">
        <v>5.5E-2</v>
      </c>
      <c r="P21" s="16">
        <v>0.06</v>
      </c>
      <c r="Q21" s="16">
        <v>6.5000000000000002E-2</v>
      </c>
      <c r="R21" s="16">
        <v>7.0000000000000007E-2</v>
      </c>
      <c r="S21" s="16">
        <v>7.4999999999999997E-2</v>
      </c>
      <c r="T21" s="16">
        <v>0.08</v>
      </c>
      <c r="U21" s="16">
        <v>8.5000000000000006E-2</v>
      </c>
      <c r="V21" s="16">
        <v>0.09</v>
      </c>
      <c r="W21" s="16">
        <v>9.5000000000000001E-2</v>
      </c>
      <c r="X21" s="16">
        <v>0.1</v>
      </c>
      <c r="Y21" s="16">
        <v>0.105</v>
      </c>
      <c r="Z21" s="16">
        <v>0.11</v>
      </c>
      <c r="AA21" s="16">
        <v>0.115</v>
      </c>
      <c r="AB21" s="16">
        <v>0.12</v>
      </c>
      <c r="AC21" s="16">
        <v>0.125</v>
      </c>
      <c r="AD21" s="16">
        <v>0.13</v>
      </c>
    </row>
    <row r="22" spans="1:30" x14ac:dyDescent="0.25">
      <c r="A22" s="13" t="s">
        <v>243</v>
      </c>
      <c r="B22" s="13" t="s">
        <v>307</v>
      </c>
      <c r="C22" s="16">
        <v>0</v>
      </c>
      <c r="D22" s="16">
        <v>0</v>
      </c>
      <c r="E22" s="16">
        <v>5.0000000000000001E-3</v>
      </c>
      <c r="F22" s="16">
        <v>0.01</v>
      </c>
      <c r="G22" s="16">
        <v>1.4999999999999999E-2</v>
      </c>
      <c r="H22" s="16">
        <v>0.02</v>
      </c>
      <c r="I22" s="16">
        <v>2.5000000000000001E-2</v>
      </c>
      <c r="J22" s="16">
        <v>0.03</v>
      </c>
      <c r="K22" s="16">
        <v>3.5000000000000003E-2</v>
      </c>
      <c r="L22" s="16">
        <v>0.04</v>
      </c>
      <c r="M22" s="16">
        <v>4.4999999999999998E-2</v>
      </c>
      <c r="N22" s="16">
        <v>0.05</v>
      </c>
      <c r="O22" s="16">
        <v>5.5E-2</v>
      </c>
      <c r="P22" s="16">
        <v>0.06</v>
      </c>
      <c r="Q22" s="16">
        <v>6.5000000000000002E-2</v>
      </c>
      <c r="R22" s="16">
        <v>7.0000000000000007E-2</v>
      </c>
      <c r="S22" s="16">
        <v>7.4999999999999997E-2</v>
      </c>
      <c r="T22" s="16">
        <v>0.08</v>
      </c>
      <c r="U22" s="16">
        <v>8.5000000000000006E-2</v>
      </c>
      <c r="V22" s="16">
        <v>0.09</v>
      </c>
      <c r="W22" s="16">
        <v>9.5000000000000001E-2</v>
      </c>
      <c r="X22" s="16">
        <v>0.1</v>
      </c>
      <c r="Y22" s="16">
        <v>0.105</v>
      </c>
      <c r="Z22" s="16">
        <v>0.11</v>
      </c>
      <c r="AA22" s="16">
        <v>0.115</v>
      </c>
      <c r="AB22" s="16">
        <v>0.12</v>
      </c>
      <c r="AC22" s="16">
        <v>0.125</v>
      </c>
      <c r="AD22" s="16">
        <v>0.13</v>
      </c>
    </row>
    <row r="23" spans="1:30" x14ac:dyDescent="0.25">
      <c r="A23" s="13" t="s">
        <v>243</v>
      </c>
      <c r="B23" s="13" t="s">
        <v>308</v>
      </c>
      <c r="C23" s="16">
        <v>0</v>
      </c>
      <c r="D23" s="16">
        <v>0</v>
      </c>
      <c r="E23" s="16">
        <v>5.0000000000000001E-3</v>
      </c>
      <c r="F23" s="16">
        <v>0.01</v>
      </c>
      <c r="G23" s="16">
        <v>1.4999999999999999E-2</v>
      </c>
      <c r="H23" s="16">
        <v>0.02</v>
      </c>
      <c r="I23" s="16">
        <v>2.5000000000000001E-2</v>
      </c>
      <c r="J23" s="16">
        <v>0.03</v>
      </c>
      <c r="K23" s="16">
        <v>3.5000000000000003E-2</v>
      </c>
      <c r="L23" s="16">
        <v>0.04</v>
      </c>
      <c r="M23" s="16">
        <v>4.4999999999999998E-2</v>
      </c>
      <c r="N23" s="16">
        <v>0.05</v>
      </c>
      <c r="O23" s="16">
        <v>5.5E-2</v>
      </c>
      <c r="P23" s="16">
        <v>0.06</v>
      </c>
      <c r="Q23" s="16">
        <v>6.5000000000000002E-2</v>
      </c>
      <c r="R23" s="16">
        <v>7.0000000000000007E-2</v>
      </c>
      <c r="S23" s="16">
        <v>7.4999999999999997E-2</v>
      </c>
      <c r="T23" s="16">
        <v>0.08</v>
      </c>
      <c r="U23" s="16">
        <v>8.5000000000000006E-2</v>
      </c>
      <c r="V23" s="16">
        <v>0.09</v>
      </c>
      <c r="W23" s="16">
        <v>9.5000000000000001E-2</v>
      </c>
      <c r="X23" s="16">
        <v>0.1</v>
      </c>
      <c r="Y23" s="16">
        <v>0.105</v>
      </c>
      <c r="Z23" s="16">
        <v>0.11</v>
      </c>
      <c r="AA23" s="16">
        <v>0.115</v>
      </c>
      <c r="AB23" s="16">
        <v>0.12</v>
      </c>
      <c r="AC23" s="16">
        <v>0.125</v>
      </c>
      <c r="AD23" s="16">
        <v>0.13</v>
      </c>
    </row>
    <row r="24" spans="1:30" x14ac:dyDescent="0.25">
      <c r="A24" s="13" t="s">
        <v>245</v>
      </c>
      <c r="B24" s="13" t="s">
        <v>306</v>
      </c>
      <c r="C24" s="16">
        <v>0</v>
      </c>
      <c r="D24" s="16">
        <v>0</v>
      </c>
      <c r="E24" s="16">
        <v>5.0000000000000001E-3</v>
      </c>
      <c r="F24" s="16">
        <v>0.01</v>
      </c>
      <c r="G24" s="16">
        <v>1.4999999999999999E-2</v>
      </c>
      <c r="H24" s="16">
        <v>0.02</v>
      </c>
      <c r="I24" s="16">
        <v>2.5000000000000001E-2</v>
      </c>
      <c r="J24" s="16">
        <v>0.03</v>
      </c>
      <c r="K24" s="16">
        <v>3.5000000000000003E-2</v>
      </c>
      <c r="L24" s="16">
        <v>0.04</v>
      </c>
      <c r="M24" s="16">
        <v>4.4999999999999998E-2</v>
      </c>
      <c r="N24" s="16">
        <v>0.05</v>
      </c>
      <c r="O24" s="16">
        <v>5.5E-2</v>
      </c>
      <c r="P24" s="16">
        <v>0.06</v>
      </c>
      <c r="Q24" s="16">
        <v>6.5000000000000002E-2</v>
      </c>
      <c r="R24" s="16">
        <v>7.0000000000000007E-2</v>
      </c>
      <c r="S24" s="16">
        <v>7.4999999999999997E-2</v>
      </c>
      <c r="T24" s="16">
        <v>0.08</v>
      </c>
      <c r="U24" s="16">
        <v>8.5000000000000006E-2</v>
      </c>
      <c r="V24" s="16">
        <v>0.09</v>
      </c>
      <c r="W24" s="16">
        <v>9.5000000000000001E-2</v>
      </c>
      <c r="X24" s="16">
        <v>0.1</v>
      </c>
      <c r="Y24" s="16">
        <v>0.105</v>
      </c>
      <c r="Z24" s="16">
        <v>0.11</v>
      </c>
      <c r="AA24" s="16">
        <v>0.115</v>
      </c>
      <c r="AB24" s="16">
        <v>0.12</v>
      </c>
      <c r="AC24" s="16">
        <v>0.125</v>
      </c>
      <c r="AD24" s="16">
        <v>0.13</v>
      </c>
    </row>
    <row r="25" spans="1:30" x14ac:dyDescent="0.25">
      <c r="A25" s="13" t="s">
        <v>245</v>
      </c>
      <c r="B25" s="13" t="s">
        <v>307</v>
      </c>
      <c r="C25" s="16">
        <v>0</v>
      </c>
      <c r="D25" s="16">
        <v>0</v>
      </c>
      <c r="E25" s="16">
        <v>5.0000000000000001E-3</v>
      </c>
      <c r="F25" s="16">
        <v>0.01</v>
      </c>
      <c r="G25" s="16">
        <v>1.4999999999999999E-2</v>
      </c>
      <c r="H25" s="16">
        <v>0.02</v>
      </c>
      <c r="I25" s="16">
        <v>2.5000000000000001E-2</v>
      </c>
      <c r="J25" s="16">
        <v>0.03</v>
      </c>
      <c r="K25" s="16">
        <v>3.5000000000000003E-2</v>
      </c>
      <c r="L25" s="16">
        <v>0.04</v>
      </c>
      <c r="M25" s="16">
        <v>4.4999999999999998E-2</v>
      </c>
      <c r="N25" s="16">
        <v>0.05</v>
      </c>
      <c r="O25" s="16">
        <v>5.5E-2</v>
      </c>
      <c r="P25" s="16">
        <v>0.06</v>
      </c>
      <c r="Q25" s="16">
        <v>6.5000000000000002E-2</v>
      </c>
      <c r="R25" s="16">
        <v>7.0000000000000007E-2</v>
      </c>
      <c r="S25" s="16">
        <v>7.4999999999999997E-2</v>
      </c>
      <c r="T25" s="16">
        <v>0.08</v>
      </c>
      <c r="U25" s="16">
        <v>8.5000000000000006E-2</v>
      </c>
      <c r="V25" s="16">
        <v>0.09</v>
      </c>
      <c r="W25" s="16">
        <v>9.5000000000000001E-2</v>
      </c>
      <c r="X25" s="16">
        <v>0.1</v>
      </c>
      <c r="Y25" s="16">
        <v>0.105</v>
      </c>
      <c r="Z25" s="16">
        <v>0.11</v>
      </c>
      <c r="AA25" s="16">
        <v>0.115</v>
      </c>
      <c r="AB25" s="16">
        <v>0.12</v>
      </c>
      <c r="AC25" s="16">
        <v>0.125</v>
      </c>
      <c r="AD25" s="16">
        <v>0.13</v>
      </c>
    </row>
    <row r="26" spans="1:30" x14ac:dyDescent="0.25">
      <c r="A26" s="13" t="s">
        <v>245</v>
      </c>
      <c r="B26" s="13" t="s">
        <v>308</v>
      </c>
      <c r="C26" s="16">
        <v>0</v>
      </c>
      <c r="D26" s="16">
        <v>0</v>
      </c>
      <c r="E26" s="16">
        <v>5.0000000000000001E-3</v>
      </c>
      <c r="F26" s="16">
        <v>0.01</v>
      </c>
      <c r="G26" s="16">
        <v>1.4999999999999999E-2</v>
      </c>
      <c r="H26" s="16">
        <v>0.02</v>
      </c>
      <c r="I26" s="16">
        <v>2.5000000000000001E-2</v>
      </c>
      <c r="J26" s="16">
        <v>0.03</v>
      </c>
      <c r="K26" s="16">
        <v>3.5000000000000003E-2</v>
      </c>
      <c r="L26" s="16">
        <v>0.04</v>
      </c>
      <c r="M26" s="16">
        <v>4.4999999999999998E-2</v>
      </c>
      <c r="N26" s="16">
        <v>0.05</v>
      </c>
      <c r="O26" s="16">
        <v>5.5E-2</v>
      </c>
      <c r="P26" s="16">
        <v>0.06</v>
      </c>
      <c r="Q26" s="16">
        <v>6.5000000000000002E-2</v>
      </c>
      <c r="R26" s="16">
        <v>7.0000000000000007E-2</v>
      </c>
      <c r="S26" s="16">
        <v>7.4999999999999997E-2</v>
      </c>
      <c r="T26" s="16">
        <v>0.08</v>
      </c>
      <c r="U26" s="16">
        <v>8.5000000000000006E-2</v>
      </c>
      <c r="V26" s="16">
        <v>0.09</v>
      </c>
      <c r="W26" s="16">
        <v>9.5000000000000001E-2</v>
      </c>
      <c r="X26" s="16">
        <v>0.1</v>
      </c>
      <c r="Y26" s="16">
        <v>0.105</v>
      </c>
      <c r="Z26" s="16">
        <v>0.11</v>
      </c>
      <c r="AA26" s="16">
        <v>0.115</v>
      </c>
      <c r="AB26" s="16">
        <v>0.12</v>
      </c>
      <c r="AC26" s="16">
        <v>0.125</v>
      </c>
      <c r="AD26" s="16">
        <v>0.13</v>
      </c>
    </row>
    <row r="27" spans="1:30" x14ac:dyDescent="0.25">
      <c r="A27" s="13" t="s">
        <v>247</v>
      </c>
      <c r="B27" s="13" t="s">
        <v>306</v>
      </c>
      <c r="C27" s="16">
        <v>0</v>
      </c>
      <c r="D27" s="16">
        <v>0</v>
      </c>
      <c r="E27" s="16">
        <v>5.0000000000000001E-3</v>
      </c>
      <c r="F27" s="16">
        <v>0.01</v>
      </c>
      <c r="G27" s="16">
        <v>1.4999999999999999E-2</v>
      </c>
      <c r="H27" s="16">
        <v>0.02</v>
      </c>
      <c r="I27" s="16">
        <v>2.5000000000000001E-2</v>
      </c>
      <c r="J27" s="16">
        <v>0.03</v>
      </c>
      <c r="K27" s="16">
        <v>3.5000000000000003E-2</v>
      </c>
      <c r="L27" s="16">
        <v>0.04</v>
      </c>
      <c r="M27" s="16">
        <v>4.4999999999999998E-2</v>
      </c>
      <c r="N27" s="16">
        <v>0.05</v>
      </c>
      <c r="O27" s="16">
        <v>5.5E-2</v>
      </c>
      <c r="P27" s="16">
        <v>0.06</v>
      </c>
      <c r="Q27" s="16">
        <v>6.5000000000000002E-2</v>
      </c>
      <c r="R27" s="16">
        <v>7.0000000000000007E-2</v>
      </c>
      <c r="S27" s="16">
        <v>7.4999999999999997E-2</v>
      </c>
      <c r="T27" s="16">
        <v>0.08</v>
      </c>
      <c r="U27" s="16">
        <v>8.5000000000000006E-2</v>
      </c>
      <c r="V27" s="16">
        <v>0.09</v>
      </c>
      <c r="W27" s="16">
        <v>9.5000000000000001E-2</v>
      </c>
      <c r="X27" s="16">
        <v>0.1</v>
      </c>
      <c r="Y27" s="16">
        <v>0.105</v>
      </c>
      <c r="Z27" s="16">
        <v>0.11</v>
      </c>
      <c r="AA27" s="16">
        <v>0.115</v>
      </c>
      <c r="AB27" s="16">
        <v>0.12</v>
      </c>
      <c r="AC27" s="16">
        <v>0.125</v>
      </c>
      <c r="AD27" s="16">
        <v>0.13</v>
      </c>
    </row>
    <row r="28" spans="1:30" x14ac:dyDescent="0.25">
      <c r="A28" s="13" t="s">
        <v>247</v>
      </c>
      <c r="B28" s="13" t="s">
        <v>307</v>
      </c>
      <c r="C28" s="16">
        <v>0</v>
      </c>
      <c r="D28" s="16">
        <v>0</v>
      </c>
      <c r="E28" s="16">
        <v>5.0000000000000001E-3</v>
      </c>
      <c r="F28" s="16">
        <v>0.01</v>
      </c>
      <c r="G28" s="16">
        <v>1.4999999999999999E-2</v>
      </c>
      <c r="H28" s="16">
        <v>0.02</v>
      </c>
      <c r="I28" s="16">
        <v>2.5000000000000001E-2</v>
      </c>
      <c r="J28" s="16">
        <v>0.03</v>
      </c>
      <c r="K28" s="16">
        <v>3.5000000000000003E-2</v>
      </c>
      <c r="L28" s="16">
        <v>0.04</v>
      </c>
      <c r="M28" s="16">
        <v>4.4999999999999998E-2</v>
      </c>
      <c r="N28" s="16">
        <v>0.05</v>
      </c>
      <c r="O28" s="16">
        <v>5.5E-2</v>
      </c>
      <c r="P28" s="16">
        <v>0.06</v>
      </c>
      <c r="Q28" s="16">
        <v>6.5000000000000002E-2</v>
      </c>
      <c r="R28" s="16">
        <v>7.0000000000000007E-2</v>
      </c>
      <c r="S28" s="16">
        <v>7.4999999999999997E-2</v>
      </c>
      <c r="T28" s="16">
        <v>0.08</v>
      </c>
      <c r="U28" s="16">
        <v>8.5000000000000006E-2</v>
      </c>
      <c r="V28" s="16">
        <v>0.09</v>
      </c>
      <c r="W28" s="16">
        <v>9.5000000000000001E-2</v>
      </c>
      <c r="X28" s="16">
        <v>0.1</v>
      </c>
      <c r="Y28" s="16">
        <v>0.105</v>
      </c>
      <c r="Z28" s="16">
        <v>0.11</v>
      </c>
      <c r="AA28" s="16">
        <v>0.115</v>
      </c>
      <c r="AB28" s="16">
        <v>0.12</v>
      </c>
      <c r="AC28" s="16">
        <v>0.125</v>
      </c>
      <c r="AD28" s="16">
        <v>0.13</v>
      </c>
    </row>
    <row r="29" spans="1:30" x14ac:dyDescent="0.25">
      <c r="A29" s="13" t="s">
        <v>247</v>
      </c>
      <c r="B29" s="13" t="s">
        <v>308</v>
      </c>
      <c r="C29" s="16">
        <v>0</v>
      </c>
      <c r="D29" s="16">
        <v>0</v>
      </c>
      <c r="E29" s="16">
        <v>5.0000000000000001E-3</v>
      </c>
      <c r="F29" s="16">
        <v>0.01</v>
      </c>
      <c r="G29" s="16">
        <v>1.4999999999999999E-2</v>
      </c>
      <c r="H29" s="16">
        <v>0.02</v>
      </c>
      <c r="I29" s="16">
        <v>2.5000000000000001E-2</v>
      </c>
      <c r="J29" s="16">
        <v>0.03</v>
      </c>
      <c r="K29" s="16">
        <v>3.5000000000000003E-2</v>
      </c>
      <c r="L29" s="16">
        <v>0.04</v>
      </c>
      <c r="M29" s="16">
        <v>4.4999999999999998E-2</v>
      </c>
      <c r="N29" s="16">
        <v>0.05</v>
      </c>
      <c r="O29" s="16">
        <v>5.5E-2</v>
      </c>
      <c r="P29" s="16">
        <v>0.06</v>
      </c>
      <c r="Q29" s="16">
        <v>6.5000000000000002E-2</v>
      </c>
      <c r="R29" s="16">
        <v>7.0000000000000007E-2</v>
      </c>
      <c r="S29" s="16">
        <v>7.4999999999999997E-2</v>
      </c>
      <c r="T29" s="16">
        <v>0.08</v>
      </c>
      <c r="U29" s="16">
        <v>8.5000000000000006E-2</v>
      </c>
      <c r="V29" s="16">
        <v>0.09</v>
      </c>
      <c r="W29" s="16">
        <v>9.5000000000000001E-2</v>
      </c>
      <c r="X29" s="16">
        <v>0.1</v>
      </c>
      <c r="Y29" s="16">
        <v>0.105</v>
      </c>
      <c r="Z29" s="16">
        <v>0.11</v>
      </c>
      <c r="AA29" s="16">
        <v>0.115</v>
      </c>
      <c r="AB29" s="16">
        <v>0.12</v>
      </c>
      <c r="AC29" s="16">
        <v>0.125</v>
      </c>
      <c r="AD29" s="16">
        <v>0.13</v>
      </c>
    </row>
    <row r="30" spans="1:30" x14ac:dyDescent="0.25">
      <c r="A30" s="13" t="s">
        <v>249</v>
      </c>
      <c r="B30" s="13" t="s">
        <v>306</v>
      </c>
      <c r="C30" s="16">
        <v>0</v>
      </c>
      <c r="D30" s="16">
        <v>0</v>
      </c>
      <c r="E30" s="16">
        <v>5.0000000000000001E-3</v>
      </c>
      <c r="F30" s="16">
        <v>0.01</v>
      </c>
      <c r="G30" s="16">
        <v>1.4999999999999999E-2</v>
      </c>
      <c r="H30" s="16">
        <v>0.02</v>
      </c>
      <c r="I30" s="16">
        <v>2.5000000000000001E-2</v>
      </c>
      <c r="J30" s="16">
        <v>0.03</v>
      </c>
      <c r="K30" s="16">
        <v>3.5000000000000003E-2</v>
      </c>
      <c r="L30" s="16">
        <v>0.04</v>
      </c>
      <c r="M30" s="16">
        <v>4.4999999999999998E-2</v>
      </c>
      <c r="N30" s="16">
        <v>0.05</v>
      </c>
      <c r="O30" s="16">
        <v>5.5E-2</v>
      </c>
      <c r="P30" s="16">
        <v>0.06</v>
      </c>
      <c r="Q30" s="16">
        <v>6.5000000000000002E-2</v>
      </c>
      <c r="R30" s="16">
        <v>7.0000000000000007E-2</v>
      </c>
      <c r="S30" s="16">
        <v>7.4999999999999997E-2</v>
      </c>
      <c r="T30" s="16">
        <v>0.08</v>
      </c>
      <c r="U30" s="16">
        <v>8.5000000000000006E-2</v>
      </c>
      <c r="V30" s="16">
        <v>0.09</v>
      </c>
      <c r="W30" s="16">
        <v>9.5000000000000001E-2</v>
      </c>
      <c r="X30" s="16">
        <v>0.1</v>
      </c>
      <c r="Y30" s="16">
        <v>0.105</v>
      </c>
      <c r="Z30" s="16">
        <v>0.11</v>
      </c>
      <c r="AA30" s="16">
        <v>0.115</v>
      </c>
      <c r="AB30" s="16">
        <v>0.12</v>
      </c>
      <c r="AC30" s="16">
        <v>0.125</v>
      </c>
      <c r="AD30" s="16">
        <v>0.13</v>
      </c>
    </row>
    <row r="31" spans="1:30" x14ac:dyDescent="0.25">
      <c r="A31" s="13" t="s">
        <v>249</v>
      </c>
      <c r="B31" s="13" t="s">
        <v>307</v>
      </c>
      <c r="C31" s="16">
        <v>0</v>
      </c>
      <c r="D31" s="16">
        <v>0</v>
      </c>
      <c r="E31" s="16">
        <v>5.0000000000000001E-3</v>
      </c>
      <c r="F31" s="16">
        <v>0.01</v>
      </c>
      <c r="G31" s="16">
        <v>1.4999999999999999E-2</v>
      </c>
      <c r="H31" s="16">
        <v>0.02</v>
      </c>
      <c r="I31" s="16">
        <v>2.5000000000000001E-2</v>
      </c>
      <c r="J31" s="16">
        <v>0.03</v>
      </c>
      <c r="K31" s="16">
        <v>3.5000000000000003E-2</v>
      </c>
      <c r="L31" s="16">
        <v>0.04</v>
      </c>
      <c r="M31" s="16">
        <v>4.4999999999999998E-2</v>
      </c>
      <c r="N31" s="16">
        <v>0.05</v>
      </c>
      <c r="O31" s="16">
        <v>5.5E-2</v>
      </c>
      <c r="P31" s="16">
        <v>0.06</v>
      </c>
      <c r="Q31" s="16">
        <v>6.5000000000000002E-2</v>
      </c>
      <c r="R31" s="16">
        <v>7.0000000000000007E-2</v>
      </c>
      <c r="S31" s="16">
        <v>7.4999999999999997E-2</v>
      </c>
      <c r="T31" s="16">
        <v>0.08</v>
      </c>
      <c r="U31" s="16">
        <v>8.5000000000000006E-2</v>
      </c>
      <c r="V31" s="16">
        <v>0.09</v>
      </c>
      <c r="W31" s="16">
        <v>9.5000000000000001E-2</v>
      </c>
      <c r="X31" s="16">
        <v>0.1</v>
      </c>
      <c r="Y31" s="16">
        <v>0.105</v>
      </c>
      <c r="Z31" s="16">
        <v>0.11</v>
      </c>
      <c r="AA31" s="16">
        <v>0.115</v>
      </c>
      <c r="AB31" s="16">
        <v>0.12</v>
      </c>
      <c r="AC31" s="16">
        <v>0.125</v>
      </c>
      <c r="AD31" s="16">
        <v>0.13</v>
      </c>
    </row>
    <row r="32" spans="1:30" x14ac:dyDescent="0.25">
      <c r="A32" s="13" t="s">
        <v>249</v>
      </c>
      <c r="B32" s="13" t="s">
        <v>308</v>
      </c>
      <c r="C32" s="16">
        <v>0</v>
      </c>
      <c r="D32" s="16">
        <v>0</v>
      </c>
      <c r="E32" s="16">
        <v>5.0000000000000001E-3</v>
      </c>
      <c r="F32" s="16">
        <v>0.01</v>
      </c>
      <c r="G32" s="16">
        <v>1.4999999999999999E-2</v>
      </c>
      <c r="H32" s="16">
        <v>0.02</v>
      </c>
      <c r="I32" s="16">
        <v>2.5000000000000001E-2</v>
      </c>
      <c r="J32" s="16">
        <v>0.03</v>
      </c>
      <c r="K32" s="16">
        <v>3.5000000000000003E-2</v>
      </c>
      <c r="L32" s="16">
        <v>0.04</v>
      </c>
      <c r="M32" s="16">
        <v>4.4999999999999998E-2</v>
      </c>
      <c r="N32" s="16">
        <v>0.05</v>
      </c>
      <c r="O32" s="16">
        <v>5.5E-2</v>
      </c>
      <c r="P32" s="16">
        <v>0.06</v>
      </c>
      <c r="Q32" s="16">
        <v>6.5000000000000002E-2</v>
      </c>
      <c r="R32" s="16">
        <v>7.0000000000000007E-2</v>
      </c>
      <c r="S32" s="16">
        <v>7.4999999999999997E-2</v>
      </c>
      <c r="T32" s="16">
        <v>0.08</v>
      </c>
      <c r="U32" s="16">
        <v>8.5000000000000006E-2</v>
      </c>
      <c r="V32" s="16">
        <v>0.09</v>
      </c>
      <c r="W32" s="16">
        <v>9.5000000000000001E-2</v>
      </c>
      <c r="X32" s="16">
        <v>0.1</v>
      </c>
      <c r="Y32" s="16">
        <v>0.105</v>
      </c>
      <c r="Z32" s="16">
        <v>0.11</v>
      </c>
      <c r="AA32" s="16">
        <v>0.115</v>
      </c>
      <c r="AB32" s="16">
        <v>0.12</v>
      </c>
      <c r="AC32" s="16">
        <v>0.125</v>
      </c>
      <c r="AD32" s="16">
        <v>0.13</v>
      </c>
    </row>
    <row r="33" spans="1:30" x14ac:dyDescent="0.25">
      <c r="A33" s="13" t="s">
        <v>251</v>
      </c>
      <c r="B33" s="13" t="s">
        <v>306</v>
      </c>
      <c r="C33" s="16">
        <v>0</v>
      </c>
      <c r="D33" s="16">
        <v>0</v>
      </c>
      <c r="E33" s="16">
        <v>5.0000000000000001E-3</v>
      </c>
      <c r="F33" s="16">
        <v>0.01</v>
      </c>
      <c r="G33" s="16">
        <v>1.4999999999999999E-2</v>
      </c>
      <c r="H33" s="16">
        <v>0.02</v>
      </c>
      <c r="I33" s="16">
        <v>2.5000000000000001E-2</v>
      </c>
      <c r="J33" s="16">
        <v>0.03</v>
      </c>
      <c r="K33" s="16">
        <v>3.5000000000000003E-2</v>
      </c>
      <c r="L33" s="16">
        <v>0.04</v>
      </c>
      <c r="M33" s="16">
        <v>4.4999999999999998E-2</v>
      </c>
      <c r="N33" s="16">
        <v>0.05</v>
      </c>
      <c r="O33" s="16">
        <v>5.5E-2</v>
      </c>
      <c r="P33" s="16">
        <v>0.06</v>
      </c>
      <c r="Q33" s="16">
        <v>6.5000000000000002E-2</v>
      </c>
      <c r="R33" s="16">
        <v>7.0000000000000007E-2</v>
      </c>
      <c r="S33" s="16">
        <v>7.4999999999999997E-2</v>
      </c>
      <c r="T33" s="16">
        <v>0.08</v>
      </c>
      <c r="U33" s="16">
        <v>8.5000000000000006E-2</v>
      </c>
      <c r="V33" s="16">
        <v>0.09</v>
      </c>
      <c r="W33" s="16">
        <v>9.5000000000000001E-2</v>
      </c>
      <c r="X33" s="16">
        <v>0.1</v>
      </c>
      <c r="Y33" s="16">
        <v>0.105</v>
      </c>
      <c r="Z33" s="16">
        <v>0.11</v>
      </c>
      <c r="AA33" s="16">
        <v>0.115</v>
      </c>
      <c r="AB33" s="16">
        <v>0.12</v>
      </c>
      <c r="AC33" s="16">
        <v>0.125</v>
      </c>
      <c r="AD33" s="16">
        <v>0.13</v>
      </c>
    </row>
    <row r="34" spans="1:30" x14ac:dyDescent="0.25">
      <c r="A34" s="13" t="s">
        <v>251</v>
      </c>
      <c r="B34" s="13" t="s">
        <v>307</v>
      </c>
      <c r="C34" s="16">
        <v>0</v>
      </c>
      <c r="D34" s="16">
        <v>0</v>
      </c>
      <c r="E34" s="16">
        <v>5.0000000000000001E-3</v>
      </c>
      <c r="F34" s="16">
        <v>0.01</v>
      </c>
      <c r="G34" s="16">
        <v>1.4999999999999999E-2</v>
      </c>
      <c r="H34" s="16">
        <v>0.02</v>
      </c>
      <c r="I34" s="16">
        <v>2.5000000000000001E-2</v>
      </c>
      <c r="J34" s="16">
        <v>0.03</v>
      </c>
      <c r="K34" s="16">
        <v>3.5000000000000003E-2</v>
      </c>
      <c r="L34" s="16">
        <v>0.04</v>
      </c>
      <c r="M34" s="16">
        <v>4.4999999999999998E-2</v>
      </c>
      <c r="N34" s="16">
        <v>0.05</v>
      </c>
      <c r="O34" s="16">
        <v>5.5E-2</v>
      </c>
      <c r="P34" s="16">
        <v>0.06</v>
      </c>
      <c r="Q34" s="16">
        <v>6.5000000000000002E-2</v>
      </c>
      <c r="R34" s="16">
        <v>7.0000000000000007E-2</v>
      </c>
      <c r="S34" s="16">
        <v>7.4999999999999997E-2</v>
      </c>
      <c r="T34" s="16">
        <v>0.08</v>
      </c>
      <c r="U34" s="16">
        <v>8.5000000000000006E-2</v>
      </c>
      <c r="V34" s="16">
        <v>0.09</v>
      </c>
      <c r="W34" s="16">
        <v>9.5000000000000001E-2</v>
      </c>
      <c r="X34" s="16">
        <v>0.1</v>
      </c>
      <c r="Y34" s="16">
        <v>0.105</v>
      </c>
      <c r="Z34" s="16">
        <v>0.11</v>
      </c>
      <c r="AA34" s="16">
        <v>0.115</v>
      </c>
      <c r="AB34" s="16">
        <v>0.12</v>
      </c>
      <c r="AC34" s="16">
        <v>0.125</v>
      </c>
      <c r="AD34" s="16">
        <v>0.13</v>
      </c>
    </row>
    <row r="35" spans="1:30" x14ac:dyDescent="0.25">
      <c r="A35" s="13" t="s">
        <v>251</v>
      </c>
      <c r="B35" s="13" t="s">
        <v>308</v>
      </c>
      <c r="C35" s="16">
        <v>0</v>
      </c>
      <c r="D35" s="16">
        <v>0</v>
      </c>
      <c r="E35" s="16">
        <v>5.0000000000000001E-3</v>
      </c>
      <c r="F35" s="16">
        <v>0.01</v>
      </c>
      <c r="G35" s="16">
        <v>1.4999999999999999E-2</v>
      </c>
      <c r="H35" s="16">
        <v>0.02</v>
      </c>
      <c r="I35" s="16">
        <v>2.5000000000000001E-2</v>
      </c>
      <c r="J35" s="16">
        <v>0.03</v>
      </c>
      <c r="K35" s="16">
        <v>3.5000000000000003E-2</v>
      </c>
      <c r="L35" s="16">
        <v>0.04</v>
      </c>
      <c r="M35" s="16">
        <v>4.4999999999999998E-2</v>
      </c>
      <c r="N35" s="16">
        <v>0.05</v>
      </c>
      <c r="O35" s="16">
        <v>5.5E-2</v>
      </c>
      <c r="P35" s="16">
        <v>0.06</v>
      </c>
      <c r="Q35" s="16">
        <v>6.5000000000000002E-2</v>
      </c>
      <c r="R35" s="16">
        <v>7.0000000000000007E-2</v>
      </c>
      <c r="S35" s="16">
        <v>7.4999999999999997E-2</v>
      </c>
      <c r="T35" s="16">
        <v>0.08</v>
      </c>
      <c r="U35" s="16">
        <v>8.5000000000000006E-2</v>
      </c>
      <c r="V35" s="16">
        <v>0.09</v>
      </c>
      <c r="W35" s="16">
        <v>9.5000000000000001E-2</v>
      </c>
      <c r="X35" s="16">
        <v>0.1</v>
      </c>
      <c r="Y35" s="16">
        <v>0.105</v>
      </c>
      <c r="Z35" s="16">
        <v>0.11</v>
      </c>
      <c r="AA35" s="16">
        <v>0.115</v>
      </c>
      <c r="AB35" s="16">
        <v>0.12</v>
      </c>
      <c r="AC35" s="16">
        <v>0.125</v>
      </c>
      <c r="AD35" s="16">
        <v>0.13</v>
      </c>
    </row>
    <row r="36" spans="1:30" x14ac:dyDescent="0.25">
      <c r="A36" s="13" t="s">
        <v>253</v>
      </c>
      <c r="B36" s="13" t="s">
        <v>306</v>
      </c>
      <c r="C36" s="16">
        <v>0</v>
      </c>
      <c r="D36" s="16">
        <v>0</v>
      </c>
      <c r="E36" s="16">
        <v>5.0000000000000001E-3</v>
      </c>
      <c r="F36" s="16">
        <v>0.01</v>
      </c>
      <c r="G36" s="16">
        <v>1.4999999999999999E-2</v>
      </c>
      <c r="H36" s="16">
        <v>0.02</v>
      </c>
      <c r="I36" s="16">
        <v>2.5000000000000001E-2</v>
      </c>
      <c r="J36" s="16">
        <v>0.03</v>
      </c>
      <c r="K36" s="16">
        <v>3.5000000000000003E-2</v>
      </c>
      <c r="L36" s="16">
        <v>0.04</v>
      </c>
      <c r="M36" s="16">
        <v>4.4999999999999998E-2</v>
      </c>
      <c r="N36" s="16">
        <v>0.05</v>
      </c>
      <c r="O36" s="16">
        <v>5.5E-2</v>
      </c>
      <c r="P36" s="16">
        <v>0.06</v>
      </c>
      <c r="Q36" s="16">
        <v>6.5000000000000002E-2</v>
      </c>
      <c r="R36" s="16">
        <v>7.0000000000000007E-2</v>
      </c>
      <c r="S36" s="16">
        <v>7.4999999999999997E-2</v>
      </c>
      <c r="T36" s="16">
        <v>0.08</v>
      </c>
      <c r="U36" s="16">
        <v>8.5000000000000006E-2</v>
      </c>
      <c r="V36" s="16">
        <v>0.09</v>
      </c>
      <c r="W36" s="16">
        <v>9.5000000000000001E-2</v>
      </c>
      <c r="X36" s="16">
        <v>0.1</v>
      </c>
      <c r="Y36" s="16">
        <v>0.105</v>
      </c>
      <c r="Z36" s="16">
        <v>0.11</v>
      </c>
      <c r="AA36" s="16">
        <v>0.115</v>
      </c>
      <c r="AB36" s="16">
        <v>0.12</v>
      </c>
      <c r="AC36" s="16">
        <v>0.125</v>
      </c>
      <c r="AD36" s="16">
        <v>0.13</v>
      </c>
    </row>
    <row r="37" spans="1:30" x14ac:dyDescent="0.25">
      <c r="A37" s="13" t="s">
        <v>253</v>
      </c>
      <c r="B37" s="13" t="s">
        <v>307</v>
      </c>
      <c r="C37" s="16">
        <v>0</v>
      </c>
      <c r="D37" s="16">
        <v>0</v>
      </c>
      <c r="E37" s="16">
        <v>5.0000000000000001E-3</v>
      </c>
      <c r="F37" s="16">
        <v>0.01</v>
      </c>
      <c r="G37" s="16">
        <v>1.4999999999999999E-2</v>
      </c>
      <c r="H37" s="16">
        <v>0.02</v>
      </c>
      <c r="I37" s="16">
        <v>2.5000000000000001E-2</v>
      </c>
      <c r="J37" s="16">
        <v>0.03</v>
      </c>
      <c r="K37" s="16">
        <v>3.5000000000000003E-2</v>
      </c>
      <c r="L37" s="16">
        <v>0.04</v>
      </c>
      <c r="M37" s="16">
        <v>4.4999999999999998E-2</v>
      </c>
      <c r="N37" s="16">
        <v>0.05</v>
      </c>
      <c r="O37" s="16">
        <v>5.5E-2</v>
      </c>
      <c r="P37" s="16">
        <v>0.06</v>
      </c>
      <c r="Q37" s="16">
        <v>6.5000000000000002E-2</v>
      </c>
      <c r="R37" s="16">
        <v>7.0000000000000007E-2</v>
      </c>
      <c r="S37" s="16">
        <v>7.4999999999999997E-2</v>
      </c>
      <c r="T37" s="16">
        <v>0.08</v>
      </c>
      <c r="U37" s="16">
        <v>8.5000000000000006E-2</v>
      </c>
      <c r="V37" s="16">
        <v>0.09</v>
      </c>
      <c r="W37" s="16">
        <v>9.5000000000000001E-2</v>
      </c>
      <c r="X37" s="16">
        <v>0.1</v>
      </c>
      <c r="Y37" s="16">
        <v>0.105</v>
      </c>
      <c r="Z37" s="16">
        <v>0.11</v>
      </c>
      <c r="AA37" s="16">
        <v>0.115</v>
      </c>
      <c r="AB37" s="16">
        <v>0.12</v>
      </c>
      <c r="AC37" s="16">
        <v>0.125</v>
      </c>
      <c r="AD37" s="16">
        <v>0.13</v>
      </c>
    </row>
    <row r="38" spans="1:30" x14ac:dyDescent="0.25">
      <c r="A38" s="13" t="s">
        <v>253</v>
      </c>
      <c r="B38" s="13" t="s">
        <v>308</v>
      </c>
      <c r="C38" s="16">
        <v>0</v>
      </c>
      <c r="D38" s="16">
        <v>0</v>
      </c>
      <c r="E38" s="16">
        <v>5.0000000000000001E-3</v>
      </c>
      <c r="F38" s="16">
        <v>0.01</v>
      </c>
      <c r="G38" s="16">
        <v>1.4999999999999999E-2</v>
      </c>
      <c r="H38" s="16">
        <v>0.02</v>
      </c>
      <c r="I38" s="16">
        <v>2.5000000000000001E-2</v>
      </c>
      <c r="J38" s="16">
        <v>0.03</v>
      </c>
      <c r="K38" s="16">
        <v>3.5000000000000003E-2</v>
      </c>
      <c r="L38" s="16">
        <v>0.04</v>
      </c>
      <c r="M38" s="16">
        <v>4.4999999999999998E-2</v>
      </c>
      <c r="N38" s="16">
        <v>0.05</v>
      </c>
      <c r="O38" s="16">
        <v>5.5E-2</v>
      </c>
      <c r="P38" s="16">
        <v>0.06</v>
      </c>
      <c r="Q38" s="16">
        <v>6.5000000000000002E-2</v>
      </c>
      <c r="R38" s="16">
        <v>7.0000000000000007E-2</v>
      </c>
      <c r="S38" s="16">
        <v>7.4999999999999997E-2</v>
      </c>
      <c r="T38" s="16">
        <v>0.08</v>
      </c>
      <c r="U38" s="16">
        <v>8.5000000000000006E-2</v>
      </c>
      <c r="V38" s="16">
        <v>0.09</v>
      </c>
      <c r="W38" s="16">
        <v>9.5000000000000001E-2</v>
      </c>
      <c r="X38" s="16">
        <v>0.1</v>
      </c>
      <c r="Y38" s="16">
        <v>0.105</v>
      </c>
      <c r="Z38" s="16">
        <v>0.11</v>
      </c>
      <c r="AA38" s="16">
        <v>0.115</v>
      </c>
      <c r="AB38" s="16">
        <v>0.12</v>
      </c>
      <c r="AC38" s="16">
        <v>0.125</v>
      </c>
      <c r="AD38" s="16">
        <v>0.13</v>
      </c>
    </row>
    <row r="39" spans="1:30" x14ac:dyDescent="0.25">
      <c r="A39" s="13" t="s">
        <v>255</v>
      </c>
      <c r="B39" s="13" t="s">
        <v>306</v>
      </c>
      <c r="C39" s="16">
        <v>0</v>
      </c>
      <c r="D39" s="16">
        <v>0</v>
      </c>
      <c r="E39" s="16">
        <v>5.0000000000000001E-3</v>
      </c>
      <c r="F39" s="16">
        <v>0.01</v>
      </c>
      <c r="G39" s="16">
        <v>1.4999999999999999E-2</v>
      </c>
      <c r="H39" s="16">
        <v>0.02</v>
      </c>
      <c r="I39" s="16">
        <v>2.5000000000000001E-2</v>
      </c>
      <c r="J39" s="16">
        <v>0.03</v>
      </c>
      <c r="K39" s="16">
        <v>3.5000000000000003E-2</v>
      </c>
      <c r="L39" s="16">
        <v>0.04</v>
      </c>
      <c r="M39" s="16">
        <v>4.4999999999999998E-2</v>
      </c>
      <c r="N39" s="16">
        <v>0.05</v>
      </c>
      <c r="O39" s="16">
        <v>5.5E-2</v>
      </c>
      <c r="P39" s="16">
        <v>0.06</v>
      </c>
      <c r="Q39" s="16">
        <v>6.5000000000000002E-2</v>
      </c>
      <c r="R39" s="16">
        <v>7.0000000000000007E-2</v>
      </c>
      <c r="S39" s="16">
        <v>7.4999999999999997E-2</v>
      </c>
      <c r="T39" s="16">
        <v>0.08</v>
      </c>
      <c r="U39" s="16">
        <v>8.5000000000000006E-2</v>
      </c>
      <c r="V39" s="16">
        <v>0.09</v>
      </c>
      <c r="W39" s="16">
        <v>9.5000000000000001E-2</v>
      </c>
      <c r="X39" s="16">
        <v>0.1</v>
      </c>
      <c r="Y39" s="16">
        <v>0.105</v>
      </c>
      <c r="Z39" s="16">
        <v>0.11</v>
      </c>
      <c r="AA39" s="16">
        <v>0.115</v>
      </c>
      <c r="AB39" s="16">
        <v>0.12</v>
      </c>
      <c r="AC39" s="16">
        <v>0.125</v>
      </c>
      <c r="AD39" s="16">
        <v>0.13</v>
      </c>
    </row>
    <row r="40" spans="1:30" x14ac:dyDescent="0.25">
      <c r="A40" s="13" t="s">
        <v>255</v>
      </c>
      <c r="B40" s="13" t="s">
        <v>307</v>
      </c>
      <c r="C40" s="16">
        <v>0</v>
      </c>
      <c r="D40" s="16">
        <v>0</v>
      </c>
      <c r="E40" s="16">
        <v>5.0000000000000001E-3</v>
      </c>
      <c r="F40" s="16">
        <v>0.01</v>
      </c>
      <c r="G40" s="16">
        <v>1.4999999999999999E-2</v>
      </c>
      <c r="H40" s="16">
        <v>0.02</v>
      </c>
      <c r="I40" s="16">
        <v>2.5000000000000001E-2</v>
      </c>
      <c r="J40" s="16">
        <v>0.03</v>
      </c>
      <c r="K40" s="16">
        <v>3.5000000000000003E-2</v>
      </c>
      <c r="L40" s="16">
        <v>0.04</v>
      </c>
      <c r="M40" s="16">
        <v>4.4999999999999998E-2</v>
      </c>
      <c r="N40" s="16">
        <v>0.05</v>
      </c>
      <c r="O40" s="16">
        <v>5.5E-2</v>
      </c>
      <c r="P40" s="16">
        <v>0.06</v>
      </c>
      <c r="Q40" s="16">
        <v>6.5000000000000002E-2</v>
      </c>
      <c r="R40" s="16">
        <v>7.0000000000000007E-2</v>
      </c>
      <c r="S40" s="16">
        <v>7.4999999999999997E-2</v>
      </c>
      <c r="T40" s="16">
        <v>0.08</v>
      </c>
      <c r="U40" s="16">
        <v>8.5000000000000006E-2</v>
      </c>
      <c r="V40" s="16">
        <v>0.09</v>
      </c>
      <c r="W40" s="16">
        <v>9.5000000000000001E-2</v>
      </c>
      <c r="X40" s="16">
        <v>0.1</v>
      </c>
      <c r="Y40" s="16">
        <v>0.105</v>
      </c>
      <c r="Z40" s="16">
        <v>0.11</v>
      </c>
      <c r="AA40" s="16">
        <v>0.115</v>
      </c>
      <c r="AB40" s="16">
        <v>0.12</v>
      </c>
      <c r="AC40" s="16">
        <v>0.125</v>
      </c>
      <c r="AD40" s="16">
        <v>0.13</v>
      </c>
    </row>
    <row r="41" spans="1:30" x14ac:dyDescent="0.25">
      <c r="A41" s="13" t="s">
        <v>255</v>
      </c>
      <c r="B41" s="13" t="s">
        <v>308</v>
      </c>
      <c r="C41" s="16">
        <v>0</v>
      </c>
      <c r="D41" s="16">
        <v>0</v>
      </c>
      <c r="E41" s="16">
        <v>5.0000000000000001E-3</v>
      </c>
      <c r="F41" s="16">
        <v>0.01</v>
      </c>
      <c r="G41" s="16">
        <v>1.4999999999999999E-2</v>
      </c>
      <c r="H41" s="16">
        <v>0.02</v>
      </c>
      <c r="I41" s="16">
        <v>2.5000000000000001E-2</v>
      </c>
      <c r="J41" s="16">
        <v>0.03</v>
      </c>
      <c r="K41" s="16">
        <v>3.5000000000000003E-2</v>
      </c>
      <c r="L41" s="16">
        <v>0.04</v>
      </c>
      <c r="M41" s="16">
        <v>4.4999999999999998E-2</v>
      </c>
      <c r="N41" s="16">
        <v>0.05</v>
      </c>
      <c r="O41" s="16">
        <v>5.5E-2</v>
      </c>
      <c r="P41" s="16">
        <v>0.06</v>
      </c>
      <c r="Q41" s="16">
        <v>6.5000000000000002E-2</v>
      </c>
      <c r="R41" s="16">
        <v>7.0000000000000007E-2</v>
      </c>
      <c r="S41" s="16">
        <v>7.4999999999999997E-2</v>
      </c>
      <c r="T41" s="16">
        <v>0.08</v>
      </c>
      <c r="U41" s="16">
        <v>8.5000000000000006E-2</v>
      </c>
      <c r="V41" s="16">
        <v>0.09</v>
      </c>
      <c r="W41" s="16">
        <v>9.5000000000000001E-2</v>
      </c>
      <c r="X41" s="16">
        <v>0.1</v>
      </c>
      <c r="Y41" s="16">
        <v>0.105</v>
      </c>
      <c r="Z41" s="16">
        <v>0.11</v>
      </c>
      <c r="AA41" s="16">
        <v>0.115</v>
      </c>
      <c r="AB41" s="16">
        <v>0.12</v>
      </c>
      <c r="AC41" s="16">
        <v>0.125</v>
      </c>
      <c r="AD41" s="16">
        <v>0.13</v>
      </c>
    </row>
    <row r="42" spans="1:30" x14ac:dyDescent="0.25">
      <c r="A42" s="13" t="s">
        <v>257</v>
      </c>
      <c r="B42" s="13" t="s">
        <v>306</v>
      </c>
      <c r="C42" s="16">
        <v>0</v>
      </c>
      <c r="D42" s="16">
        <v>0</v>
      </c>
      <c r="E42" s="16">
        <v>5.0000000000000001E-3</v>
      </c>
      <c r="F42" s="16">
        <v>0.01</v>
      </c>
      <c r="G42" s="16">
        <v>1.4999999999999999E-2</v>
      </c>
      <c r="H42" s="16">
        <v>0.02</v>
      </c>
      <c r="I42" s="16">
        <v>2.5000000000000001E-2</v>
      </c>
      <c r="J42" s="16">
        <v>0.03</v>
      </c>
      <c r="K42" s="16">
        <v>3.5000000000000003E-2</v>
      </c>
      <c r="L42" s="16">
        <v>0.04</v>
      </c>
      <c r="M42" s="16">
        <v>4.4999999999999998E-2</v>
      </c>
      <c r="N42" s="16">
        <v>0.05</v>
      </c>
      <c r="O42" s="16">
        <v>5.5E-2</v>
      </c>
      <c r="P42" s="16">
        <v>0.06</v>
      </c>
      <c r="Q42" s="16">
        <v>6.5000000000000002E-2</v>
      </c>
      <c r="R42" s="16">
        <v>7.0000000000000007E-2</v>
      </c>
      <c r="S42" s="16">
        <v>7.4999999999999997E-2</v>
      </c>
      <c r="T42" s="16">
        <v>0.08</v>
      </c>
      <c r="U42" s="16">
        <v>8.5000000000000006E-2</v>
      </c>
      <c r="V42" s="16">
        <v>0.09</v>
      </c>
      <c r="W42" s="16">
        <v>9.5000000000000001E-2</v>
      </c>
      <c r="X42" s="16">
        <v>0.1</v>
      </c>
      <c r="Y42" s="16">
        <v>0.105</v>
      </c>
      <c r="Z42" s="16">
        <v>0.11</v>
      </c>
      <c r="AA42" s="16">
        <v>0.115</v>
      </c>
      <c r="AB42" s="16">
        <v>0.12</v>
      </c>
      <c r="AC42" s="16">
        <v>0.125</v>
      </c>
      <c r="AD42" s="16">
        <v>0.13</v>
      </c>
    </row>
    <row r="43" spans="1:30" x14ac:dyDescent="0.25">
      <c r="A43" s="13" t="s">
        <v>257</v>
      </c>
      <c r="B43" s="13" t="s">
        <v>307</v>
      </c>
      <c r="C43" s="16">
        <v>0</v>
      </c>
      <c r="D43" s="16">
        <v>0</v>
      </c>
      <c r="E43" s="16">
        <v>5.0000000000000001E-3</v>
      </c>
      <c r="F43" s="16">
        <v>0.01</v>
      </c>
      <c r="G43" s="16">
        <v>1.4999999999999999E-2</v>
      </c>
      <c r="H43" s="16">
        <v>0.02</v>
      </c>
      <c r="I43" s="16">
        <v>2.5000000000000001E-2</v>
      </c>
      <c r="J43" s="16">
        <v>0.03</v>
      </c>
      <c r="K43" s="16">
        <v>3.5000000000000003E-2</v>
      </c>
      <c r="L43" s="16">
        <v>0.04</v>
      </c>
      <c r="M43" s="16">
        <v>4.4999999999999998E-2</v>
      </c>
      <c r="N43" s="16">
        <v>0.05</v>
      </c>
      <c r="O43" s="16">
        <v>5.5E-2</v>
      </c>
      <c r="P43" s="16">
        <v>0.06</v>
      </c>
      <c r="Q43" s="16">
        <v>6.5000000000000002E-2</v>
      </c>
      <c r="R43" s="16">
        <v>7.0000000000000007E-2</v>
      </c>
      <c r="S43" s="16">
        <v>7.4999999999999997E-2</v>
      </c>
      <c r="T43" s="16">
        <v>0.08</v>
      </c>
      <c r="U43" s="16">
        <v>8.5000000000000006E-2</v>
      </c>
      <c r="V43" s="16">
        <v>0.09</v>
      </c>
      <c r="W43" s="16">
        <v>9.5000000000000001E-2</v>
      </c>
      <c r="X43" s="16">
        <v>0.1</v>
      </c>
      <c r="Y43" s="16">
        <v>0.105</v>
      </c>
      <c r="Z43" s="16">
        <v>0.11</v>
      </c>
      <c r="AA43" s="16">
        <v>0.115</v>
      </c>
      <c r="AB43" s="16">
        <v>0.12</v>
      </c>
      <c r="AC43" s="16">
        <v>0.125</v>
      </c>
      <c r="AD43" s="16">
        <v>0.13</v>
      </c>
    </row>
    <row r="44" spans="1:30" x14ac:dyDescent="0.25">
      <c r="A44" s="13" t="s">
        <v>257</v>
      </c>
      <c r="B44" s="13" t="s">
        <v>308</v>
      </c>
      <c r="C44" s="16">
        <v>0</v>
      </c>
      <c r="D44" s="16">
        <v>0</v>
      </c>
      <c r="E44" s="16">
        <v>5.0000000000000001E-3</v>
      </c>
      <c r="F44" s="16">
        <v>0.01</v>
      </c>
      <c r="G44" s="16">
        <v>1.4999999999999999E-2</v>
      </c>
      <c r="H44" s="16">
        <v>0.02</v>
      </c>
      <c r="I44" s="16">
        <v>2.5000000000000001E-2</v>
      </c>
      <c r="J44" s="16">
        <v>0.03</v>
      </c>
      <c r="K44" s="16">
        <v>3.5000000000000003E-2</v>
      </c>
      <c r="L44" s="16">
        <v>0.04</v>
      </c>
      <c r="M44" s="16">
        <v>4.4999999999999998E-2</v>
      </c>
      <c r="N44" s="16">
        <v>0.05</v>
      </c>
      <c r="O44" s="16">
        <v>5.5E-2</v>
      </c>
      <c r="P44" s="16">
        <v>0.06</v>
      </c>
      <c r="Q44" s="16">
        <v>6.5000000000000002E-2</v>
      </c>
      <c r="R44" s="16">
        <v>7.0000000000000007E-2</v>
      </c>
      <c r="S44" s="16">
        <v>7.4999999999999997E-2</v>
      </c>
      <c r="T44" s="16">
        <v>0.08</v>
      </c>
      <c r="U44" s="16">
        <v>8.5000000000000006E-2</v>
      </c>
      <c r="V44" s="16">
        <v>0.09</v>
      </c>
      <c r="W44" s="16">
        <v>9.5000000000000001E-2</v>
      </c>
      <c r="X44" s="16">
        <v>0.1</v>
      </c>
      <c r="Y44" s="16">
        <v>0.105</v>
      </c>
      <c r="Z44" s="16">
        <v>0.11</v>
      </c>
      <c r="AA44" s="16">
        <v>0.115</v>
      </c>
      <c r="AB44" s="16">
        <v>0.12</v>
      </c>
      <c r="AC44" s="16">
        <v>0.125</v>
      </c>
      <c r="AD44" s="16">
        <v>0.13</v>
      </c>
    </row>
    <row r="45" spans="1:30" x14ac:dyDescent="0.25">
      <c r="A45" s="13" t="s">
        <v>259</v>
      </c>
      <c r="B45" s="13" t="s">
        <v>306</v>
      </c>
      <c r="C45" s="16">
        <v>0</v>
      </c>
      <c r="D45" s="16">
        <v>0</v>
      </c>
      <c r="E45" s="16">
        <v>5.0000000000000001E-3</v>
      </c>
      <c r="F45" s="16">
        <v>0.01</v>
      </c>
      <c r="G45" s="16">
        <v>1.4999999999999999E-2</v>
      </c>
      <c r="H45" s="16">
        <v>0.02</v>
      </c>
      <c r="I45" s="16">
        <v>2.5000000000000001E-2</v>
      </c>
      <c r="J45" s="16">
        <v>0.03</v>
      </c>
      <c r="K45" s="16">
        <v>3.5000000000000003E-2</v>
      </c>
      <c r="L45" s="16">
        <v>0.04</v>
      </c>
      <c r="M45" s="16">
        <v>4.4999999999999998E-2</v>
      </c>
      <c r="N45" s="16">
        <v>0.05</v>
      </c>
      <c r="O45" s="16">
        <v>5.5E-2</v>
      </c>
      <c r="P45" s="16">
        <v>0.06</v>
      </c>
      <c r="Q45" s="16">
        <v>6.5000000000000002E-2</v>
      </c>
      <c r="R45" s="16">
        <v>7.0000000000000007E-2</v>
      </c>
      <c r="S45" s="16">
        <v>7.4999999999999997E-2</v>
      </c>
      <c r="T45" s="16">
        <v>0.08</v>
      </c>
      <c r="U45" s="16">
        <v>8.5000000000000006E-2</v>
      </c>
      <c r="V45" s="16">
        <v>0.09</v>
      </c>
      <c r="W45" s="16">
        <v>9.5000000000000001E-2</v>
      </c>
      <c r="X45" s="16">
        <v>0.1</v>
      </c>
      <c r="Y45" s="16">
        <v>0.105</v>
      </c>
      <c r="Z45" s="16">
        <v>0.11</v>
      </c>
      <c r="AA45" s="16">
        <v>0.115</v>
      </c>
      <c r="AB45" s="16">
        <v>0.12</v>
      </c>
      <c r="AC45" s="16">
        <v>0.125</v>
      </c>
      <c r="AD45" s="16">
        <v>0.13</v>
      </c>
    </row>
    <row r="46" spans="1:30" x14ac:dyDescent="0.25">
      <c r="A46" s="13" t="s">
        <v>259</v>
      </c>
      <c r="B46" s="13" t="s">
        <v>307</v>
      </c>
      <c r="C46" s="16">
        <v>0</v>
      </c>
      <c r="D46" s="16">
        <v>0</v>
      </c>
      <c r="E46" s="16">
        <v>5.0000000000000001E-3</v>
      </c>
      <c r="F46" s="16">
        <v>0.01</v>
      </c>
      <c r="G46" s="16">
        <v>1.4999999999999999E-2</v>
      </c>
      <c r="H46" s="16">
        <v>0.02</v>
      </c>
      <c r="I46" s="16">
        <v>2.5000000000000001E-2</v>
      </c>
      <c r="J46" s="16">
        <v>0.03</v>
      </c>
      <c r="K46" s="16">
        <v>3.5000000000000003E-2</v>
      </c>
      <c r="L46" s="16">
        <v>0.04</v>
      </c>
      <c r="M46" s="16">
        <v>4.4999999999999998E-2</v>
      </c>
      <c r="N46" s="16">
        <v>0.05</v>
      </c>
      <c r="O46" s="16">
        <v>5.5E-2</v>
      </c>
      <c r="P46" s="16">
        <v>0.06</v>
      </c>
      <c r="Q46" s="16">
        <v>6.5000000000000002E-2</v>
      </c>
      <c r="R46" s="16">
        <v>7.0000000000000007E-2</v>
      </c>
      <c r="S46" s="16">
        <v>7.4999999999999997E-2</v>
      </c>
      <c r="T46" s="16">
        <v>0.08</v>
      </c>
      <c r="U46" s="16">
        <v>8.5000000000000006E-2</v>
      </c>
      <c r="V46" s="16">
        <v>0.09</v>
      </c>
      <c r="W46" s="16">
        <v>9.5000000000000001E-2</v>
      </c>
      <c r="X46" s="16">
        <v>0.1</v>
      </c>
      <c r="Y46" s="16">
        <v>0.105</v>
      </c>
      <c r="Z46" s="16">
        <v>0.11</v>
      </c>
      <c r="AA46" s="16">
        <v>0.115</v>
      </c>
      <c r="AB46" s="16">
        <v>0.12</v>
      </c>
      <c r="AC46" s="16">
        <v>0.125</v>
      </c>
      <c r="AD46" s="16">
        <v>0.13</v>
      </c>
    </row>
    <row r="47" spans="1:30" x14ac:dyDescent="0.25">
      <c r="A47" s="13" t="s">
        <v>259</v>
      </c>
      <c r="B47" s="13" t="s">
        <v>308</v>
      </c>
      <c r="C47" s="16">
        <v>0</v>
      </c>
      <c r="D47" s="16">
        <v>0</v>
      </c>
      <c r="E47" s="16">
        <v>5.0000000000000001E-3</v>
      </c>
      <c r="F47" s="16">
        <v>0.01</v>
      </c>
      <c r="G47" s="16">
        <v>1.4999999999999999E-2</v>
      </c>
      <c r="H47" s="16">
        <v>0.02</v>
      </c>
      <c r="I47" s="16">
        <v>2.5000000000000001E-2</v>
      </c>
      <c r="J47" s="16">
        <v>0.03</v>
      </c>
      <c r="K47" s="16">
        <v>3.5000000000000003E-2</v>
      </c>
      <c r="L47" s="16">
        <v>0.04</v>
      </c>
      <c r="M47" s="16">
        <v>4.4999999999999998E-2</v>
      </c>
      <c r="N47" s="16">
        <v>0.05</v>
      </c>
      <c r="O47" s="16">
        <v>5.5E-2</v>
      </c>
      <c r="P47" s="16">
        <v>0.06</v>
      </c>
      <c r="Q47" s="16">
        <v>6.5000000000000002E-2</v>
      </c>
      <c r="R47" s="16">
        <v>7.0000000000000007E-2</v>
      </c>
      <c r="S47" s="16">
        <v>7.4999999999999997E-2</v>
      </c>
      <c r="T47" s="16">
        <v>0.08</v>
      </c>
      <c r="U47" s="16">
        <v>8.5000000000000006E-2</v>
      </c>
      <c r="V47" s="16">
        <v>0.09</v>
      </c>
      <c r="W47" s="16">
        <v>9.5000000000000001E-2</v>
      </c>
      <c r="X47" s="16">
        <v>0.1</v>
      </c>
      <c r="Y47" s="16">
        <v>0.105</v>
      </c>
      <c r="Z47" s="16">
        <v>0.11</v>
      </c>
      <c r="AA47" s="16">
        <v>0.115</v>
      </c>
      <c r="AB47" s="16">
        <v>0.12</v>
      </c>
      <c r="AC47" s="16">
        <v>0.125</v>
      </c>
      <c r="AD47" s="16">
        <v>0.13</v>
      </c>
    </row>
    <row r="48" spans="1:30" x14ac:dyDescent="0.25">
      <c r="A48" s="13" t="s">
        <v>261</v>
      </c>
      <c r="B48" s="13" t="s">
        <v>306</v>
      </c>
      <c r="C48" s="16">
        <v>0</v>
      </c>
      <c r="D48" s="16">
        <v>0</v>
      </c>
      <c r="E48" s="16">
        <v>5.0000000000000001E-3</v>
      </c>
      <c r="F48" s="16">
        <v>0.01</v>
      </c>
      <c r="G48" s="16">
        <v>1.4999999999999999E-2</v>
      </c>
      <c r="H48" s="16">
        <v>0.02</v>
      </c>
      <c r="I48" s="16">
        <v>2.5000000000000001E-2</v>
      </c>
      <c r="J48" s="16">
        <v>0.03</v>
      </c>
      <c r="K48" s="16">
        <v>3.5000000000000003E-2</v>
      </c>
      <c r="L48" s="16">
        <v>0.04</v>
      </c>
      <c r="M48" s="16">
        <v>4.4999999999999998E-2</v>
      </c>
      <c r="N48" s="16">
        <v>0.05</v>
      </c>
      <c r="O48" s="16">
        <v>5.5E-2</v>
      </c>
      <c r="P48" s="16">
        <v>0.06</v>
      </c>
      <c r="Q48" s="16">
        <v>6.5000000000000002E-2</v>
      </c>
      <c r="R48" s="16">
        <v>7.0000000000000007E-2</v>
      </c>
      <c r="S48" s="16">
        <v>7.4999999999999997E-2</v>
      </c>
      <c r="T48" s="16">
        <v>0.08</v>
      </c>
      <c r="U48" s="16">
        <v>8.5000000000000006E-2</v>
      </c>
      <c r="V48" s="16">
        <v>0.09</v>
      </c>
      <c r="W48" s="16">
        <v>9.5000000000000001E-2</v>
      </c>
      <c r="X48" s="16">
        <v>0.1</v>
      </c>
      <c r="Y48" s="16">
        <v>0.105</v>
      </c>
      <c r="Z48" s="16">
        <v>0.11</v>
      </c>
      <c r="AA48" s="16">
        <v>0.115</v>
      </c>
      <c r="AB48" s="16">
        <v>0.12</v>
      </c>
      <c r="AC48" s="16">
        <v>0.125</v>
      </c>
      <c r="AD48" s="16">
        <v>0.13</v>
      </c>
    </row>
    <row r="49" spans="1:30" x14ac:dyDescent="0.25">
      <c r="A49" s="13" t="s">
        <v>261</v>
      </c>
      <c r="B49" s="13" t="s">
        <v>307</v>
      </c>
      <c r="C49" s="16">
        <v>0</v>
      </c>
      <c r="D49" s="16">
        <v>0</v>
      </c>
      <c r="E49" s="16">
        <v>5.0000000000000001E-3</v>
      </c>
      <c r="F49" s="16">
        <v>0.01</v>
      </c>
      <c r="G49" s="16">
        <v>1.4999999999999999E-2</v>
      </c>
      <c r="H49" s="16">
        <v>0.02</v>
      </c>
      <c r="I49" s="16">
        <v>2.5000000000000001E-2</v>
      </c>
      <c r="J49" s="16">
        <v>0.03</v>
      </c>
      <c r="K49" s="16">
        <v>3.5000000000000003E-2</v>
      </c>
      <c r="L49" s="16">
        <v>0.04</v>
      </c>
      <c r="M49" s="16">
        <v>4.4999999999999998E-2</v>
      </c>
      <c r="N49" s="16">
        <v>0.05</v>
      </c>
      <c r="O49" s="16">
        <v>5.5E-2</v>
      </c>
      <c r="P49" s="16">
        <v>0.06</v>
      </c>
      <c r="Q49" s="16">
        <v>6.5000000000000002E-2</v>
      </c>
      <c r="R49" s="16">
        <v>7.0000000000000007E-2</v>
      </c>
      <c r="S49" s="16">
        <v>7.4999999999999997E-2</v>
      </c>
      <c r="T49" s="16">
        <v>0.08</v>
      </c>
      <c r="U49" s="16">
        <v>8.5000000000000006E-2</v>
      </c>
      <c r="V49" s="16">
        <v>0.09</v>
      </c>
      <c r="W49" s="16">
        <v>9.5000000000000001E-2</v>
      </c>
      <c r="X49" s="16">
        <v>0.1</v>
      </c>
      <c r="Y49" s="16">
        <v>0.105</v>
      </c>
      <c r="Z49" s="16">
        <v>0.11</v>
      </c>
      <c r="AA49" s="16">
        <v>0.115</v>
      </c>
      <c r="AB49" s="16">
        <v>0.12</v>
      </c>
      <c r="AC49" s="16">
        <v>0.125</v>
      </c>
      <c r="AD49" s="16">
        <v>0.13</v>
      </c>
    </row>
    <row r="50" spans="1:30" x14ac:dyDescent="0.25">
      <c r="A50" s="13" t="s">
        <v>261</v>
      </c>
      <c r="B50" s="13" t="s">
        <v>308</v>
      </c>
      <c r="C50" s="16">
        <v>0</v>
      </c>
      <c r="D50" s="16">
        <v>0</v>
      </c>
      <c r="E50" s="16">
        <v>5.0000000000000001E-3</v>
      </c>
      <c r="F50" s="16">
        <v>0.01</v>
      </c>
      <c r="G50" s="16">
        <v>1.4999999999999999E-2</v>
      </c>
      <c r="H50" s="16">
        <v>0.02</v>
      </c>
      <c r="I50" s="16">
        <v>2.5000000000000001E-2</v>
      </c>
      <c r="J50" s="16">
        <v>0.03</v>
      </c>
      <c r="K50" s="16">
        <v>3.5000000000000003E-2</v>
      </c>
      <c r="L50" s="16">
        <v>0.04</v>
      </c>
      <c r="M50" s="16">
        <v>4.4999999999999998E-2</v>
      </c>
      <c r="N50" s="16">
        <v>0.05</v>
      </c>
      <c r="O50" s="16">
        <v>5.5E-2</v>
      </c>
      <c r="P50" s="16">
        <v>0.06</v>
      </c>
      <c r="Q50" s="16">
        <v>6.5000000000000002E-2</v>
      </c>
      <c r="R50" s="16">
        <v>7.0000000000000007E-2</v>
      </c>
      <c r="S50" s="16">
        <v>7.4999999999999997E-2</v>
      </c>
      <c r="T50" s="16">
        <v>0.08</v>
      </c>
      <c r="U50" s="16">
        <v>8.5000000000000006E-2</v>
      </c>
      <c r="V50" s="16">
        <v>0.09</v>
      </c>
      <c r="W50" s="16">
        <v>9.5000000000000001E-2</v>
      </c>
      <c r="X50" s="16">
        <v>0.1</v>
      </c>
      <c r="Y50" s="16">
        <v>0.105</v>
      </c>
      <c r="Z50" s="16">
        <v>0.11</v>
      </c>
      <c r="AA50" s="16">
        <v>0.115</v>
      </c>
      <c r="AB50" s="16">
        <v>0.12</v>
      </c>
      <c r="AC50" s="16">
        <v>0.125</v>
      </c>
      <c r="AD50" s="16">
        <v>0.13</v>
      </c>
    </row>
    <row r="51" spans="1:30" x14ac:dyDescent="0.25">
      <c r="A51" s="13" t="s">
        <v>263</v>
      </c>
      <c r="B51" s="13" t="s">
        <v>306</v>
      </c>
      <c r="C51" s="16">
        <v>0</v>
      </c>
      <c r="D51" s="16">
        <v>0</v>
      </c>
      <c r="E51" s="16">
        <v>5.0000000000000001E-3</v>
      </c>
      <c r="F51" s="16">
        <v>0.01</v>
      </c>
      <c r="G51" s="16">
        <v>1.4999999999999999E-2</v>
      </c>
      <c r="H51" s="16">
        <v>0.02</v>
      </c>
      <c r="I51" s="16">
        <v>2.5000000000000001E-2</v>
      </c>
      <c r="J51" s="16">
        <v>0.03</v>
      </c>
      <c r="K51" s="16">
        <v>3.5000000000000003E-2</v>
      </c>
      <c r="L51" s="16">
        <v>0.04</v>
      </c>
      <c r="M51" s="16">
        <v>4.4999999999999998E-2</v>
      </c>
      <c r="N51" s="16">
        <v>0.05</v>
      </c>
      <c r="O51" s="16">
        <v>5.5E-2</v>
      </c>
      <c r="P51" s="16">
        <v>0.06</v>
      </c>
      <c r="Q51" s="16">
        <v>6.5000000000000002E-2</v>
      </c>
      <c r="R51" s="16">
        <v>7.0000000000000007E-2</v>
      </c>
      <c r="S51" s="16">
        <v>7.4999999999999997E-2</v>
      </c>
      <c r="T51" s="16">
        <v>0.08</v>
      </c>
      <c r="U51" s="16">
        <v>8.5000000000000006E-2</v>
      </c>
      <c r="V51" s="16">
        <v>0.09</v>
      </c>
      <c r="W51" s="16">
        <v>9.5000000000000001E-2</v>
      </c>
      <c r="X51" s="16">
        <v>0.1</v>
      </c>
      <c r="Y51" s="16">
        <v>0.105</v>
      </c>
      <c r="Z51" s="16">
        <v>0.11</v>
      </c>
      <c r="AA51" s="16">
        <v>0.115</v>
      </c>
      <c r="AB51" s="16">
        <v>0.12</v>
      </c>
      <c r="AC51" s="16">
        <v>0.125</v>
      </c>
      <c r="AD51" s="16">
        <v>0.13</v>
      </c>
    </row>
    <row r="52" spans="1:30" x14ac:dyDescent="0.25">
      <c r="A52" s="13" t="s">
        <v>263</v>
      </c>
      <c r="B52" s="13" t="s">
        <v>307</v>
      </c>
      <c r="C52" s="16">
        <v>0</v>
      </c>
      <c r="D52" s="16">
        <v>0</v>
      </c>
      <c r="E52" s="16">
        <v>5.0000000000000001E-3</v>
      </c>
      <c r="F52" s="16">
        <v>0.01</v>
      </c>
      <c r="G52" s="16">
        <v>1.4999999999999999E-2</v>
      </c>
      <c r="H52" s="16">
        <v>0.02</v>
      </c>
      <c r="I52" s="16">
        <v>2.5000000000000001E-2</v>
      </c>
      <c r="J52" s="16">
        <v>0.03</v>
      </c>
      <c r="K52" s="16">
        <v>3.5000000000000003E-2</v>
      </c>
      <c r="L52" s="16">
        <v>0.04</v>
      </c>
      <c r="M52" s="16">
        <v>4.4999999999999998E-2</v>
      </c>
      <c r="N52" s="16">
        <v>0.05</v>
      </c>
      <c r="O52" s="16">
        <v>5.5E-2</v>
      </c>
      <c r="P52" s="16">
        <v>0.06</v>
      </c>
      <c r="Q52" s="16">
        <v>6.5000000000000002E-2</v>
      </c>
      <c r="R52" s="16">
        <v>7.0000000000000007E-2</v>
      </c>
      <c r="S52" s="16">
        <v>7.4999999999999997E-2</v>
      </c>
      <c r="T52" s="16">
        <v>0.08</v>
      </c>
      <c r="U52" s="16">
        <v>8.5000000000000006E-2</v>
      </c>
      <c r="V52" s="16">
        <v>0.09</v>
      </c>
      <c r="W52" s="16">
        <v>9.5000000000000001E-2</v>
      </c>
      <c r="X52" s="16">
        <v>0.1</v>
      </c>
      <c r="Y52" s="16">
        <v>0.105</v>
      </c>
      <c r="Z52" s="16">
        <v>0.11</v>
      </c>
      <c r="AA52" s="16">
        <v>0.115</v>
      </c>
      <c r="AB52" s="16">
        <v>0.12</v>
      </c>
      <c r="AC52" s="16">
        <v>0.125</v>
      </c>
      <c r="AD52" s="16">
        <v>0.13</v>
      </c>
    </row>
    <row r="53" spans="1:30" x14ac:dyDescent="0.25">
      <c r="A53" s="13" t="s">
        <v>263</v>
      </c>
      <c r="B53" s="13" t="s">
        <v>308</v>
      </c>
      <c r="C53" s="16">
        <v>0</v>
      </c>
      <c r="D53" s="16">
        <v>0</v>
      </c>
      <c r="E53" s="16">
        <v>5.0000000000000001E-3</v>
      </c>
      <c r="F53" s="16">
        <v>0.01</v>
      </c>
      <c r="G53" s="16">
        <v>1.4999999999999999E-2</v>
      </c>
      <c r="H53" s="16">
        <v>0.02</v>
      </c>
      <c r="I53" s="16">
        <v>2.5000000000000001E-2</v>
      </c>
      <c r="J53" s="16">
        <v>0.03</v>
      </c>
      <c r="K53" s="16">
        <v>3.5000000000000003E-2</v>
      </c>
      <c r="L53" s="16">
        <v>0.04</v>
      </c>
      <c r="M53" s="16">
        <v>4.4999999999999998E-2</v>
      </c>
      <c r="N53" s="16">
        <v>0.05</v>
      </c>
      <c r="O53" s="16">
        <v>5.5E-2</v>
      </c>
      <c r="P53" s="16">
        <v>0.06</v>
      </c>
      <c r="Q53" s="16">
        <v>6.5000000000000002E-2</v>
      </c>
      <c r="R53" s="16">
        <v>7.0000000000000007E-2</v>
      </c>
      <c r="S53" s="16">
        <v>7.4999999999999997E-2</v>
      </c>
      <c r="T53" s="16">
        <v>0.08</v>
      </c>
      <c r="U53" s="16">
        <v>8.5000000000000006E-2</v>
      </c>
      <c r="V53" s="16">
        <v>0.09</v>
      </c>
      <c r="W53" s="16">
        <v>9.5000000000000001E-2</v>
      </c>
      <c r="X53" s="16">
        <v>0.1</v>
      </c>
      <c r="Y53" s="16">
        <v>0.105</v>
      </c>
      <c r="Z53" s="16">
        <v>0.11</v>
      </c>
      <c r="AA53" s="16">
        <v>0.115</v>
      </c>
      <c r="AB53" s="16">
        <v>0.12</v>
      </c>
      <c r="AC53" s="16">
        <v>0.125</v>
      </c>
      <c r="AD53" s="16">
        <v>0.13</v>
      </c>
    </row>
    <row r="54" spans="1:30" x14ac:dyDescent="0.25">
      <c r="A54" s="13" t="s">
        <v>265</v>
      </c>
      <c r="B54" s="13" t="s">
        <v>306</v>
      </c>
      <c r="C54" s="16">
        <v>0</v>
      </c>
      <c r="D54" s="16">
        <v>0</v>
      </c>
      <c r="E54" s="16">
        <v>5.0000000000000001E-3</v>
      </c>
      <c r="F54" s="16">
        <v>0.01</v>
      </c>
      <c r="G54" s="16">
        <v>1.4999999999999999E-2</v>
      </c>
      <c r="H54" s="16">
        <v>0.02</v>
      </c>
      <c r="I54" s="16">
        <v>2.5000000000000001E-2</v>
      </c>
      <c r="J54" s="16">
        <v>0.03</v>
      </c>
      <c r="K54" s="16">
        <v>3.5000000000000003E-2</v>
      </c>
      <c r="L54" s="16">
        <v>0.04</v>
      </c>
      <c r="M54" s="16">
        <v>4.4999999999999998E-2</v>
      </c>
      <c r="N54" s="16">
        <v>0.05</v>
      </c>
      <c r="O54" s="16">
        <v>5.5E-2</v>
      </c>
      <c r="P54" s="16">
        <v>0.06</v>
      </c>
      <c r="Q54" s="16">
        <v>6.5000000000000002E-2</v>
      </c>
      <c r="R54" s="16">
        <v>7.0000000000000007E-2</v>
      </c>
      <c r="S54" s="16">
        <v>7.4999999999999997E-2</v>
      </c>
      <c r="T54" s="16">
        <v>0.08</v>
      </c>
      <c r="U54" s="16">
        <v>8.5000000000000006E-2</v>
      </c>
      <c r="V54" s="16">
        <v>0.09</v>
      </c>
      <c r="W54" s="16">
        <v>9.5000000000000001E-2</v>
      </c>
      <c r="X54" s="16">
        <v>0.1</v>
      </c>
      <c r="Y54" s="16">
        <v>0.105</v>
      </c>
      <c r="Z54" s="16">
        <v>0.11</v>
      </c>
      <c r="AA54" s="16">
        <v>0.115</v>
      </c>
      <c r="AB54" s="16">
        <v>0.12</v>
      </c>
      <c r="AC54" s="16">
        <v>0.125</v>
      </c>
      <c r="AD54" s="16">
        <v>0.13</v>
      </c>
    </row>
    <row r="55" spans="1:30" x14ac:dyDescent="0.25">
      <c r="A55" s="13" t="s">
        <v>265</v>
      </c>
      <c r="B55" s="13" t="s">
        <v>307</v>
      </c>
      <c r="C55" s="16">
        <v>0</v>
      </c>
      <c r="D55" s="16">
        <v>0</v>
      </c>
      <c r="E55" s="16">
        <v>5.0000000000000001E-3</v>
      </c>
      <c r="F55" s="16">
        <v>0.01</v>
      </c>
      <c r="G55" s="16">
        <v>1.4999999999999999E-2</v>
      </c>
      <c r="H55" s="16">
        <v>0.02</v>
      </c>
      <c r="I55" s="16">
        <v>2.5000000000000001E-2</v>
      </c>
      <c r="J55" s="16">
        <v>0.03</v>
      </c>
      <c r="K55" s="16">
        <v>3.5000000000000003E-2</v>
      </c>
      <c r="L55" s="16">
        <v>0.04</v>
      </c>
      <c r="M55" s="16">
        <v>4.4999999999999998E-2</v>
      </c>
      <c r="N55" s="16">
        <v>0.05</v>
      </c>
      <c r="O55" s="16">
        <v>5.5E-2</v>
      </c>
      <c r="P55" s="16">
        <v>0.06</v>
      </c>
      <c r="Q55" s="16">
        <v>6.5000000000000002E-2</v>
      </c>
      <c r="R55" s="16">
        <v>7.0000000000000007E-2</v>
      </c>
      <c r="S55" s="16">
        <v>7.4999999999999997E-2</v>
      </c>
      <c r="T55" s="16">
        <v>0.08</v>
      </c>
      <c r="U55" s="16">
        <v>8.5000000000000006E-2</v>
      </c>
      <c r="V55" s="16">
        <v>0.09</v>
      </c>
      <c r="W55" s="16">
        <v>9.5000000000000001E-2</v>
      </c>
      <c r="X55" s="16">
        <v>0.1</v>
      </c>
      <c r="Y55" s="16">
        <v>0.105</v>
      </c>
      <c r="Z55" s="16">
        <v>0.11</v>
      </c>
      <c r="AA55" s="16">
        <v>0.115</v>
      </c>
      <c r="AB55" s="16">
        <v>0.12</v>
      </c>
      <c r="AC55" s="16">
        <v>0.125</v>
      </c>
      <c r="AD55" s="16">
        <v>0.13</v>
      </c>
    </row>
    <row r="56" spans="1:30" x14ac:dyDescent="0.25">
      <c r="A56" s="13" t="s">
        <v>265</v>
      </c>
      <c r="B56" s="13" t="s">
        <v>308</v>
      </c>
      <c r="C56" s="16">
        <v>0</v>
      </c>
      <c r="D56" s="16">
        <v>0</v>
      </c>
      <c r="E56" s="16">
        <v>5.0000000000000001E-3</v>
      </c>
      <c r="F56" s="16">
        <v>0.01</v>
      </c>
      <c r="G56" s="16">
        <v>1.4999999999999999E-2</v>
      </c>
      <c r="H56" s="16">
        <v>0.02</v>
      </c>
      <c r="I56" s="16">
        <v>2.5000000000000001E-2</v>
      </c>
      <c r="J56" s="16">
        <v>0.03</v>
      </c>
      <c r="K56" s="16">
        <v>3.5000000000000003E-2</v>
      </c>
      <c r="L56" s="16">
        <v>0.04</v>
      </c>
      <c r="M56" s="16">
        <v>4.4999999999999998E-2</v>
      </c>
      <c r="N56" s="16">
        <v>0.05</v>
      </c>
      <c r="O56" s="16">
        <v>5.5E-2</v>
      </c>
      <c r="P56" s="16">
        <v>0.06</v>
      </c>
      <c r="Q56" s="16">
        <v>6.5000000000000002E-2</v>
      </c>
      <c r="R56" s="16">
        <v>7.0000000000000007E-2</v>
      </c>
      <c r="S56" s="16">
        <v>7.4999999999999997E-2</v>
      </c>
      <c r="T56" s="16">
        <v>0.08</v>
      </c>
      <c r="U56" s="16">
        <v>8.5000000000000006E-2</v>
      </c>
      <c r="V56" s="16">
        <v>0.09</v>
      </c>
      <c r="W56" s="16">
        <v>9.5000000000000001E-2</v>
      </c>
      <c r="X56" s="16">
        <v>0.1</v>
      </c>
      <c r="Y56" s="16">
        <v>0.105</v>
      </c>
      <c r="Z56" s="16">
        <v>0.11</v>
      </c>
      <c r="AA56" s="16">
        <v>0.115</v>
      </c>
      <c r="AB56" s="16">
        <v>0.12</v>
      </c>
      <c r="AC56" s="16">
        <v>0.125</v>
      </c>
      <c r="AD56" s="16">
        <v>0.13</v>
      </c>
    </row>
    <row r="57" spans="1:30" x14ac:dyDescent="0.25">
      <c r="A57" s="13" t="s">
        <v>267</v>
      </c>
      <c r="B57" s="13" t="s">
        <v>306</v>
      </c>
      <c r="C57" s="16">
        <v>0</v>
      </c>
      <c r="D57" s="16">
        <v>0</v>
      </c>
      <c r="E57" s="16">
        <v>5.0000000000000001E-3</v>
      </c>
      <c r="F57" s="16">
        <v>0.01</v>
      </c>
      <c r="G57" s="16">
        <v>1.4999999999999999E-2</v>
      </c>
      <c r="H57" s="16">
        <v>0.02</v>
      </c>
      <c r="I57" s="16">
        <v>2.5000000000000001E-2</v>
      </c>
      <c r="J57" s="16">
        <v>0.03</v>
      </c>
      <c r="K57" s="16">
        <v>3.5000000000000003E-2</v>
      </c>
      <c r="L57" s="16">
        <v>0.04</v>
      </c>
      <c r="M57" s="16">
        <v>4.4999999999999998E-2</v>
      </c>
      <c r="N57" s="16">
        <v>0.05</v>
      </c>
      <c r="O57" s="16">
        <v>5.5E-2</v>
      </c>
      <c r="P57" s="16">
        <v>0.06</v>
      </c>
      <c r="Q57" s="16">
        <v>6.5000000000000002E-2</v>
      </c>
      <c r="R57" s="16">
        <v>7.0000000000000007E-2</v>
      </c>
      <c r="S57" s="16">
        <v>7.4999999999999997E-2</v>
      </c>
      <c r="T57" s="16">
        <v>0.08</v>
      </c>
      <c r="U57" s="16">
        <v>8.5000000000000006E-2</v>
      </c>
      <c r="V57" s="16">
        <v>0.09</v>
      </c>
      <c r="W57" s="16">
        <v>9.5000000000000001E-2</v>
      </c>
      <c r="X57" s="16">
        <v>0.1</v>
      </c>
      <c r="Y57" s="16">
        <v>0.105</v>
      </c>
      <c r="Z57" s="16">
        <v>0.11</v>
      </c>
      <c r="AA57" s="16">
        <v>0.115</v>
      </c>
      <c r="AB57" s="16">
        <v>0.12</v>
      </c>
      <c r="AC57" s="16">
        <v>0.125</v>
      </c>
      <c r="AD57" s="16">
        <v>0.13</v>
      </c>
    </row>
    <row r="58" spans="1:30" x14ac:dyDescent="0.25">
      <c r="A58" s="13" t="s">
        <v>267</v>
      </c>
      <c r="B58" s="13" t="s">
        <v>307</v>
      </c>
      <c r="C58" s="16">
        <v>0</v>
      </c>
      <c r="D58" s="16">
        <v>0</v>
      </c>
      <c r="E58" s="16">
        <v>5.0000000000000001E-3</v>
      </c>
      <c r="F58" s="16">
        <v>0.01</v>
      </c>
      <c r="G58" s="16">
        <v>1.4999999999999999E-2</v>
      </c>
      <c r="H58" s="16">
        <v>0.02</v>
      </c>
      <c r="I58" s="16">
        <v>2.5000000000000001E-2</v>
      </c>
      <c r="J58" s="16">
        <v>0.03</v>
      </c>
      <c r="K58" s="16">
        <v>3.5000000000000003E-2</v>
      </c>
      <c r="L58" s="16">
        <v>0.04</v>
      </c>
      <c r="M58" s="16">
        <v>4.4999999999999998E-2</v>
      </c>
      <c r="N58" s="16">
        <v>0.05</v>
      </c>
      <c r="O58" s="16">
        <v>5.5E-2</v>
      </c>
      <c r="P58" s="16">
        <v>0.06</v>
      </c>
      <c r="Q58" s="16">
        <v>6.5000000000000002E-2</v>
      </c>
      <c r="R58" s="16">
        <v>7.0000000000000007E-2</v>
      </c>
      <c r="S58" s="16">
        <v>7.4999999999999997E-2</v>
      </c>
      <c r="T58" s="16">
        <v>0.08</v>
      </c>
      <c r="U58" s="16">
        <v>8.5000000000000006E-2</v>
      </c>
      <c r="V58" s="16">
        <v>0.09</v>
      </c>
      <c r="W58" s="16">
        <v>9.5000000000000001E-2</v>
      </c>
      <c r="X58" s="16">
        <v>0.1</v>
      </c>
      <c r="Y58" s="16">
        <v>0.105</v>
      </c>
      <c r="Z58" s="16">
        <v>0.11</v>
      </c>
      <c r="AA58" s="16">
        <v>0.115</v>
      </c>
      <c r="AB58" s="16">
        <v>0.12</v>
      </c>
      <c r="AC58" s="16">
        <v>0.125</v>
      </c>
      <c r="AD58" s="16">
        <v>0.13</v>
      </c>
    </row>
    <row r="59" spans="1:30" x14ac:dyDescent="0.25">
      <c r="A59" s="13" t="s">
        <v>267</v>
      </c>
      <c r="B59" s="13" t="s">
        <v>308</v>
      </c>
      <c r="C59" s="16">
        <v>0</v>
      </c>
      <c r="D59" s="16">
        <v>0</v>
      </c>
      <c r="E59" s="16">
        <v>5.0000000000000001E-3</v>
      </c>
      <c r="F59" s="16">
        <v>0.01</v>
      </c>
      <c r="G59" s="16">
        <v>1.4999999999999999E-2</v>
      </c>
      <c r="H59" s="16">
        <v>0.02</v>
      </c>
      <c r="I59" s="16">
        <v>2.5000000000000001E-2</v>
      </c>
      <c r="J59" s="16">
        <v>0.03</v>
      </c>
      <c r="K59" s="16">
        <v>3.5000000000000003E-2</v>
      </c>
      <c r="L59" s="16">
        <v>0.04</v>
      </c>
      <c r="M59" s="16">
        <v>4.4999999999999998E-2</v>
      </c>
      <c r="N59" s="16">
        <v>0.05</v>
      </c>
      <c r="O59" s="16">
        <v>5.5E-2</v>
      </c>
      <c r="P59" s="16">
        <v>0.06</v>
      </c>
      <c r="Q59" s="16">
        <v>6.5000000000000002E-2</v>
      </c>
      <c r="R59" s="16">
        <v>7.0000000000000007E-2</v>
      </c>
      <c r="S59" s="16">
        <v>7.4999999999999997E-2</v>
      </c>
      <c r="T59" s="16">
        <v>0.08</v>
      </c>
      <c r="U59" s="16">
        <v>8.5000000000000006E-2</v>
      </c>
      <c r="V59" s="16">
        <v>0.09</v>
      </c>
      <c r="W59" s="16">
        <v>9.5000000000000001E-2</v>
      </c>
      <c r="X59" s="16">
        <v>0.1</v>
      </c>
      <c r="Y59" s="16">
        <v>0.105</v>
      </c>
      <c r="Z59" s="16">
        <v>0.11</v>
      </c>
      <c r="AA59" s="16">
        <v>0.115</v>
      </c>
      <c r="AB59" s="16">
        <v>0.12</v>
      </c>
      <c r="AC59" s="16">
        <v>0.125</v>
      </c>
      <c r="AD59" s="16">
        <v>0.13</v>
      </c>
    </row>
    <row r="60" spans="1:30" x14ac:dyDescent="0.25">
      <c r="A60" s="13" t="s">
        <v>269</v>
      </c>
      <c r="B60" s="13" t="s">
        <v>306</v>
      </c>
      <c r="C60" s="16">
        <v>0</v>
      </c>
      <c r="D60" s="16">
        <v>0</v>
      </c>
      <c r="E60" s="16">
        <v>5.0000000000000001E-3</v>
      </c>
      <c r="F60" s="16">
        <v>0.01</v>
      </c>
      <c r="G60" s="16">
        <v>1.4999999999999999E-2</v>
      </c>
      <c r="H60" s="16">
        <v>0.02</v>
      </c>
      <c r="I60" s="16">
        <v>2.5000000000000001E-2</v>
      </c>
      <c r="J60" s="16">
        <v>0.03</v>
      </c>
      <c r="K60" s="16">
        <v>3.5000000000000003E-2</v>
      </c>
      <c r="L60" s="16">
        <v>0.04</v>
      </c>
      <c r="M60" s="16">
        <v>4.4999999999999998E-2</v>
      </c>
      <c r="N60" s="16">
        <v>0.05</v>
      </c>
      <c r="O60" s="16">
        <v>5.5E-2</v>
      </c>
      <c r="P60" s="16">
        <v>0.06</v>
      </c>
      <c r="Q60" s="16">
        <v>6.5000000000000002E-2</v>
      </c>
      <c r="R60" s="16">
        <v>7.0000000000000007E-2</v>
      </c>
      <c r="S60" s="16">
        <v>7.4999999999999997E-2</v>
      </c>
      <c r="T60" s="16">
        <v>0.08</v>
      </c>
      <c r="U60" s="16">
        <v>8.5000000000000006E-2</v>
      </c>
      <c r="V60" s="16">
        <v>0.09</v>
      </c>
      <c r="W60" s="16">
        <v>9.5000000000000001E-2</v>
      </c>
      <c r="X60" s="16">
        <v>0.1</v>
      </c>
      <c r="Y60" s="16">
        <v>0.105</v>
      </c>
      <c r="Z60" s="16">
        <v>0.11</v>
      </c>
      <c r="AA60" s="16">
        <v>0.115</v>
      </c>
      <c r="AB60" s="16">
        <v>0.12</v>
      </c>
      <c r="AC60" s="16">
        <v>0.125</v>
      </c>
      <c r="AD60" s="16">
        <v>0.13</v>
      </c>
    </row>
    <row r="61" spans="1:30" x14ac:dyDescent="0.25">
      <c r="A61" s="13" t="s">
        <v>269</v>
      </c>
      <c r="B61" s="13" t="s">
        <v>307</v>
      </c>
      <c r="C61" s="16">
        <v>0</v>
      </c>
      <c r="D61" s="16">
        <v>0</v>
      </c>
      <c r="E61" s="16">
        <v>5.0000000000000001E-3</v>
      </c>
      <c r="F61" s="16">
        <v>0.01</v>
      </c>
      <c r="G61" s="16">
        <v>1.4999999999999999E-2</v>
      </c>
      <c r="H61" s="16">
        <v>0.02</v>
      </c>
      <c r="I61" s="16">
        <v>2.5000000000000001E-2</v>
      </c>
      <c r="J61" s="16">
        <v>0.03</v>
      </c>
      <c r="K61" s="16">
        <v>3.5000000000000003E-2</v>
      </c>
      <c r="L61" s="16">
        <v>0.04</v>
      </c>
      <c r="M61" s="16">
        <v>4.4999999999999998E-2</v>
      </c>
      <c r="N61" s="16">
        <v>0.05</v>
      </c>
      <c r="O61" s="16">
        <v>5.5E-2</v>
      </c>
      <c r="P61" s="16">
        <v>0.06</v>
      </c>
      <c r="Q61" s="16">
        <v>6.5000000000000002E-2</v>
      </c>
      <c r="R61" s="16">
        <v>7.0000000000000007E-2</v>
      </c>
      <c r="S61" s="16">
        <v>7.4999999999999997E-2</v>
      </c>
      <c r="T61" s="16">
        <v>0.08</v>
      </c>
      <c r="U61" s="16">
        <v>8.5000000000000006E-2</v>
      </c>
      <c r="V61" s="16">
        <v>0.09</v>
      </c>
      <c r="W61" s="16">
        <v>9.5000000000000001E-2</v>
      </c>
      <c r="X61" s="16">
        <v>0.1</v>
      </c>
      <c r="Y61" s="16">
        <v>0.105</v>
      </c>
      <c r="Z61" s="16">
        <v>0.11</v>
      </c>
      <c r="AA61" s="16">
        <v>0.115</v>
      </c>
      <c r="AB61" s="16">
        <v>0.12</v>
      </c>
      <c r="AC61" s="16">
        <v>0.125</v>
      </c>
      <c r="AD61" s="16">
        <v>0.13</v>
      </c>
    </row>
    <row r="62" spans="1:30" x14ac:dyDescent="0.25">
      <c r="A62" s="13" t="s">
        <v>269</v>
      </c>
      <c r="B62" s="13" t="s">
        <v>308</v>
      </c>
      <c r="C62" s="16">
        <v>0</v>
      </c>
      <c r="D62" s="16">
        <v>0</v>
      </c>
      <c r="E62" s="16">
        <v>5.0000000000000001E-3</v>
      </c>
      <c r="F62" s="16">
        <v>0.01</v>
      </c>
      <c r="G62" s="16">
        <v>1.4999999999999999E-2</v>
      </c>
      <c r="H62" s="16">
        <v>0.02</v>
      </c>
      <c r="I62" s="16">
        <v>2.5000000000000001E-2</v>
      </c>
      <c r="J62" s="16">
        <v>0.03</v>
      </c>
      <c r="K62" s="16">
        <v>3.5000000000000003E-2</v>
      </c>
      <c r="L62" s="16">
        <v>0.04</v>
      </c>
      <c r="M62" s="16">
        <v>4.4999999999999998E-2</v>
      </c>
      <c r="N62" s="16">
        <v>0.05</v>
      </c>
      <c r="O62" s="16">
        <v>5.5E-2</v>
      </c>
      <c r="P62" s="16">
        <v>0.06</v>
      </c>
      <c r="Q62" s="16">
        <v>6.5000000000000002E-2</v>
      </c>
      <c r="R62" s="16">
        <v>7.0000000000000007E-2</v>
      </c>
      <c r="S62" s="16">
        <v>7.4999999999999997E-2</v>
      </c>
      <c r="T62" s="16">
        <v>0.08</v>
      </c>
      <c r="U62" s="16">
        <v>8.5000000000000006E-2</v>
      </c>
      <c r="V62" s="16">
        <v>0.09</v>
      </c>
      <c r="W62" s="16">
        <v>9.5000000000000001E-2</v>
      </c>
      <c r="X62" s="16">
        <v>0.1</v>
      </c>
      <c r="Y62" s="16">
        <v>0.105</v>
      </c>
      <c r="Z62" s="16">
        <v>0.11</v>
      </c>
      <c r="AA62" s="16">
        <v>0.115</v>
      </c>
      <c r="AB62" s="16">
        <v>0.12</v>
      </c>
      <c r="AC62" s="16">
        <v>0.125</v>
      </c>
      <c r="AD62" s="16">
        <v>0.13</v>
      </c>
    </row>
    <row r="64" spans="1:30" x14ac:dyDescent="0.25">
      <c r="A64" s="42" t="s">
        <v>309</v>
      </c>
      <c r="B64" s="30"/>
      <c r="C64" s="30"/>
    </row>
    <row r="65" spans="1:30" x14ac:dyDescent="0.25">
      <c r="A65" s="36" t="s">
        <v>310</v>
      </c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</row>
    <row r="66" spans="1:30" x14ac:dyDescent="0.25">
      <c r="A66" s="36" t="s">
        <v>311</v>
      </c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</row>
    <row r="67" spans="1:30" x14ac:dyDescent="0.25">
      <c r="A67" s="36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</row>
    <row r="68" spans="1:30" x14ac:dyDescent="0.25">
      <c r="A68" s="36" t="s">
        <v>312</v>
      </c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</row>
    <row r="69" spans="1:30" x14ac:dyDescent="0.25">
      <c r="A69" s="36" t="s">
        <v>313</v>
      </c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</row>
    <row r="70" spans="1:30" x14ac:dyDescent="0.25">
      <c r="A70" s="36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</row>
    <row r="71" spans="1:30" x14ac:dyDescent="0.25">
      <c r="A71" s="36" t="s">
        <v>314</v>
      </c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</row>
    <row r="72" spans="1:30" x14ac:dyDescent="0.25">
      <c r="A72" s="36" t="s">
        <v>315</v>
      </c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</row>
    <row r="73" spans="1:30" x14ac:dyDescent="0.25">
      <c r="A73" s="36" t="s">
        <v>316</v>
      </c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</row>
    <row r="74" spans="1:30" x14ac:dyDescent="0.25">
      <c r="A74" s="36" t="s">
        <v>317</v>
      </c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</row>
    <row r="75" spans="1:30" x14ac:dyDescent="0.25">
      <c r="A75" s="36" t="s">
        <v>318</v>
      </c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</row>
    <row r="76" spans="1:30" x14ac:dyDescent="0.25">
      <c r="A76" s="36" t="s">
        <v>319</v>
      </c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</row>
    <row r="77" spans="1:30" x14ac:dyDescent="0.25">
      <c r="A77" s="36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</row>
    <row r="78" spans="1:30" x14ac:dyDescent="0.25">
      <c r="A78" s="36" t="s">
        <v>320</v>
      </c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</row>
    <row r="79" spans="1:30" x14ac:dyDescent="0.25">
      <c r="A79" s="36" t="s">
        <v>321</v>
      </c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</row>
    <row r="80" spans="1:30" x14ac:dyDescent="0.25">
      <c r="A80" s="36" t="s">
        <v>322</v>
      </c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</row>
    <row r="81" spans="1:30" x14ac:dyDescent="0.25">
      <c r="A81" s="36" t="s">
        <v>323</v>
      </c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</row>
    <row r="82" spans="1:30" x14ac:dyDescent="0.25">
      <c r="A82" s="36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</row>
    <row r="83" spans="1:30" x14ac:dyDescent="0.25">
      <c r="A83" s="36" t="s">
        <v>125</v>
      </c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</row>
    <row r="84" spans="1:30" x14ac:dyDescent="0.25">
      <c r="A84" s="36" t="s">
        <v>324</v>
      </c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</row>
    <row r="85" spans="1:30" x14ac:dyDescent="0.25">
      <c r="A85" s="36" t="s">
        <v>325</v>
      </c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</row>
    <row r="86" spans="1:30" x14ac:dyDescent="0.25">
      <c r="A86" s="36" t="s">
        <v>326</v>
      </c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</row>
  </sheetData>
  <mergeCells count="26">
    <mergeCell ref="A1:AD1"/>
    <mergeCell ref="A3:AD3"/>
    <mergeCell ref="A86:AD86"/>
    <mergeCell ref="A2:AD2"/>
    <mergeCell ref="A71:AD71"/>
    <mergeCell ref="A85:AD85"/>
    <mergeCell ref="A76:AD76"/>
    <mergeCell ref="A72:AD72"/>
    <mergeCell ref="A81:AD81"/>
    <mergeCell ref="A68:AD68"/>
    <mergeCell ref="A64:C64"/>
    <mergeCell ref="A67:AD67"/>
    <mergeCell ref="A83:AD83"/>
    <mergeCell ref="A77:AD77"/>
    <mergeCell ref="A82:AD82"/>
    <mergeCell ref="A73:AD73"/>
    <mergeCell ref="A84:AD84"/>
    <mergeCell ref="A66:AD66"/>
    <mergeCell ref="A80:AD80"/>
    <mergeCell ref="A75:AD75"/>
    <mergeCell ref="A74:AD74"/>
    <mergeCell ref="A70:AD70"/>
    <mergeCell ref="A79:AD79"/>
    <mergeCell ref="A69:AD69"/>
    <mergeCell ref="A78:AD78"/>
    <mergeCell ref="A65:AD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97"/>
  <sheetViews>
    <sheetView workbookViewId="0">
      <pane xSplit="3" ySplit="5" topLeftCell="D6" activePane="bottomRight" state="frozen"/>
      <selection pane="topRight"/>
      <selection pane="bottomLeft"/>
      <selection pane="bottomRight" activeCell="K6" sqref="K6:K81"/>
    </sheetView>
  </sheetViews>
  <sheetFormatPr defaultRowHeight="15" x14ac:dyDescent="0.25"/>
  <cols>
    <col min="1" max="1" width="12" customWidth="1"/>
    <col min="2" max="3" width="15" customWidth="1"/>
    <col min="4" max="31" width="8" customWidth="1"/>
  </cols>
  <sheetData>
    <row r="1" spans="1:31" ht="18.75" x14ac:dyDescent="0.3">
      <c r="A1" s="37" t="s">
        <v>327</v>
      </c>
      <c r="B1" s="30"/>
      <c r="C1" s="30"/>
    </row>
    <row r="2" spans="1:31" x14ac:dyDescent="0.25">
      <c r="A2" s="29" t="s">
        <v>328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</row>
    <row r="3" spans="1:31" x14ac:dyDescent="0.25">
      <c r="A3" s="40" t="s">
        <v>329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</row>
    <row r="5" spans="1:31" x14ac:dyDescent="0.25">
      <c r="A5" s="18" t="s">
        <v>276</v>
      </c>
      <c r="B5" s="18" t="s">
        <v>277</v>
      </c>
      <c r="C5" s="18" t="s">
        <v>330</v>
      </c>
      <c r="D5" s="18" t="s">
        <v>278</v>
      </c>
      <c r="E5" s="18" t="s">
        <v>279</v>
      </c>
      <c r="F5" s="18" t="s">
        <v>280</v>
      </c>
      <c r="G5" s="18" t="s">
        <v>281</v>
      </c>
      <c r="H5" s="18" t="s">
        <v>282</v>
      </c>
      <c r="I5" s="18" t="s">
        <v>283</v>
      </c>
      <c r="J5" s="18" t="s">
        <v>284</v>
      </c>
      <c r="K5" s="18" t="s">
        <v>285</v>
      </c>
      <c r="L5" s="18" t="s">
        <v>286</v>
      </c>
      <c r="M5" s="18" t="s">
        <v>287</v>
      </c>
      <c r="N5" s="18" t="s">
        <v>288</v>
      </c>
      <c r="O5" s="18" t="s">
        <v>289</v>
      </c>
      <c r="P5" s="18" t="s">
        <v>290</v>
      </c>
      <c r="Q5" s="18" t="s">
        <v>291</v>
      </c>
      <c r="R5" s="18" t="s">
        <v>292</v>
      </c>
      <c r="S5" s="18" t="s">
        <v>293</v>
      </c>
      <c r="T5" s="18" t="s">
        <v>294</v>
      </c>
      <c r="U5" s="18" t="s">
        <v>295</v>
      </c>
      <c r="V5" s="18" t="s">
        <v>296</v>
      </c>
      <c r="W5" s="18" t="s">
        <v>297</v>
      </c>
      <c r="X5" s="18" t="s">
        <v>298</v>
      </c>
      <c r="Y5" s="18" t="s">
        <v>299</v>
      </c>
      <c r="Z5" s="18" t="s">
        <v>300</v>
      </c>
      <c r="AA5" s="18" t="s">
        <v>301</v>
      </c>
      <c r="AB5" s="18" t="s">
        <v>302</v>
      </c>
      <c r="AC5" s="18" t="s">
        <v>303</v>
      </c>
      <c r="AD5" s="18" t="s">
        <v>304</v>
      </c>
      <c r="AE5" s="18" t="s">
        <v>305</v>
      </c>
    </row>
    <row r="6" spans="1:31" x14ac:dyDescent="0.25">
      <c r="A6" s="13" t="s">
        <v>233</v>
      </c>
      <c r="B6" s="13" t="s">
        <v>331</v>
      </c>
      <c r="C6" s="13" t="s">
        <v>332</v>
      </c>
      <c r="D6" s="19"/>
      <c r="E6" s="19"/>
      <c r="F6" s="19"/>
      <c r="G6" s="19"/>
      <c r="H6" s="19"/>
      <c r="I6" s="19"/>
      <c r="J6" s="19"/>
      <c r="K6" s="19">
        <v>0.46</v>
      </c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</row>
    <row r="7" spans="1:31" x14ac:dyDescent="0.25">
      <c r="A7" s="13" t="s">
        <v>233</v>
      </c>
      <c r="B7" s="13" t="s">
        <v>306</v>
      </c>
      <c r="C7" s="13" t="s">
        <v>332</v>
      </c>
      <c r="D7" s="19"/>
      <c r="E7" s="19"/>
      <c r="F7" s="19"/>
      <c r="G7" s="19"/>
      <c r="H7" s="19"/>
      <c r="I7" s="19"/>
      <c r="J7" s="19"/>
      <c r="K7" s="19">
        <v>0.52</v>
      </c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</row>
    <row r="8" spans="1:31" x14ac:dyDescent="0.25">
      <c r="A8" s="13" t="s">
        <v>233</v>
      </c>
      <c r="B8" s="13" t="s">
        <v>307</v>
      </c>
      <c r="C8" s="13" t="s">
        <v>332</v>
      </c>
      <c r="D8" s="19"/>
      <c r="E8" s="19"/>
      <c r="F8" s="19"/>
      <c r="G8" s="19"/>
      <c r="H8" s="19"/>
      <c r="I8" s="19"/>
      <c r="J8" s="19"/>
      <c r="K8" s="19">
        <v>0.52</v>
      </c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</row>
    <row r="9" spans="1:31" x14ac:dyDescent="0.25">
      <c r="A9" s="13" t="s">
        <v>233</v>
      </c>
      <c r="B9" s="13" t="s">
        <v>308</v>
      </c>
      <c r="C9" s="13" t="s">
        <v>332</v>
      </c>
      <c r="D9" s="19"/>
      <c r="E9" s="19"/>
      <c r="F9" s="19"/>
      <c r="G9" s="19"/>
      <c r="H9" s="19"/>
      <c r="I9" s="19"/>
      <c r="J9" s="19"/>
      <c r="K9" s="19">
        <v>0.49</v>
      </c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</row>
    <row r="10" spans="1:31" x14ac:dyDescent="0.25">
      <c r="A10" s="13" t="s">
        <v>235</v>
      </c>
      <c r="B10" s="13" t="s">
        <v>331</v>
      </c>
      <c r="C10" s="13" t="s">
        <v>332</v>
      </c>
      <c r="D10" s="19"/>
      <c r="E10" s="19"/>
      <c r="F10" s="19"/>
      <c r="G10" s="19"/>
      <c r="H10" s="19"/>
      <c r="I10" s="19"/>
      <c r="J10" s="19"/>
      <c r="K10" s="19">
        <v>0.35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</row>
    <row r="11" spans="1:31" x14ac:dyDescent="0.25">
      <c r="A11" s="13" t="s">
        <v>235</v>
      </c>
      <c r="B11" s="13" t="s">
        <v>306</v>
      </c>
      <c r="C11" s="13" t="s">
        <v>332</v>
      </c>
      <c r="D11" s="19"/>
      <c r="E11" s="19"/>
      <c r="F11" s="19"/>
      <c r="G11" s="19"/>
      <c r="H11" s="19"/>
      <c r="I11" s="19"/>
      <c r="J11" s="19"/>
      <c r="K11" s="19">
        <v>0.79</v>
      </c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</row>
    <row r="12" spans="1:31" x14ac:dyDescent="0.25">
      <c r="A12" s="13" t="s">
        <v>235</v>
      </c>
      <c r="B12" s="13" t="s">
        <v>307</v>
      </c>
      <c r="C12" s="13" t="s">
        <v>332</v>
      </c>
      <c r="D12" s="19"/>
      <c r="E12" s="19"/>
      <c r="F12" s="19"/>
      <c r="G12" s="19"/>
      <c r="H12" s="19"/>
      <c r="I12" s="19"/>
      <c r="J12" s="19"/>
      <c r="K12" s="19">
        <v>0.79</v>
      </c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</row>
    <row r="13" spans="1:31" x14ac:dyDescent="0.25">
      <c r="A13" s="13" t="s">
        <v>235</v>
      </c>
      <c r="B13" s="13" t="s">
        <v>308</v>
      </c>
      <c r="C13" s="13" t="s">
        <v>332</v>
      </c>
      <c r="D13" s="19"/>
      <c r="E13" s="19"/>
      <c r="F13" s="19"/>
      <c r="G13" s="19"/>
      <c r="H13" s="19"/>
      <c r="I13" s="19"/>
      <c r="J13" s="19"/>
      <c r="K13" s="19">
        <v>0.79</v>
      </c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</row>
    <row r="14" spans="1:31" x14ac:dyDescent="0.25">
      <c r="A14" s="13" t="s">
        <v>237</v>
      </c>
      <c r="B14" s="13" t="s">
        <v>331</v>
      </c>
      <c r="C14" s="13" t="s">
        <v>332</v>
      </c>
      <c r="D14" s="19"/>
      <c r="E14" s="19"/>
      <c r="F14" s="19"/>
      <c r="G14" s="19"/>
      <c r="H14" s="19"/>
      <c r="I14" s="19"/>
      <c r="J14" s="19"/>
      <c r="K14" s="19">
        <v>0.91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</row>
    <row r="15" spans="1:31" x14ac:dyDescent="0.25">
      <c r="A15" s="13" t="s">
        <v>237</v>
      </c>
      <c r="B15" s="13" t="s">
        <v>306</v>
      </c>
      <c r="C15" s="13" t="s">
        <v>332</v>
      </c>
      <c r="D15" s="19"/>
      <c r="E15" s="19"/>
      <c r="F15" s="19"/>
      <c r="G15" s="19"/>
      <c r="H15" s="19"/>
      <c r="I15" s="19"/>
      <c r="J15" s="19"/>
      <c r="K15" s="19">
        <v>0.91</v>
      </c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</row>
    <row r="16" spans="1:31" x14ac:dyDescent="0.25">
      <c r="A16" s="13" t="s">
        <v>237</v>
      </c>
      <c r="B16" s="13" t="s">
        <v>307</v>
      </c>
      <c r="C16" s="13" t="s">
        <v>332</v>
      </c>
      <c r="D16" s="19"/>
      <c r="E16" s="19"/>
      <c r="F16" s="19"/>
      <c r="G16" s="19"/>
      <c r="H16" s="19"/>
      <c r="I16" s="19"/>
      <c r="J16" s="19"/>
      <c r="K16" s="19">
        <v>0.91</v>
      </c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</row>
    <row r="17" spans="1:31" x14ac:dyDescent="0.25">
      <c r="A17" s="13" t="s">
        <v>237</v>
      </c>
      <c r="B17" s="13" t="s">
        <v>308</v>
      </c>
      <c r="C17" s="13" t="s">
        <v>332</v>
      </c>
      <c r="D17" s="19"/>
      <c r="E17" s="19"/>
      <c r="F17" s="19"/>
      <c r="G17" s="19"/>
      <c r="H17" s="19"/>
      <c r="I17" s="19"/>
      <c r="J17" s="19"/>
      <c r="K17" s="19">
        <v>0.91</v>
      </c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</row>
    <row r="18" spans="1:31" x14ac:dyDescent="0.25">
      <c r="A18" s="13" t="s">
        <v>239</v>
      </c>
      <c r="B18" s="13" t="s">
        <v>331</v>
      </c>
      <c r="C18" s="13" t="s">
        <v>332</v>
      </c>
      <c r="D18" s="19"/>
      <c r="E18" s="19"/>
      <c r="F18" s="19"/>
      <c r="G18" s="19"/>
      <c r="H18" s="19"/>
      <c r="I18" s="19"/>
      <c r="J18" s="19"/>
      <c r="K18" s="19">
        <v>0.38</v>
      </c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</row>
    <row r="19" spans="1:31" x14ac:dyDescent="0.25">
      <c r="A19" s="13" t="s">
        <v>239</v>
      </c>
      <c r="B19" s="13" t="s">
        <v>306</v>
      </c>
      <c r="C19" s="13" t="s">
        <v>332</v>
      </c>
      <c r="D19" s="19"/>
      <c r="E19" s="19"/>
      <c r="F19" s="19"/>
      <c r="G19" s="19"/>
      <c r="H19" s="19"/>
      <c r="I19" s="19"/>
      <c r="J19" s="19"/>
      <c r="K19" s="19">
        <v>0.55000000000000004</v>
      </c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</row>
    <row r="20" spans="1:31" x14ac:dyDescent="0.25">
      <c r="A20" s="13" t="s">
        <v>239</v>
      </c>
      <c r="B20" s="13" t="s">
        <v>307</v>
      </c>
      <c r="C20" s="13" t="s">
        <v>332</v>
      </c>
      <c r="D20" s="19"/>
      <c r="E20" s="19"/>
      <c r="F20" s="19"/>
      <c r="G20" s="19"/>
      <c r="H20" s="19"/>
      <c r="I20" s="19"/>
      <c r="J20" s="19"/>
      <c r="K20" s="19">
        <v>0.55000000000000004</v>
      </c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</row>
    <row r="21" spans="1:31" x14ac:dyDescent="0.25">
      <c r="A21" s="13" t="s">
        <v>239</v>
      </c>
      <c r="B21" s="13" t="s">
        <v>308</v>
      </c>
      <c r="C21" s="13" t="s">
        <v>332</v>
      </c>
      <c r="D21" s="19"/>
      <c r="E21" s="19"/>
      <c r="F21" s="19"/>
      <c r="G21" s="19"/>
      <c r="H21" s="19"/>
      <c r="I21" s="19"/>
      <c r="J21" s="19"/>
      <c r="K21" s="19">
        <v>0.55000000000000004</v>
      </c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</row>
    <row r="22" spans="1:31" x14ac:dyDescent="0.25">
      <c r="A22" s="13" t="s">
        <v>241</v>
      </c>
      <c r="B22" s="13" t="s">
        <v>331</v>
      </c>
      <c r="C22" s="13" t="s">
        <v>332</v>
      </c>
      <c r="D22" s="19"/>
      <c r="E22" s="19"/>
      <c r="F22" s="19"/>
      <c r="G22" s="19"/>
      <c r="H22" s="19"/>
      <c r="I22" s="19"/>
      <c r="J22" s="19"/>
      <c r="K22" s="19">
        <v>0.79</v>
      </c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</row>
    <row r="23" spans="1:31" x14ac:dyDescent="0.25">
      <c r="A23" s="13" t="s">
        <v>241</v>
      </c>
      <c r="B23" s="13" t="s">
        <v>306</v>
      </c>
      <c r="C23" s="13" t="s">
        <v>332</v>
      </c>
      <c r="D23" s="19"/>
      <c r="E23" s="19"/>
      <c r="F23" s="19"/>
      <c r="G23" s="19"/>
      <c r="H23" s="19"/>
      <c r="I23" s="19"/>
      <c r="J23" s="19"/>
      <c r="K23" s="19">
        <v>0.93</v>
      </c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</row>
    <row r="24" spans="1:31" x14ac:dyDescent="0.25">
      <c r="A24" s="13" t="s">
        <v>241</v>
      </c>
      <c r="B24" s="13" t="s">
        <v>307</v>
      </c>
      <c r="C24" s="13" t="s">
        <v>332</v>
      </c>
      <c r="D24" s="19"/>
      <c r="E24" s="19"/>
      <c r="F24" s="19"/>
      <c r="G24" s="19"/>
      <c r="H24" s="19"/>
      <c r="I24" s="19"/>
      <c r="J24" s="19"/>
      <c r="K24" s="19">
        <v>0.93</v>
      </c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</row>
    <row r="25" spans="1:31" x14ac:dyDescent="0.25">
      <c r="A25" s="13" t="s">
        <v>241</v>
      </c>
      <c r="B25" s="13" t="s">
        <v>308</v>
      </c>
      <c r="C25" s="13" t="s">
        <v>332</v>
      </c>
      <c r="D25" s="19"/>
      <c r="E25" s="19"/>
      <c r="F25" s="19"/>
      <c r="G25" s="19"/>
      <c r="H25" s="19"/>
      <c r="I25" s="19"/>
      <c r="J25" s="19"/>
      <c r="K25" s="19">
        <v>0.93</v>
      </c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</row>
    <row r="26" spans="1:31" x14ac:dyDescent="0.25">
      <c r="A26" s="13" t="s">
        <v>243</v>
      </c>
      <c r="B26" s="13" t="s">
        <v>331</v>
      </c>
      <c r="C26" s="13" t="s">
        <v>332</v>
      </c>
      <c r="D26" s="19"/>
      <c r="E26" s="19"/>
      <c r="F26" s="19"/>
      <c r="G26" s="19"/>
      <c r="H26" s="19"/>
      <c r="I26" s="19"/>
      <c r="J26" s="19"/>
      <c r="K26" s="19">
        <v>0.77</v>
      </c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</row>
    <row r="27" spans="1:31" x14ac:dyDescent="0.25">
      <c r="A27" s="13" t="s">
        <v>243</v>
      </c>
      <c r="B27" s="13" t="s">
        <v>306</v>
      </c>
      <c r="C27" s="13" t="s">
        <v>332</v>
      </c>
      <c r="D27" s="19"/>
      <c r="E27" s="19"/>
      <c r="F27" s="19"/>
      <c r="G27" s="19"/>
      <c r="H27" s="19"/>
      <c r="I27" s="19"/>
      <c r="J27" s="19"/>
      <c r="K27" s="19">
        <v>0.82</v>
      </c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</row>
    <row r="28" spans="1:31" x14ac:dyDescent="0.25">
      <c r="A28" s="13" t="s">
        <v>243</v>
      </c>
      <c r="B28" s="13" t="s">
        <v>307</v>
      </c>
      <c r="C28" s="13" t="s">
        <v>332</v>
      </c>
      <c r="D28" s="19"/>
      <c r="E28" s="19"/>
      <c r="F28" s="19"/>
      <c r="G28" s="19"/>
      <c r="H28" s="19"/>
      <c r="I28" s="19"/>
      <c r="J28" s="19"/>
      <c r="K28" s="19">
        <v>0.82</v>
      </c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</row>
    <row r="29" spans="1:31" x14ac:dyDescent="0.25">
      <c r="A29" s="13" t="s">
        <v>243</v>
      </c>
      <c r="B29" s="13" t="s">
        <v>308</v>
      </c>
      <c r="C29" s="13" t="s">
        <v>332</v>
      </c>
      <c r="D29" s="19"/>
      <c r="E29" s="19"/>
      <c r="F29" s="19"/>
      <c r="G29" s="19"/>
      <c r="H29" s="19"/>
      <c r="I29" s="19"/>
      <c r="J29" s="19"/>
      <c r="K29" s="19">
        <v>0.82</v>
      </c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</row>
    <row r="30" spans="1:31" x14ac:dyDescent="0.25">
      <c r="A30" s="13" t="s">
        <v>245</v>
      </c>
      <c r="B30" s="13" t="s">
        <v>331</v>
      </c>
      <c r="C30" s="13" t="s">
        <v>332</v>
      </c>
      <c r="D30" s="19"/>
      <c r="E30" s="19"/>
      <c r="F30" s="19"/>
      <c r="G30" s="19"/>
      <c r="H30" s="19"/>
      <c r="I30" s="19"/>
      <c r="J30" s="19"/>
      <c r="K30" s="19">
        <v>0.98</v>
      </c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</row>
    <row r="31" spans="1:31" x14ac:dyDescent="0.25">
      <c r="A31" s="13" t="s">
        <v>245</v>
      </c>
      <c r="B31" s="13" t="s">
        <v>306</v>
      </c>
      <c r="C31" s="13" t="s">
        <v>332</v>
      </c>
      <c r="D31" s="19"/>
      <c r="E31" s="19"/>
      <c r="F31" s="19"/>
      <c r="G31" s="19"/>
      <c r="H31" s="19"/>
      <c r="I31" s="19"/>
      <c r="J31" s="19"/>
      <c r="K31" s="19">
        <v>0.98</v>
      </c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</row>
    <row r="32" spans="1:31" x14ac:dyDescent="0.25">
      <c r="A32" s="13" t="s">
        <v>245</v>
      </c>
      <c r="B32" s="13" t="s">
        <v>307</v>
      </c>
      <c r="C32" s="13" t="s">
        <v>332</v>
      </c>
      <c r="D32" s="19"/>
      <c r="E32" s="19"/>
      <c r="F32" s="19"/>
      <c r="G32" s="19"/>
      <c r="H32" s="19"/>
      <c r="I32" s="19"/>
      <c r="J32" s="19"/>
      <c r="K32" s="19">
        <v>0.98</v>
      </c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</row>
    <row r="33" spans="1:31" x14ac:dyDescent="0.25">
      <c r="A33" s="13" t="s">
        <v>245</v>
      </c>
      <c r="B33" s="13" t="s">
        <v>308</v>
      </c>
      <c r="C33" s="13" t="s">
        <v>332</v>
      </c>
      <c r="D33" s="19"/>
      <c r="E33" s="19"/>
      <c r="F33" s="19"/>
      <c r="G33" s="19"/>
      <c r="H33" s="19"/>
      <c r="I33" s="19"/>
      <c r="J33" s="19"/>
      <c r="K33" s="19">
        <v>0.98</v>
      </c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</row>
    <row r="34" spans="1:31" x14ac:dyDescent="0.25">
      <c r="A34" s="13" t="s">
        <v>247</v>
      </c>
      <c r="B34" s="13" t="s">
        <v>331</v>
      </c>
      <c r="C34" s="13" t="s">
        <v>332</v>
      </c>
      <c r="D34" s="19"/>
      <c r="E34" s="19"/>
      <c r="F34" s="19"/>
      <c r="G34" s="19"/>
      <c r="H34" s="19"/>
      <c r="I34" s="19"/>
      <c r="J34" s="19"/>
      <c r="K34" s="19">
        <v>0.55000000000000004</v>
      </c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</row>
    <row r="35" spans="1:31" x14ac:dyDescent="0.25">
      <c r="A35" s="13" t="s">
        <v>247</v>
      </c>
      <c r="B35" s="13" t="s">
        <v>306</v>
      </c>
      <c r="C35" s="13" t="s">
        <v>332</v>
      </c>
      <c r="D35" s="19"/>
      <c r="E35" s="19"/>
      <c r="F35" s="19"/>
      <c r="G35" s="19"/>
      <c r="H35" s="19"/>
      <c r="I35" s="19"/>
      <c r="J35" s="19"/>
      <c r="K35" s="19">
        <v>0.3</v>
      </c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</row>
    <row r="36" spans="1:31" x14ac:dyDescent="0.25">
      <c r="A36" s="13" t="s">
        <v>247</v>
      </c>
      <c r="B36" s="13" t="s">
        <v>307</v>
      </c>
      <c r="C36" s="13" t="s">
        <v>332</v>
      </c>
      <c r="D36" s="19"/>
      <c r="E36" s="19"/>
      <c r="F36" s="19"/>
      <c r="G36" s="19"/>
      <c r="H36" s="19"/>
      <c r="I36" s="19"/>
      <c r="J36" s="19"/>
      <c r="K36" s="19">
        <v>0.3</v>
      </c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</row>
    <row r="37" spans="1:31" x14ac:dyDescent="0.25">
      <c r="A37" s="13" t="s">
        <v>247</v>
      </c>
      <c r="B37" s="13" t="s">
        <v>308</v>
      </c>
      <c r="C37" s="13" t="s">
        <v>332</v>
      </c>
      <c r="D37" s="19"/>
      <c r="E37" s="19"/>
      <c r="F37" s="19"/>
      <c r="G37" s="19"/>
      <c r="H37" s="19"/>
      <c r="I37" s="19"/>
      <c r="J37" s="19"/>
      <c r="K37" s="19">
        <v>0.3</v>
      </c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</row>
    <row r="38" spans="1:31" x14ac:dyDescent="0.25">
      <c r="A38" s="13" t="s">
        <v>249</v>
      </c>
      <c r="B38" s="13" t="s">
        <v>331</v>
      </c>
      <c r="C38" s="13" t="s">
        <v>332</v>
      </c>
      <c r="D38" s="19"/>
      <c r="E38" s="19"/>
      <c r="F38" s="19"/>
      <c r="G38" s="19"/>
      <c r="H38" s="19"/>
      <c r="I38" s="19"/>
      <c r="J38" s="19"/>
      <c r="K38" s="19">
        <v>0.74</v>
      </c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</row>
    <row r="39" spans="1:31" x14ac:dyDescent="0.25">
      <c r="A39" s="13" t="s">
        <v>249</v>
      </c>
      <c r="B39" s="13" t="s">
        <v>306</v>
      </c>
      <c r="C39" s="13" t="s">
        <v>332</v>
      </c>
      <c r="D39" s="19"/>
      <c r="E39" s="19"/>
      <c r="F39" s="19"/>
      <c r="G39" s="19"/>
      <c r="H39" s="19"/>
      <c r="I39" s="19"/>
      <c r="J39" s="19"/>
      <c r="K39" s="19">
        <v>0.78</v>
      </c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</row>
    <row r="40" spans="1:31" x14ac:dyDescent="0.25">
      <c r="A40" s="13" t="s">
        <v>249</v>
      </c>
      <c r="B40" s="13" t="s">
        <v>307</v>
      </c>
      <c r="C40" s="13" t="s">
        <v>332</v>
      </c>
      <c r="D40" s="19"/>
      <c r="E40" s="19"/>
      <c r="F40" s="19"/>
      <c r="G40" s="19"/>
      <c r="H40" s="19"/>
      <c r="I40" s="19"/>
      <c r="J40" s="19"/>
      <c r="K40" s="19">
        <v>0.78</v>
      </c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</row>
    <row r="41" spans="1:31" x14ac:dyDescent="0.25">
      <c r="A41" s="13" t="s">
        <v>249</v>
      </c>
      <c r="B41" s="13" t="s">
        <v>308</v>
      </c>
      <c r="C41" s="13" t="s">
        <v>332</v>
      </c>
      <c r="D41" s="19"/>
      <c r="E41" s="19"/>
      <c r="F41" s="19"/>
      <c r="G41" s="19"/>
      <c r="H41" s="19"/>
      <c r="I41" s="19"/>
      <c r="J41" s="19"/>
      <c r="K41" s="19">
        <v>0.78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</row>
    <row r="42" spans="1:31" x14ac:dyDescent="0.25">
      <c r="A42" s="13" t="s">
        <v>251</v>
      </c>
      <c r="B42" s="13" t="s">
        <v>331</v>
      </c>
      <c r="C42" s="13" t="s">
        <v>332</v>
      </c>
      <c r="D42" s="19"/>
      <c r="E42" s="19"/>
      <c r="F42" s="19"/>
      <c r="G42" s="19"/>
      <c r="H42" s="19"/>
      <c r="I42" s="19"/>
      <c r="J42" s="19"/>
      <c r="K42" s="19">
        <v>0.69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</row>
    <row r="43" spans="1:31" x14ac:dyDescent="0.25">
      <c r="A43" s="13" t="s">
        <v>251</v>
      </c>
      <c r="B43" s="13" t="s">
        <v>306</v>
      </c>
      <c r="C43" s="13" t="s">
        <v>332</v>
      </c>
      <c r="D43" s="19"/>
      <c r="E43" s="19"/>
      <c r="F43" s="19"/>
      <c r="G43" s="19"/>
      <c r="H43" s="19"/>
      <c r="I43" s="19"/>
      <c r="J43" s="19"/>
      <c r="K43" s="19">
        <v>0.79</v>
      </c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</row>
    <row r="44" spans="1:31" x14ac:dyDescent="0.25">
      <c r="A44" s="13" t="s">
        <v>251</v>
      </c>
      <c r="B44" s="13" t="s">
        <v>307</v>
      </c>
      <c r="C44" s="13" t="s">
        <v>332</v>
      </c>
      <c r="D44" s="19"/>
      <c r="E44" s="19"/>
      <c r="F44" s="19"/>
      <c r="G44" s="19"/>
      <c r="H44" s="19"/>
      <c r="I44" s="19"/>
      <c r="J44" s="19"/>
      <c r="K44" s="19">
        <v>0.79</v>
      </c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</row>
    <row r="45" spans="1:31" x14ac:dyDescent="0.25">
      <c r="A45" s="13" t="s">
        <v>251</v>
      </c>
      <c r="B45" s="13" t="s">
        <v>308</v>
      </c>
      <c r="C45" s="13" t="s">
        <v>332</v>
      </c>
      <c r="D45" s="19"/>
      <c r="E45" s="19"/>
      <c r="F45" s="19"/>
      <c r="G45" s="19"/>
      <c r="H45" s="19"/>
      <c r="I45" s="19"/>
      <c r="J45" s="19"/>
      <c r="K45" s="19">
        <v>0.79</v>
      </c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</row>
    <row r="46" spans="1:31" x14ac:dyDescent="0.25">
      <c r="A46" s="13" t="s">
        <v>253</v>
      </c>
      <c r="B46" s="13" t="s">
        <v>331</v>
      </c>
      <c r="C46" s="13" t="s">
        <v>332</v>
      </c>
      <c r="D46" s="19"/>
      <c r="E46" s="19"/>
      <c r="F46" s="19"/>
      <c r="G46" s="19"/>
      <c r="H46" s="19"/>
      <c r="I46" s="19"/>
      <c r="J46" s="19"/>
      <c r="K46" s="19">
        <v>0.81</v>
      </c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</row>
    <row r="47" spans="1:31" x14ac:dyDescent="0.25">
      <c r="A47" s="13" t="s">
        <v>253</v>
      </c>
      <c r="B47" s="13" t="s">
        <v>306</v>
      </c>
      <c r="C47" s="13" t="s">
        <v>332</v>
      </c>
      <c r="D47" s="19"/>
      <c r="E47" s="19"/>
      <c r="F47" s="19"/>
      <c r="G47" s="19"/>
      <c r="H47" s="19"/>
      <c r="I47" s="19"/>
      <c r="J47" s="19"/>
      <c r="K47" s="19">
        <v>0.75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</row>
    <row r="48" spans="1:31" x14ac:dyDescent="0.25">
      <c r="A48" s="13" t="s">
        <v>253</v>
      </c>
      <c r="B48" s="13" t="s">
        <v>307</v>
      </c>
      <c r="C48" s="13" t="s">
        <v>332</v>
      </c>
      <c r="D48" s="19"/>
      <c r="E48" s="19"/>
      <c r="F48" s="19"/>
      <c r="G48" s="19"/>
      <c r="H48" s="19"/>
      <c r="I48" s="19"/>
      <c r="J48" s="19"/>
      <c r="K48" s="19">
        <v>0.75</v>
      </c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</row>
    <row r="49" spans="1:31" x14ac:dyDescent="0.25">
      <c r="A49" s="13" t="s">
        <v>253</v>
      </c>
      <c r="B49" s="13" t="s">
        <v>308</v>
      </c>
      <c r="C49" s="13" t="s">
        <v>332</v>
      </c>
      <c r="D49" s="19"/>
      <c r="E49" s="19"/>
      <c r="F49" s="19"/>
      <c r="G49" s="19"/>
      <c r="H49" s="19"/>
      <c r="I49" s="19"/>
      <c r="J49" s="19"/>
      <c r="K49" s="19">
        <v>0.75</v>
      </c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</row>
    <row r="50" spans="1:31" x14ac:dyDescent="0.25">
      <c r="A50" s="13" t="s">
        <v>255</v>
      </c>
      <c r="B50" s="13" t="s">
        <v>331</v>
      </c>
      <c r="C50" s="13" t="s">
        <v>332</v>
      </c>
      <c r="D50" s="19"/>
      <c r="E50" s="19"/>
      <c r="F50" s="19"/>
      <c r="G50" s="19"/>
      <c r="H50" s="19"/>
      <c r="I50" s="19"/>
      <c r="J50" s="19"/>
      <c r="K50" s="19">
        <v>0.86</v>
      </c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</row>
    <row r="51" spans="1:31" x14ac:dyDescent="0.25">
      <c r="A51" s="13" t="s">
        <v>255</v>
      </c>
      <c r="B51" s="13" t="s">
        <v>306</v>
      </c>
      <c r="C51" s="13" t="s">
        <v>332</v>
      </c>
      <c r="D51" s="19"/>
      <c r="E51" s="19"/>
      <c r="F51" s="19"/>
      <c r="G51" s="19"/>
      <c r="H51" s="19"/>
      <c r="I51" s="19"/>
      <c r="J51" s="19"/>
      <c r="K51" s="19">
        <v>0.64</v>
      </c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</row>
    <row r="52" spans="1:31" x14ac:dyDescent="0.25">
      <c r="A52" s="13" t="s">
        <v>255</v>
      </c>
      <c r="B52" s="13" t="s">
        <v>307</v>
      </c>
      <c r="C52" s="13" t="s">
        <v>332</v>
      </c>
      <c r="D52" s="19"/>
      <c r="E52" s="19"/>
      <c r="F52" s="19"/>
      <c r="G52" s="19"/>
      <c r="H52" s="19"/>
      <c r="I52" s="19"/>
      <c r="J52" s="19"/>
      <c r="K52" s="19">
        <v>0.64</v>
      </c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</row>
    <row r="53" spans="1:31" x14ac:dyDescent="0.25">
      <c r="A53" s="13" t="s">
        <v>255</v>
      </c>
      <c r="B53" s="13" t="s">
        <v>308</v>
      </c>
      <c r="C53" s="13" t="s">
        <v>332</v>
      </c>
      <c r="D53" s="19"/>
      <c r="E53" s="19"/>
      <c r="F53" s="19"/>
      <c r="G53" s="19"/>
      <c r="H53" s="19"/>
      <c r="I53" s="19"/>
      <c r="J53" s="19"/>
      <c r="K53" s="19">
        <v>0.64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</row>
    <row r="54" spans="1:31" x14ac:dyDescent="0.25">
      <c r="A54" s="13" t="s">
        <v>257</v>
      </c>
      <c r="B54" s="13" t="s">
        <v>331</v>
      </c>
      <c r="C54" s="13" t="s">
        <v>332</v>
      </c>
      <c r="D54" s="19"/>
      <c r="E54" s="19"/>
      <c r="F54" s="19"/>
      <c r="G54" s="19"/>
      <c r="H54" s="19"/>
      <c r="I54" s="19"/>
      <c r="J54" s="19"/>
      <c r="K54" s="19">
        <v>0.32</v>
      </c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</row>
    <row r="55" spans="1:31" x14ac:dyDescent="0.25">
      <c r="A55" s="13" t="s">
        <v>257</v>
      </c>
      <c r="B55" s="13" t="s">
        <v>306</v>
      </c>
      <c r="C55" s="13" t="s">
        <v>332</v>
      </c>
      <c r="D55" s="19"/>
      <c r="E55" s="19"/>
      <c r="F55" s="19"/>
      <c r="G55" s="19"/>
      <c r="H55" s="19"/>
      <c r="I55" s="19"/>
      <c r="J55" s="19"/>
      <c r="K55" s="19">
        <v>0.33</v>
      </c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</row>
    <row r="56" spans="1:31" x14ac:dyDescent="0.25">
      <c r="A56" s="13" t="s">
        <v>257</v>
      </c>
      <c r="B56" s="13" t="s">
        <v>307</v>
      </c>
      <c r="C56" s="13" t="s">
        <v>332</v>
      </c>
      <c r="D56" s="19"/>
      <c r="E56" s="19"/>
      <c r="F56" s="19"/>
      <c r="G56" s="19"/>
      <c r="H56" s="19"/>
      <c r="I56" s="19"/>
      <c r="J56" s="19"/>
      <c r="K56" s="19">
        <v>0.33</v>
      </c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</row>
    <row r="57" spans="1:31" x14ac:dyDescent="0.25">
      <c r="A57" s="13" t="s">
        <v>257</v>
      </c>
      <c r="B57" s="13" t="s">
        <v>308</v>
      </c>
      <c r="C57" s="13" t="s">
        <v>332</v>
      </c>
      <c r="D57" s="19"/>
      <c r="E57" s="19"/>
      <c r="F57" s="19"/>
      <c r="G57" s="19"/>
      <c r="H57" s="19"/>
      <c r="I57" s="19"/>
      <c r="J57" s="19"/>
      <c r="K57" s="19">
        <v>0.33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</row>
    <row r="58" spans="1:31" x14ac:dyDescent="0.25">
      <c r="A58" s="13" t="s">
        <v>259</v>
      </c>
      <c r="B58" s="13" t="s">
        <v>331</v>
      </c>
      <c r="C58" s="13" t="s">
        <v>332</v>
      </c>
      <c r="D58" s="19"/>
      <c r="E58" s="19"/>
      <c r="F58" s="19"/>
      <c r="G58" s="19"/>
      <c r="H58" s="19"/>
      <c r="I58" s="19"/>
      <c r="J58" s="19"/>
      <c r="K58" s="19">
        <v>0.86</v>
      </c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</row>
    <row r="59" spans="1:31" x14ac:dyDescent="0.25">
      <c r="A59" s="13" t="s">
        <v>259</v>
      </c>
      <c r="B59" s="13" t="s">
        <v>306</v>
      </c>
      <c r="C59" s="13" t="s">
        <v>332</v>
      </c>
      <c r="D59" s="19"/>
      <c r="E59" s="19"/>
      <c r="F59" s="19"/>
      <c r="G59" s="19"/>
      <c r="H59" s="19"/>
      <c r="I59" s="19"/>
      <c r="J59" s="19"/>
      <c r="K59" s="19">
        <v>0.86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</row>
    <row r="60" spans="1:31" x14ac:dyDescent="0.25">
      <c r="A60" s="13" t="s">
        <v>259</v>
      </c>
      <c r="B60" s="13" t="s">
        <v>307</v>
      </c>
      <c r="C60" s="13" t="s">
        <v>332</v>
      </c>
      <c r="D60" s="19"/>
      <c r="E60" s="19"/>
      <c r="F60" s="19"/>
      <c r="G60" s="19"/>
      <c r="H60" s="19"/>
      <c r="I60" s="19"/>
      <c r="J60" s="19"/>
      <c r="K60" s="19">
        <v>0.86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</row>
    <row r="61" spans="1:31" x14ac:dyDescent="0.25">
      <c r="A61" s="13" t="s">
        <v>259</v>
      </c>
      <c r="B61" s="13" t="s">
        <v>308</v>
      </c>
      <c r="C61" s="13" t="s">
        <v>332</v>
      </c>
      <c r="D61" s="19"/>
      <c r="E61" s="19"/>
      <c r="F61" s="19"/>
      <c r="G61" s="19"/>
      <c r="H61" s="19"/>
      <c r="I61" s="19"/>
      <c r="J61" s="19"/>
      <c r="K61" s="19">
        <v>0.86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</row>
    <row r="62" spans="1:31" x14ac:dyDescent="0.25">
      <c r="A62" s="13" t="s">
        <v>261</v>
      </c>
      <c r="B62" s="13" t="s">
        <v>331</v>
      </c>
      <c r="C62" s="13" t="s">
        <v>332</v>
      </c>
      <c r="D62" s="19"/>
      <c r="E62" s="19"/>
      <c r="F62" s="19"/>
      <c r="G62" s="19"/>
      <c r="H62" s="19"/>
      <c r="I62" s="19"/>
      <c r="J62" s="19"/>
      <c r="K62" s="19">
        <v>0.57999999999999996</v>
      </c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</row>
    <row r="63" spans="1:31" x14ac:dyDescent="0.25">
      <c r="A63" s="13" t="s">
        <v>261</v>
      </c>
      <c r="B63" s="13" t="s">
        <v>306</v>
      </c>
      <c r="C63" s="13" t="s">
        <v>332</v>
      </c>
      <c r="D63" s="19"/>
      <c r="E63" s="19"/>
      <c r="F63" s="19"/>
      <c r="G63" s="19"/>
      <c r="H63" s="19"/>
      <c r="I63" s="19"/>
      <c r="J63" s="19"/>
      <c r="K63" s="19">
        <v>0.73</v>
      </c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</row>
    <row r="64" spans="1:31" x14ac:dyDescent="0.25">
      <c r="A64" s="13" t="s">
        <v>261</v>
      </c>
      <c r="B64" s="13" t="s">
        <v>307</v>
      </c>
      <c r="C64" s="13" t="s">
        <v>332</v>
      </c>
      <c r="D64" s="19"/>
      <c r="E64" s="19"/>
      <c r="F64" s="19"/>
      <c r="G64" s="19"/>
      <c r="H64" s="19"/>
      <c r="I64" s="19"/>
      <c r="J64" s="19"/>
      <c r="K64" s="19">
        <v>0.73</v>
      </c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</row>
    <row r="65" spans="1:31" x14ac:dyDescent="0.25">
      <c r="A65" s="13" t="s">
        <v>261</v>
      </c>
      <c r="B65" s="13" t="s">
        <v>308</v>
      </c>
      <c r="C65" s="13" t="s">
        <v>332</v>
      </c>
      <c r="D65" s="19"/>
      <c r="E65" s="19"/>
      <c r="F65" s="19"/>
      <c r="G65" s="19"/>
      <c r="H65" s="19"/>
      <c r="I65" s="19"/>
      <c r="J65" s="19"/>
      <c r="K65" s="19">
        <v>0.73</v>
      </c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</row>
    <row r="66" spans="1:31" x14ac:dyDescent="0.25">
      <c r="A66" s="13" t="s">
        <v>263</v>
      </c>
      <c r="B66" s="13" t="s">
        <v>331</v>
      </c>
      <c r="C66" s="13" t="s">
        <v>332</v>
      </c>
      <c r="D66" s="19"/>
      <c r="E66" s="19"/>
      <c r="F66" s="19"/>
      <c r="G66" s="19"/>
      <c r="H66" s="19"/>
      <c r="I66" s="19"/>
      <c r="J66" s="19"/>
      <c r="K66" s="19">
        <v>0.56000000000000005</v>
      </c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</row>
    <row r="67" spans="1:31" x14ac:dyDescent="0.25">
      <c r="A67" s="13" t="s">
        <v>263</v>
      </c>
      <c r="B67" s="13" t="s">
        <v>306</v>
      </c>
      <c r="C67" s="13" t="s">
        <v>332</v>
      </c>
      <c r="D67" s="19"/>
      <c r="E67" s="19"/>
      <c r="F67" s="19"/>
      <c r="G67" s="19"/>
      <c r="H67" s="19"/>
      <c r="I67" s="19"/>
      <c r="J67" s="19"/>
      <c r="K67" s="19">
        <v>0.68</v>
      </c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</row>
    <row r="68" spans="1:31" x14ac:dyDescent="0.25">
      <c r="A68" s="13" t="s">
        <v>263</v>
      </c>
      <c r="B68" s="13" t="s">
        <v>307</v>
      </c>
      <c r="C68" s="13" t="s">
        <v>332</v>
      </c>
      <c r="D68" s="19"/>
      <c r="E68" s="19"/>
      <c r="F68" s="19"/>
      <c r="G68" s="19"/>
      <c r="H68" s="19"/>
      <c r="I68" s="19"/>
      <c r="J68" s="19"/>
      <c r="K68" s="19">
        <v>0.68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</row>
    <row r="69" spans="1:31" x14ac:dyDescent="0.25">
      <c r="A69" s="13" t="s">
        <v>263</v>
      </c>
      <c r="B69" s="13" t="s">
        <v>308</v>
      </c>
      <c r="C69" s="13" t="s">
        <v>332</v>
      </c>
      <c r="D69" s="19"/>
      <c r="E69" s="19"/>
      <c r="F69" s="19"/>
      <c r="G69" s="19"/>
      <c r="H69" s="19"/>
      <c r="I69" s="19"/>
      <c r="J69" s="19"/>
      <c r="K69" s="19">
        <v>0.68</v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</row>
    <row r="70" spans="1:31" x14ac:dyDescent="0.25">
      <c r="A70" s="13" t="s">
        <v>265</v>
      </c>
      <c r="B70" s="13" t="s">
        <v>331</v>
      </c>
      <c r="C70" s="13" t="s">
        <v>332</v>
      </c>
      <c r="D70" s="19"/>
      <c r="E70" s="19"/>
      <c r="F70" s="19"/>
      <c r="G70" s="19"/>
      <c r="H70" s="19"/>
      <c r="I70" s="19"/>
      <c r="J70" s="19"/>
      <c r="K70" s="19">
        <v>1</v>
      </c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</row>
    <row r="71" spans="1:31" x14ac:dyDescent="0.25">
      <c r="A71" s="13" t="s">
        <v>265</v>
      </c>
      <c r="B71" s="13" t="s">
        <v>306</v>
      </c>
      <c r="C71" s="13" t="s">
        <v>332</v>
      </c>
      <c r="D71" s="19"/>
      <c r="E71" s="19"/>
      <c r="F71" s="19"/>
      <c r="G71" s="19"/>
      <c r="H71" s="19"/>
      <c r="I71" s="19"/>
      <c r="J71" s="19"/>
      <c r="K71" s="19">
        <v>1</v>
      </c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</row>
    <row r="72" spans="1:31" x14ac:dyDescent="0.25">
      <c r="A72" s="13" t="s">
        <v>265</v>
      </c>
      <c r="B72" s="13" t="s">
        <v>307</v>
      </c>
      <c r="C72" s="13" t="s">
        <v>332</v>
      </c>
      <c r="D72" s="19"/>
      <c r="E72" s="19"/>
      <c r="F72" s="19"/>
      <c r="G72" s="19"/>
      <c r="H72" s="19"/>
      <c r="I72" s="19"/>
      <c r="J72" s="19"/>
      <c r="K72" s="19">
        <v>1</v>
      </c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</row>
    <row r="73" spans="1:31" x14ac:dyDescent="0.25">
      <c r="A73" s="13" t="s">
        <v>265</v>
      </c>
      <c r="B73" s="13" t="s">
        <v>308</v>
      </c>
      <c r="C73" s="13" t="s">
        <v>332</v>
      </c>
      <c r="D73" s="19"/>
      <c r="E73" s="19"/>
      <c r="F73" s="19"/>
      <c r="G73" s="19"/>
      <c r="H73" s="19"/>
      <c r="I73" s="19"/>
      <c r="J73" s="19"/>
      <c r="K73" s="19">
        <v>1</v>
      </c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</row>
    <row r="74" spans="1:31" x14ac:dyDescent="0.25">
      <c r="A74" s="13" t="s">
        <v>267</v>
      </c>
      <c r="B74" s="13" t="s">
        <v>331</v>
      </c>
      <c r="C74" s="13" t="s">
        <v>332</v>
      </c>
      <c r="D74" s="19"/>
      <c r="E74" s="19"/>
      <c r="F74" s="19"/>
      <c r="G74" s="19"/>
      <c r="H74" s="19"/>
      <c r="I74" s="19"/>
      <c r="J74" s="19"/>
      <c r="K74" s="19">
        <v>0.73</v>
      </c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</row>
    <row r="75" spans="1:31" x14ac:dyDescent="0.25">
      <c r="A75" s="13" t="s">
        <v>267</v>
      </c>
      <c r="B75" s="13" t="s">
        <v>306</v>
      </c>
      <c r="C75" s="13" t="s">
        <v>332</v>
      </c>
      <c r="D75" s="19"/>
      <c r="E75" s="19"/>
      <c r="F75" s="19"/>
      <c r="G75" s="19"/>
      <c r="H75" s="19"/>
      <c r="I75" s="19"/>
      <c r="J75" s="19"/>
      <c r="K75" s="19">
        <v>0.71</v>
      </c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</row>
    <row r="76" spans="1:31" x14ac:dyDescent="0.25">
      <c r="A76" s="13" t="s">
        <v>267</v>
      </c>
      <c r="B76" s="13" t="s">
        <v>307</v>
      </c>
      <c r="C76" s="13" t="s">
        <v>332</v>
      </c>
      <c r="D76" s="19"/>
      <c r="E76" s="19"/>
      <c r="F76" s="19"/>
      <c r="G76" s="19"/>
      <c r="H76" s="19"/>
      <c r="I76" s="19"/>
      <c r="J76" s="19"/>
      <c r="K76" s="19">
        <v>0.71</v>
      </c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</row>
    <row r="77" spans="1:31" x14ac:dyDescent="0.25">
      <c r="A77" s="13" t="s">
        <v>267</v>
      </c>
      <c r="B77" s="13" t="s">
        <v>308</v>
      </c>
      <c r="C77" s="13" t="s">
        <v>332</v>
      </c>
      <c r="D77" s="19"/>
      <c r="E77" s="19"/>
      <c r="F77" s="19"/>
      <c r="G77" s="19"/>
      <c r="H77" s="19"/>
      <c r="I77" s="19"/>
      <c r="J77" s="19"/>
      <c r="K77" s="19">
        <v>0.71</v>
      </c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</row>
    <row r="78" spans="1:31" x14ac:dyDescent="0.25">
      <c r="A78" s="13" t="s">
        <v>269</v>
      </c>
      <c r="B78" s="13" t="s">
        <v>331</v>
      </c>
      <c r="C78" s="13" t="s">
        <v>332</v>
      </c>
      <c r="D78" s="19"/>
      <c r="E78" s="19"/>
      <c r="F78" s="19"/>
      <c r="G78" s="19"/>
      <c r="H78" s="19"/>
      <c r="I78" s="19"/>
      <c r="J78" s="19"/>
      <c r="K78" s="19">
        <v>0.92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</row>
    <row r="79" spans="1:31" x14ac:dyDescent="0.25">
      <c r="A79" s="13" t="s">
        <v>269</v>
      </c>
      <c r="B79" s="13" t="s">
        <v>306</v>
      </c>
      <c r="C79" s="13" t="s">
        <v>332</v>
      </c>
      <c r="D79" s="19"/>
      <c r="E79" s="19"/>
      <c r="F79" s="19"/>
      <c r="G79" s="19"/>
      <c r="H79" s="19"/>
      <c r="I79" s="19"/>
      <c r="J79" s="19"/>
      <c r="K79" s="19">
        <v>0.97</v>
      </c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</row>
    <row r="80" spans="1:31" x14ac:dyDescent="0.25">
      <c r="A80" s="13" t="s">
        <v>269</v>
      </c>
      <c r="B80" s="13" t="s">
        <v>307</v>
      </c>
      <c r="C80" s="13" t="s">
        <v>332</v>
      </c>
      <c r="D80" s="19"/>
      <c r="E80" s="19"/>
      <c r="F80" s="19"/>
      <c r="G80" s="19"/>
      <c r="H80" s="19"/>
      <c r="I80" s="19"/>
      <c r="J80" s="19"/>
      <c r="K80" s="19">
        <v>1</v>
      </c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</row>
    <row r="81" spans="1:31" x14ac:dyDescent="0.25">
      <c r="A81" s="13" t="s">
        <v>269</v>
      </c>
      <c r="B81" s="13" t="s">
        <v>308</v>
      </c>
      <c r="C81" s="13" t="s">
        <v>332</v>
      </c>
      <c r="D81" s="19"/>
      <c r="E81" s="19"/>
      <c r="F81" s="19"/>
      <c r="G81" s="19"/>
      <c r="H81" s="19"/>
      <c r="I81" s="19"/>
      <c r="J81" s="19"/>
      <c r="K81" s="19">
        <v>0.97</v>
      </c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</row>
    <row r="83" spans="1:31" x14ac:dyDescent="0.25">
      <c r="A83" s="42" t="s">
        <v>309</v>
      </c>
      <c r="B83" s="30"/>
      <c r="C83" s="30"/>
    </row>
    <row r="84" spans="1:31" x14ac:dyDescent="0.25">
      <c r="A84" s="36" t="s">
        <v>333</v>
      </c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</row>
    <row r="85" spans="1:31" x14ac:dyDescent="0.25">
      <c r="A85" s="36" t="s">
        <v>334</v>
      </c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</row>
    <row r="86" spans="1:31" x14ac:dyDescent="0.25">
      <c r="A86" s="36" t="s">
        <v>335</v>
      </c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</row>
    <row r="87" spans="1:31" x14ac:dyDescent="0.25">
      <c r="A87" s="36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</row>
    <row r="88" spans="1:31" x14ac:dyDescent="0.25">
      <c r="A88" s="36" t="s">
        <v>336</v>
      </c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</row>
    <row r="89" spans="1:31" x14ac:dyDescent="0.25">
      <c r="A89" s="36" t="s">
        <v>337</v>
      </c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</row>
    <row r="90" spans="1:31" x14ac:dyDescent="0.25">
      <c r="A90" s="36" t="s">
        <v>338</v>
      </c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</row>
    <row r="91" spans="1:31" x14ac:dyDescent="0.25">
      <c r="A91" s="36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</row>
    <row r="92" spans="1:31" x14ac:dyDescent="0.25">
      <c r="A92" s="36" t="s">
        <v>339</v>
      </c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</row>
    <row r="93" spans="1:31" x14ac:dyDescent="0.25">
      <c r="A93" s="36" t="s">
        <v>340</v>
      </c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</row>
    <row r="94" spans="1:31" x14ac:dyDescent="0.25">
      <c r="A94" s="36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</row>
    <row r="95" spans="1:31" x14ac:dyDescent="0.25">
      <c r="A95" s="36" t="s">
        <v>341</v>
      </c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</row>
    <row r="96" spans="1:31" x14ac:dyDescent="0.25">
      <c r="A96" s="36" t="s">
        <v>342</v>
      </c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</row>
    <row r="97" spans="1:31" x14ac:dyDescent="0.25">
      <c r="A97" s="36" t="s">
        <v>343</v>
      </c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</row>
  </sheetData>
  <mergeCells count="18">
    <mergeCell ref="A97:AE97"/>
    <mergeCell ref="A1:C1"/>
    <mergeCell ref="A90:AE90"/>
    <mergeCell ref="A85:AE85"/>
    <mergeCell ref="A94:AE94"/>
    <mergeCell ref="A84:AE84"/>
    <mergeCell ref="A93:AE93"/>
    <mergeCell ref="A89:AE89"/>
    <mergeCell ref="A92:AE92"/>
    <mergeCell ref="A83:C83"/>
    <mergeCell ref="A88:AE88"/>
    <mergeCell ref="A3:AE3"/>
    <mergeCell ref="A91:AE91"/>
    <mergeCell ref="A87:AE87"/>
    <mergeCell ref="A95:AE95"/>
    <mergeCell ref="A96:AE96"/>
    <mergeCell ref="A2:AE2"/>
    <mergeCell ref="A86:AE86"/>
  </mergeCells>
  <dataValidations count="1">
    <dataValidation type="list" sqref="C6:C81" xr:uid="{00000000-0002-0000-0500-000000000000}">
      <formula1>"linear,flat_step"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5"/>
  <sheetViews>
    <sheetView workbookViewId="0">
      <pane xSplit="2" ySplit="9" topLeftCell="C10" activePane="bottomRight" state="frozen"/>
      <selection pane="topRight"/>
      <selection pane="bottomLeft"/>
      <selection pane="bottomRight" sqref="A1:L1"/>
    </sheetView>
  </sheetViews>
  <sheetFormatPr defaultRowHeight="15" x14ac:dyDescent="0.25"/>
  <cols>
    <col min="1" max="1" width="12" customWidth="1"/>
    <col min="2" max="2" width="15" customWidth="1"/>
    <col min="3" max="12" width="8" customWidth="1"/>
  </cols>
  <sheetData>
    <row r="1" spans="1:12" ht="18.75" x14ac:dyDescent="0.3">
      <c r="A1" s="37" t="s">
        <v>344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x14ac:dyDescent="0.25">
      <c r="A2" s="43" t="s">
        <v>345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x14ac:dyDescent="0.25">
      <c r="A3" s="42" t="s">
        <v>346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2" x14ac:dyDescent="0.25">
      <c r="A4" s="36" t="s">
        <v>347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spans="1:12" x14ac:dyDescent="0.25">
      <c r="A5" s="36" t="s">
        <v>348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</row>
    <row r="6" spans="1:12" x14ac:dyDescent="0.25">
      <c r="A6" s="36" t="s">
        <v>349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</row>
    <row r="7" spans="1:12" x14ac:dyDescent="0.25">
      <c r="A7" s="36" t="s">
        <v>350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</row>
    <row r="8" spans="1:12" x14ac:dyDescent="0.25">
      <c r="C8" s="44" t="s">
        <v>351</v>
      </c>
      <c r="D8" s="30"/>
      <c r="E8" s="30"/>
      <c r="F8" s="30"/>
      <c r="G8" s="30"/>
      <c r="H8" s="45" t="s">
        <v>352</v>
      </c>
      <c r="I8" s="30"/>
      <c r="J8" s="30"/>
      <c r="K8" s="30"/>
      <c r="L8" s="30"/>
    </row>
    <row r="9" spans="1:12" x14ac:dyDescent="0.25">
      <c r="A9" s="20" t="s">
        <v>276</v>
      </c>
      <c r="B9" s="20" t="s">
        <v>277</v>
      </c>
      <c r="C9" s="11" t="s">
        <v>353</v>
      </c>
      <c r="D9" s="11" t="s">
        <v>354</v>
      </c>
      <c r="E9" s="11" t="s">
        <v>355</v>
      </c>
      <c r="F9" s="11" t="s">
        <v>356</v>
      </c>
      <c r="G9" s="11" t="s">
        <v>357</v>
      </c>
      <c r="H9" s="21" t="s">
        <v>358</v>
      </c>
      <c r="I9" s="21" t="s">
        <v>359</v>
      </c>
      <c r="J9" s="21" t="s">
        <v>360</v>
      </c>
      <c r="K9" s="21" t="s">
        <v>361</v>
      </c>
      <c r="L9" s="21" t="s">
        <v>362</v>
      </c>
    </row>
    <row r="10" spans="1:12" x14ac:dyDescent="0.25">
      <c r="A10" s="13" t="s">
        <v>233</v>
      </c>
      <c r="B10" s="13" t="s">
        <v>331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</row>
    <row r="11" spans="1:12" x14ac:dyDescent="0.25">
      <c r="A11" s="13" t="s">
        <v>233</v>
      </c>
      <c r="B11" s="13" t="s">
        <v>306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x14ac:dyDescent="0.25">
      <c r="A12" s="13" t="s">
        <v>233</v>
      </c>
      <c r="B12" s="13" t="s">
        <v>307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</row>
    <row r="13" spans="1:12" x14ac:dyDescent="0.25">
      <c r="A13" s="13" t="s">
        <v>233</v>
      </c>
      <c r="B13" s="13" t="s">
        <v>308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</row>
    <row r="14" spans="1:12" x14ac:dyDescent="0.25">
      <c r="A14" s="13" t="s">
        <v>235</v>
      </c>
      <c r="B14" s="13" t="s">
        <v>331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</row>
    <row r="15" spans="1:12" x14ac:dyDescent="0.25">
      <c r="A15" s="13" t="s">
        <v>235</v>
      </c>
      <c r="B15" s="13" t="s">
        <v>306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1:12" x14ac:dyDescent="0.25">
      <c r="A16" s="13" t="s">
        <v>235</v>
      </c>
      <c r="B16" s="13" t="s">
        <v>307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spans="1:12" x14ac:dyDescent="0.25">
      <c r="A17" s="13" t="s">
        <v>235</v>
      </c>
      <c r="B17" s="13" t="s">
        <v>308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</row>
    <row r="18" spans="1:12" x14ac:dyDescent="0.25">
      <c r="A18" s="13" t="s">
        <v>237</v>
      </c>
      <c r="B18" s="13" t="s">
        <v>331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spans="1:12" x14ac:dyDescent="0.25">
      <c r="A19" s="13" t="s">
        <v>237</v>
      </c>
      <c r="B19" s="13" t="s">
        <v>306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1:12" x14ac:dyDescent="0.25">
      <c r="A20" s="13" t="s">
        <v>237</v>
      </c>
      <c r="B20" s="13" t="s">
        <v>307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</row>
    <row r="21" spans="1:12" x14ac:dyDescent="0.25">
      <c r="A21" s="13" t="s">
        <v>237</v>
      </c>
      <c r="B21" s="13" t="s">
        <v>308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spans="1:12" x14ac:dyDescent="0.25">
      <c r="A22" s="13" t="s">
        <v>239</v>
      </c>
      <c r="B22" s="13" t="s">
        <v>331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</row>
    <row r="23" spans="1:12" x14ac:dyDescent="0.25">
      <c r="A23" s="13" t="s">
        <v>239</v>
      </c>
      <c r="B23" s="13" t="s">
        <v>306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</row>
    <row r="24" spans="1:12" x14ac:dyDescent="0.25">
      <c r="A24" s="13" t="s">
        <v>239</v>
      </c>
      <c r="B24" s="13" t="s">
        <v>307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1:12" x14ac:dyDescent="0.25">
      <c r="A25" s="13" t="s">
        <v>239</v>
      </c>
      <c r="B25" s="13" t="s">
        <v>308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</row>
    <row r="26" spans="1:12" x14ac:dyDescent="0.25">
      <c r="A26" s="13" t="s">
        <v>241</v>
      </c>
      <c r="B26" s="13" t="s">
        <v>331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1:12" x14ac:dyDescent="0.25">
      <c r="A27" s="13" t="s">
        <v>241</v>
      </c>
      <c r="B27" s="13" t="s">
        <v>306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1:12" x14ac:dyDescent="0.25">
      <c r="A28" s="13" t="s">
        <v>241</v>
      </c>
      <c r="B28" s="13" t="s">
        <v>307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</row>
    <row r="29" spans="1:12" x14ac:dyDescent="0.25">
      <c r="A29" s="13" t="s">
        <v>241</v>
      </c>
      <c r="B29" s="13" t="s">
        <v>308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spans="1:12" x14ac:dyDescent="0.25">
      <c r="A30" s="13" t="s">
        <v>243</v>
      </c>
      <c r="B30" s="13" t="s">
        <v>331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</row>
    <row r="31" spans="1:12" x14ac:dyDescent="0.25">
      <c r="A31" s="13" t="s">
        <v>243</v>
      </c>
      <c r="B31" s="13" t="s">
        <v>306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1:12" x14ac:dyDescent="0.25">
      <c r="A32" s="13" t="s">
        <v>243</v>
      </c>
      <c r="B32" s="13" t="s">
        <v>307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</row>
    <row r="33" spans="1:12" x14ac:dyDescent="0.25">
      <c r="A33" s="13" t="s">
        <v>243</v>
      </c>
      <c r="B33" s="13" t="s">
        <v>308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</row>
    <row r="34" spans="1:12" x14ac:dyDescent="0.25">
      <c r="A34" s="13" t="s">
        <v>245</v>
      </c>
      <c r="B34" s="13" t="s">
        <v>331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spans="1:12" x14ac:dyDescent="0.25">
      <c r="A35" s="13" t="s">
        <v>245</v>
      </c>
      <c r="B35" s="13" t="s">
        <v>306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</row>
    <row r="36" spans="1:12" x14ac:dyDescent="0.25">
      <c r="A36" s="13" t="s">
        <v>245</v>
      </c>
      <c r="B36" s="13" t="s">
        <v>307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</row>
    <row r="37" spans="1:12" x14ac:dyDescent="0.25">
      <c r="A37" s="13" t="s">
        <v>245</v>
      </c>
      <c r="B37" s="13" t="s">
        <v>308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</row>
    <row r="38" spans="1:12" x14ac:dyDescent="0.25">
      <c r="A38" s="13" t="s">
        <v>247</v>
      </c>
      <c r="B38" s="13" t="s">
        <v>331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spans="1:12" x14ac:dyDescent="0.25">
      <c r="A39" s="13" t="s">
        <v>247</v>
      </c>
      <c r="B39" s="13" t="s">
        <v>306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</row>
    <row r="40" spans="1:12" x14ac:dyDescent="0.25">
      <c r="A40" s="13" t="s">
        <v>247</v>
      </c>
      <c r="B40" s="13" t="s">
        <v>307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spans="1:12" x14ac:dyDescent="0.25">
      <c r="A41" s="13" t="s">
        <v>247</v>
      </c>
      <c r="B41" s="13" t="s">
        <v>308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</row>
    <row r="42" spans="1:12" x14ac:dyDescent="0.25">
      <c r="A42" s="13" t="s">
        <v>249</v>
      </c>
      <c r="B42" s="13" t="s">
        <v>331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spans="1:12" x14ac:dyDescent="0.25">
      <c r="A43" s="13" t="s">
        <v>249</v>
      </c>
      <c r="B43" s="13" t="s">
        <v>306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</row>
    <row r="44" spans="1:12" x14ac:dyDescent="0.25">
      <c r="A44" s="13" t="s">
        <v>249</v>
      </c>
      <c r="B44" s="13" t="s">
        <v>307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</row>
    <row r="45" spans="1:12" x14ac:dyDescent="0.25">
      <c r="A45" s="13" t="s">
        <v>249</v>
      </c>
      <c r="B45" s="13" t="s">
        <v>308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</row>
    <row r="46" spans="1:12" x14ac:dyDescent="0.25">
      <c r="A46" s="13" t="s">
        <v>251</v>
      </c>
      <c r="B46" s="13" t="s">
        <v>331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</row>
    <row r="47" spans="1:12" x14ac:dyDescent="0.25">
      <c r="A47" s="13" t="s">
        <v>251</v>
      </c>
      <c r="B47" s="13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</row>
    <row r="48" spans="1:12" x14ac:dyDescent="0.25">
      <c r="A48" s="13" t="s">
        <v>251</v>
      </c>
      <c r="B48" s="13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</row>
    <row r="49" spans="1:12" x14ac:dyDescent="0.25">
      <c r="A49" s="13" t="s">
        <v>251</v>
      </c>
      <c r="B49" s="13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</row>
    <row r="50" spans="1:12" x14ac:dyDescent="0.25">
      <c r="A50" s="13" t="s">
        <v>253</v>
      </c>
      <c r="B50" s="13" t="s">
        <v>331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spans="1:12" x14ac:dyDescent="0.25">
      <c r="A51" s="13" t="s">
        <v>253</v>
      </c>
      <c r="B51" s="13" t="s">
        <v>306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</row>
    <row r="52" spans="1:12" x14ac:dyDescent="0.25">
      <c r="A52" s="13" t="s">
        <v>253</v>
      </c>
      <c r="B52" s="13" t="s">
        <v>307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</row>
    <row r="53" spans="1:12" x14ac:dyDescent="0.25">
      <c r="A53" s="13" t="s">
        <v>253</v>
      </c>
      <c r="B53" s="13" t="s">
        <v>308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</row>
    <row r="54" spans="1:12" x14ac:dyDescent="0.25">
      <c r="A54" s="13" t="s">
        <v>255</v>
      </c>
      <c r="B54" s="13" t="s">
        <v>331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</row>
    <row r="55" spans="1:12" x14ac:dyDescent="0.25">
      <c r="A55" s="13" t="s">
        <v>255</v>
      </c>
      <c r="B55" s="13" t="s">
        <v>306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</row>
    <row r="56" spans="1:12" x14ac:dyDescent="0.25">
      <c r="A56" s="13" t="s">
        <v>255</v>
      </c>
      <c r="B56" s="13" t="s">
        <v>307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</row>
    <row r="57" spans="1:12" x14ac:dyDescent="0.25">
      <c r="A57" s="13" t="s">
        <v>255</v>
      </c>
      <c r="B57" s="13" t="s">
        <v>308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</row>
    <row r="58" spans="1:12" x14ac:dyDescent="0.25">
      <c r="A58" s="13" t="s">
        <v>257</v>
      </c>
      <c r="B58" s="13" t="s">
        <v>331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</row>
    <row r="59" spans="1:12" x14ac:dyDescent="0.25">
      <c r="A59" s="13" t="s">
        <v>257</v>
      </c>
      <c r="B59" s="13" t="s">
        <v>306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</row>
    <row r="60" spans="1:12" x14ac:dyDescent="0.25">
      <c r="A60" s="13" t="s">
        <v>257</v>
      </c>
      <c r="B60" s="13" t="s">
        <v>307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</row>
    <row r="61" spans="1:12" x14ac:dyDescent="0.25">
      <c r="A61" s="13" t="s">
        <v>257</v>
      </c>
      <c r="B61" s="13" t="s">
        <v>308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</row>
    <row r="62" spans="1:12" x14ac:dyDescent="0.25">
      <c r="A62" s="13" t="s">
        <v>259</v>
      </c>
      <c r="B62" s="13" t="s">
        <v>331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</row>
    <row r="63" spans="1:12" x14ac:dyDescent="0.25">
      <c r="A63" s="13" t="s">
        <v>259</v>
      </c>
      <c r="B63" s="13" t="s">
        <v>306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</row>
    <row r="64" spans="1:12" x14ac:dyDescent="0.25">
      <c r="A64" s="13" t="s">
        <v>259</v>
      </c>
      <c r="B64" s="13" t="s">
        <v>307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</row>
    <row r="65" spans="1:12" x14ac:dyDescent="0.25">
      <c r="A65" s="13" t="s">
        <v>259</v>
      </c>
      <c r="B65" s="13" t="s">
        <v>308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</row>
    <row r="66" spans="1:12" x14ac:dyDescent="0.25">
      <c r="A66" s="13" t="s">
        <v>261</v>
      </c>
      <c r="B66" s="13" t="s">
        <v>331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</row>
    <row r="67" spans="1:12" x14ac:dyDescent="0.25">
      <c r="A67" s="13" t="s">
        <v>261</v>
      </c>
      <c r="B67" s="13" t="s">
        <v>306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</row>
    <row r="68" spans="1:12" x14ac:dyDescent="0.25">
      <c r="A68" s="13" t="s">
        <v>261</v>
      </c>
      <c r="B68" s="13" t="s">
        <v>307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</row>
    <row r="69" spans="1:12" x14ac:dyDescent="0.25">
      <c r="A69" s="13" t="s">
        <v>261</v>
      </c>
      <c r="B69" s="13" t="s">
        <v>308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</row>
    <row r="70" spans="1:12" x14ac:dyDescent="0.25">
      <c r="A70" s="13" t="s">
        <v>263</v>
      </c>
      <c r="B70" s="13" t="s">
        <v>331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</row>
    <row r="71" spans="1:12" x14ac:dyDescent="0.25">
      <c r="A71" s="13" t="s">
        <v>263</v>
      </c>
      <c r="B71" s="13" t="s">
        <v>306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</row>
    <row r="72" spans="1:12" x14ac:dyDescent="0.25">
      <c r="A72" s="13" t="s">
        <v>263</v>
      </c>
      <c r="B72" s="13" t="s">
        <v>307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</row>
    <row r="73" spans="1:12" x14ac:dyDescent="0.25">
      <c r="A73" s="13" t="s">
        <v>263</v>
      </c>
      <c r="B73" s="13" t="s">
        <v>308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</row>
    <row r="74" spans="1:12" x14ac:dyDescent="0.25">
      <c r="A74" s="13" t="s">
        <v>265</v>
      </c>
      <c r="B74" s="13" t="s">
        <v>331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</row>
    <row r="75" spans="1:12" x14ac:dyDescent="0.25">
      <c r="A75" s="13" t="s">
        <v>265</v>
      </c>
      <c r="B75" s="13" t="s">
        <v>306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</row>
    <row r="76" spans="1:12" x14ac:dyDescent="0.25">
      <c r="A76" s="13" t="s">
        <v>265</v>
      </c>
      <c r="B76" s="13" t="s">
        <v>307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</row>
    <row r="77" spans="1:12" x14ac:dyDescent="0.25">
      <c r="A77" s="13" t="s">
        <v>265</v>
      </c>
      <c r="B77" s="13" t="s">
        <v>308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</row>
    <row r="78" spans="1:12" x14ac:dyDescent="0.25">
      <c r="A78" s="13" t="s">
        <v>267</v>
      </c>
      <c r="B78" s="13" t="s">
        <v>331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</row>
    <row r="79" spans="1:12" x14ac:dyDescent="0.25">
      <c r="A79" s="13" t="s">
        <v>267</v>
      </c>
      <c r="B79" s="13" t="s">
        <v>306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</row>
    <row r="80" spans="1:12" x14ac:dyDescent="0.25">
      <c r="A80" s="13" t="s">
        <v>267</v>
      </c>
      <c r="B80" s="13" t="s">
        <v>307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</row>
    <row r="81" spans="1:12" x14ac:dyDescent="0.25">
      <c r="A81" s="13" t="s">
        <v>267</v>
      </c>
      <c r="B81" s="13" t="s">
        <v>308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</row>
    <row r="82" spans="1:12" x14ac:dyDescent="0.25">
      <c r="A82" s="13" t="s">
        <v>269</v>
      </c>
      <c r="B82" s="13" t="s">
        <v>331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</row>
    <row r="83" spans="1:12" x14ac:dyDescent="0.25">
      <c r="A83" s="13" t="s">
        <v>269</v>
      </c>
      <c r="B83" s="13" t="s">
        <v>306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</row>
    <row r="84" spans="1:12" x14ac:dyDescent="0.25">
      <c r="A84" s="13" t="s">
        <v>269</v>
      </c>
      <c r="B84" s="13" t="s">
        <v>307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</row>
    <row r="85" spans="1:12" x14ac:dyDescent="0.25">
      <c r="A85" s="13" t="s">
        <v>269</v>
      </c>
      <c r="B85" s="13" t="s">
        <v>308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</row>
    <row r="88" spans="1:12" x14ac:dyDescent="0.25">
      <c r="A88" s="17" t="s">
        <v>363</v>
      </c>
    </row>
    <row r="89" spans="1:12" x14ac:dyDescent="0.25">
      <c r="A89" s="36" t="s">
        <v>364</v>
      </c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</row>
    <row r="90" spans="1:12" x14ac:dyDescent="0.25">
      <c r="A90" s="36" t="s">
        <v>365</v>
      </c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</row>
    <row r="91" spans="1:12" x14ac:dyDescent="0.25">
      <c r="A91" s="36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</row>
    <row r="92" spans="1:12" x14ac:dyDescent="0.25">
      <c r="A92" s="36" t="s">
        <v>366</v>
      </c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</row>
    <row r="93" spans="1:12" x14ac:dyDescent="0.25">
      <c r="A93" s="36" t="s">
        <v>367</v>
      </c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</row>
    <row r="94" spans="1:12" x14ac:dyDescent="0.25">
      <c r="A94" s="36" t="s">
        <v>368</v>
      </c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</row>
    <row r="95" spans="1:12" x14ac:dyDescent="0.25">
      <c r="A95" s="36" t="s">
        <v>369</v>
      </c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</row>
    <row r="96" spans="1:12" x14ac:dyDescent="0.25">
      <c r="A96" s="36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</row>
    <row r="97" spans="1:12" x14ac:dyDescent="0.25">
      <c r="A97" s="36" t="s">
        <v>370</v>
      </c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</row>
    <row r="98" spans="1:12" x14ac:dyDescent="0.25">
      <c r="A98" s="36" t="s">
        <v>371</v>
      </c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</row>
    <row r="99" spans="1:12" x14ac:dyDescent="0.25">
      <c r="A99" s="36" t="s">
        <v>372</v>
      </c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</row>
    <row r="100" spans="1:12" x14ac:dyDescent="0.25">
      <c r="A100" s="36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</row>
    <row r="101" spans="1:12" x14ac:dyDescent="0.25">
      <c r="A101" s="36" t="s">
        <v>314</v>
      </c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</row>
    <row r="102" spans="1:12" x14ac:dyDescent="0.25">
      <c r="A102" s="36" t="s">
        <v>373</v>
      </c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</row>
    <row r="103" spans="1:12" x14ac:dyDescent="0.25">
      <c r="A103" s="36" t="s">
        <v>374</v>
      </c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</row>
    <row r="104" spans="1:12" x14ac:dyDescent="0.25">
      <c r="A104" s="36" t="s">
        <v>375</v>
      </c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</row>
    <row r="105" spans="1:12" x14ac:dyDescent="0.25">
      <c r="A105" s="36" t="s">
        <v>376</v>
      </c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</row>
  </sheetData>
  <mergeCells count="26">
    <mergeCell ref="A1:L1"/>
    <mergeCell ref="A94:L94"/>
    <mergeCell ref="A103:L103"/>
    <mergeCell ref="A6:L6"/>
    <mergeCell ref="H8:L8"/>
    <mergeCell ref="A105:L105"/>
    <mergeCell ref="A95:L95"/>
    <mergeCell ref="A101:L101"/>
    <mergeCell ref="A2:L2"/>
    <mergeCell ref="A104:L104"/>
    <mergeCell ref="A5:L5"/>
    <mergeCell ref="A97:L97"/>
    <mergeCell ref="A91:L91"/>
    <mergeCell ref="A4:L4"/>
    <mergeCell ref="A100:L100"/>
    <mergeCell ref="A96:L96"/>
    <mergeCell ref="A93:L93"/>
    <mergeCell ref="A102:L102"/>
    <mergeCell ref="C8:G8"/>
    <mergeCell ref="A92:L92"/>
    <mergeCell ref="A98:L98"/>
    <mergeCell ref="A7:L7"/>
    <mergeCell ref="A90:L90"/>
    <mergeCell ref="A99:L99"/>
    <mergeCell ref="A89:L89"/>
    <mergeCell ref="A3:L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101"/>
  <sheetViews>
    <sheetView workbookViewId="0">
      <pane xSplit="5" ySplit="1" topLeftCell="F2" activePane="bottomRight" state="frozen"/>
      <selection pane="topRight"/>
      <selection pane="bottomLeft"/>
      <selection pane="bottomRight" activeCell="A2" sqref="A2:AG53"/>
    </sheetView>
  </sheetViews>
  <sheetFormatPr defaultRowHeight="15" x14ac:dyDescent="0.25"/>
  <cols>
    <col min="1" max="1" width="15" customWidth="1"/>
    <col min="2" max="2" width="12" customWidth="1"/>
    <col min="3" max="3" width="40" customWidth="1"/>
    <col min="4" max="4" width="20" customWidth="1"/>
    <col min="5" max="5" width="30" customWidth="1"/>
    <col min="6" max="33" width="10" customWidth="1"/>
  </cols>
  <sheetData>
    <row r="1" spans="1:33" x14ac:dyDescent="0.25">
      <c r="A1" s="23" t="s">
        <v>277</v>
      </c>
      <c r="B1" s="23" t="s">
        <v>276</v>
      </c>
      <c r="C1" s="23" t="s">
        <v>377</v>
      </c>
      <c r="D1" s="23" t="s">
        <v>378</v>
      </c>
      <c r="E1" s="23" t="s">
        <v>379</v>
      </c>
      <c r="F1" s="23" t="s">
        <v>278</v>
      </c>
      <c r="G1" s="23" t="s">
        <v>279</v>
      </c>
      <c r="H1" s="23" t="s">
        <v>280</v>
      </c>
      <c r="I1" s="23" t="s">
        <v>281</v>
      </c>
      <c r="J1" s="23" t="s">
        <v>282</v>
      </c>
      <c r="K1" s="23" t="s">
        <v>283</v>
      </c>
      <c r="L1" s="23" t="s">
        <v>284</v>
      </c>
      <c r="M1" s="23" t="s">
        <v>285</v>
      </c>
      <c r="N1" s="23" t="s">
        <v>286</v>
      </c>
      <c r="O1" s="23" t="s">
        <v>287</v>
      </c>
      <c r="P1" s="23" t="s">
        <v>288</v>
      </c>
      <c r="Q1" s="23" t="s">
        <v>289</v>
      </c>
      <c r="R1" s="23" t="s">
        <v>290</v>
      </c>
      <c r="S1" s="23" t="s">
        <v>291</v>
      </c>
      <c r="T1" s="23" t="s">
        <v>292</v>
      </c>
      <c r="U1" s="23" t="s">
        <v>293</v>
      </c>
      <c r="V1" s="23" t="s">
        <v>294</v>
      </c>
      <c r="W1" s="23" t="s">
        <v>295</v>
      </c>
      <c r="X1" s="23" t="s">
        <v>296</v>
      </c>
      <c r="Y1" s="23" t="s">
        <v>297</v>
      </c>
      <c r="Z1" s="23" t="s">
        <v>298</v>
      </c>
      <c r="AA1" s="23" t="s">
        <v>299</v>
      </c>
      <c r="AB1" s="23" t="s">
        <v>300</v>
      </c>
      <c r="AC1" s="23" t="s">
        <v>301</v>
      </c>
      <c r="AD1" s="23" t="s">
        <v>302</v>
      </c>
      <c r="AE1" s="23" t="s">
        <v>303</v>
      </c>
      <c r="AF1" s="23" t="s">
        <v>304</v>
      </c>
      <c r="AG1" s="23" t="s">
        <v>305</v>
      </c>
    </row>
    <row r="2" spans="1:33" x14ac:dyDescent="0.25">
      <c r="A2" t="s">
        <v>523</v>
      </c>
      <c r="B2" t="s">
        <v>233</v>
      </c>
      <c r="C2" t="s">
        <v>885</v>
      </c>
      <c r="D2" t="s">
        <v>387</v>
      </c>
      <c r="E2" t="s">
        <v>1358</v>
      </c>
      <c r="F2">
        <v>0.28098299999999998</v>
      </c>
      <c r="G2">
        <v>0.71292699999999998</v>
      </c>
      <c r="H2">
        <v>0.19878299999999999</v>
      </c>
      <c r="I2">
        <v>0.19878299999999999</v>
      </c>
      <c r="J2">
        <v>0.19878299999999999</v>
      </c>
      <c r="K2">
        <v>0.19878299999999999</v>
      </c>
      <c r="L2">
        <v>0.19878299999999999</v>
      </c>
      <c r="M2">
        <v>0.19878299999999999</v>
      </c>
      <c r="N2">
        <v>0.19878299999999999</v>
      </c>
      <c r="O2">
        <v>0.19878299999999999</v>
      </c>
      <c r="P2">
        <v>0.19878299999999999</v>
      </c>
      <c r="Q2">
        <v>0.19878299999999999</v>
      </c>
      <c r="R2">
        <v>0.19878299999999999</v>
      </c>
      <c r="S2">
        <v>0.19878299999999999</v>
      </c>
      <c r="T2">
        <v>0.19878299999999999</v>
      </c>
      <c r="U2">
        <v>0.19878299999999999</v>
      </c>
      <c r="V2">
        <v>0.19878299999999999</v>
      </c>
      <c r="W2">
        <v>0.19878299999999999</v>
      </c>
      <c r="X2">
        <v>0.19878299999999999</v>
      </c>
      <c r="Y2">
        <v>0.19878299999999999</v>
      </c>
      <c r="Z2">
        <v>0.19878299999999999</v>
      </c>
      <c r="AA2">
        <v>0.19878299999999999</v>
      </c>
      <c r="AB2">
        <v>0.19878299999999999</v>
      </c>
      <c r="AC2">
        <v>0.19878299999999999</v>
      </c>
      <c r="AD2">
        <v>0.19878299999999999</v>
      </c>
      <c r="AE2">
        <v>0.19878299999999999</v>
      </c>
      <c r="AF2">
        <v>0.19878299999999999</v>
      </c>
      <c r="AG2">
        <v>0.19878299999999999</v>
      </c>
    </row>
    <row r="3" spans="1:33" x14ac:dyDescent="0.25">
      <c r="A3" t="s">
        <v>523</v>
      </c>
      <c r="B3" t="s">
        <v>233</v>
      </c>
      <c r="C3" t="s">
        <v>886</v>
      </c>
      <c r="D3" t="s">
        <v>393</v>
      </c>
      <c r="E3" t="s">
        <v>1358</v>
      </c>
      <c r="F3">
        <v>15.289014999999999</v>
      </c>
      <c r="G3">
        <v>13.109562</v>
      </c>
      <c r="H3">
        <v>13.288786999999999</v>
      </c>
      <c r="I3">
        <v>13.288786999999999</v>
      </c>
      <c r="J3">
        <v>13.288786999999999</v>
      </c>
      <c r="K3">
        <v>13.288786999999999</v>
      </c>
      <c r="L3">
        <v>13.288786999999999</v>
      </c>
      <c r="M3">
        <v>13.288786999999999</v>
      </c>
      <c r="N3">
        <v>13.288786999999999</v>
      </c>
      <c r="O3">
        <v>13.288786999999999</v>
      </c>
      <c r="P3">
        <v>13.288786999999999</v>
      </c>
      <c r="Q3">
        <v>13.288786999999999</v>
      </c>
      <c r="R3">
        <v>13.288786999999999</v>
      </c>
      <c r="S3">
        <v>13.288786999999999</v>
      </c>
      <c r="T3">
        <v>13.288786999999999</v>
      </c>
      <c r="U3">
        <v>13.288786999999999</v>
      </c>
      <c r="V3">
        <v>13.288786999999999</v>
      </c>
      <c r="W3">
        <v>13.288786999999999</v>
      </c>
      <c r="X3">
        <v>13.288786999999999</v>
      </c>
      <c r="Y3">
        <v>13.288786999999999</v>
      </c>
      <c r="Z3">
        <v>13.288786999999999</v>
      </c>
      <c r="AA3">
        <v>13.288786999999999</v>
      </c>
      <c r="AB3">
        <v>13.288786999999999</v>
      </c>
      <c r="AC3">
        <v>13.288786999999999</v>
      </c>
      <c r="AD3">
        <v>13.288786999999999</v>
      </c>
      <c r="AE3">
        <v>13.288786999999999</v>
      </c>
      <c r="AF3">
        <v>13.288786999999999</v>
      </c>
      <c r="AG3">
        <v>13.288786999999999</v>
      </c>
    </row>
    <row r="4" spans="1:33" x14ac:dyDescent="0.25">
      <c r="A4" t="s">
        <v>523</v>
      </c>
      <c r="B4" t="s">
        <v>233</v>
      </c>
      <c r="C4" t="s">
        <v>887</v>
      </c>
      <c r="D4" t="s">
        <v>398</v>
      </c>
      <c r="E4" t="s">
        <v>1358</v>
      </c>
      <c r="F4">
        <v>0.21676799999999999</v>
      </c>
      <c r="G4">
        <v>0</v>
      </c>
      <c r="H4">
        <v>5.0598999999999998E-2</v>
      </c>
      <c r="I4">
        <v>5.0598999999999998E-2</v>
      </c>
      <c r="J4">
        <v>5.0598999999999998E-2</v>
      </c>
      <c r="K4">
        <v>5.0598999999999998E-2</v>
      </c>
      <c r="L4">
        <v>5.0598999999999998E-2</v>
      </c>
      <c r="M4">
        <v>5.0598999999999998E-2</v>
      </c>
      <c r="N4">
        <v>5.0598999999999998E-2</v>
      </c>
      <c r="O4">
        <v>5.0598999999999998E-2</v>
      </c>
      <c r="P4">
        <v>5.0598999999999998E-2</v>
      </c>
      <c r="Q4">
        <v>5.0598999999999998E-2</v>
      </c>
      <c r="R4">
        <v>5.0598999999999998E-2</v>
      </c>
      <c r="S4">
        <v>5.0598999999999998E-2</v>
      </c>
      <c r="T4">
        <v>5.0598999999999998E-2</v>
      </c>
      <c r="U4">
        <v>5.0598999999999998E-2</v>
      </c>
      <c r="V4">
        <v>5.0598999999999998E-2</v>
      </c>
      <c r="W4">
        <v>5.0598999999999998E-2</v>
      </c>
      <c r="X4">
        <v>5.0598999999999998E-2</v>
      </c>
      <c r="Y4">
        <v>5.0598999999999998E-2</v>
      </c>
      <c r="Z4">
        <v>5.0598999999999998E-2</v>
      </c>
      <c r="AA4">
        <v>5.0598999999999998E-2</v>
      </c>
      <c r="AB4">
        <v>5.0598999999999998E-2</v>
      </c>
      <c r="AC4">
        <v>5.0598999999999998E-2</v>
      </c>
      <c r="AD4">
        <v>5.0598999999999998E-2</v>
      </c>
      <c r="AE4">
        <v>5.0598999999999998E-2</v>
      </c>
      <c r="AF4">
        <v>5.0598999999999998E-2</v>
      </c>
      <c r="AG4">
        <v>5.0598999999999998E-2</v>
      </c>
    </row>
    <row r="5" spans="1:33" x14ac:dyDescent="0.25">
      <c r="A5" t="s">
        <v>523</v>
      </c>
      <c r="B5" t="s">
        <v>233</v>
      </c>
      <c r="C5" t="s">
        <v>888</v>
      </c>
      <c r="D5" t="s">
        <v>403</v>
      </c>
      <c r="E5" t="s">
        <v>1358</v>
      </c>
      <c r="F5">
        <v>42.935091999999997</v>
      </c>
      <c r="G5">
        <v>25.679531999999998</v>
      </c>
      <c r="H5">
        <v>31.077881999999999</v>
      </c>
      <c r="I5">
        <v>31.077881999999999</v>
      </c>
      <c r="J5">
        <v>31.077881999999999</v>
      </c>
      <c r="K5">
        <v>31.077881999999999</v>
      </c>
      <c r="L5">
        <v>31.077881999999999</v>
      </c>
      <c r="M5">
        <v>31.077881999999999</v>
      </c>
      <c r="N5">
        <v>31.077881999999999</v>
      </c>
      <c r="O5">
        <v>31.077881999999999</v>
      </c>
      <c r="P5">
        <v>31.077881999999999</v>
      </c>
      <c r="Q5">
        <v>31.077881999999999</v>
      </c>
      <c r="R5">
        <v>31.077881999999999</v>
      </c>
      <c r="S5">
        <v>31.077881999999999</v>
      </c>
      <c r="T5">
        <v>31.077881999999999</v>
      </c>
      <c r="U5">
        <v>31.077881999999999</v>
      </c>
      <c r="V5">
        <v>31.077881999999999</v>
      </c>
      <c r="W5">
        <v>31.077881999999999</v>
      </c>
      <c r="X5">
        <v>31.077881999999999</v>
      </c>
      <c r="Y5">
        <v>31.077881999999999</v>
      </c>
      <c r="Z5">
        <v>31.077881999999999</v>
      </c>
      <c r="AA5">
        <v>31.077881999999999</v>
      </c>
      <c r="AB5">
        <v>31.077881999999999</v>
      </c>
      <c r="AC5">
        <v>31.077881999999999</v>
      </c>
      <c r="AD5">
        <v>31.077881999999999</v>
      </c>
      <c r="AE5">
        <v>31.077881999999999</v>
      </c>
      <c r="AF5">
        <v>31.077881999999999</v>
      </c>
      <c r="AG5">
        <v>31.077881999999999</v>
      </c>
    </row>
    <row r="6" spans="1:33" x14ac:dyDescent="0.25">
      <c r="A6" t="s">
        <v>523</v>
      </c>
      <c r="B6" t="s">
        <v>233</v>
      </c>
      <c r="C6" t="s">
        <v>889</v>
      </c>
      <c r="D6" t="s">
        <v>408</v>
      </c>
      <c r="E6" t="s">
        <v>1358</v>
      </c>
      <c r="F6">
        <v>0</v>
      </c>
      <c r="G6">
        <v>2.47356</v>
      </c>
      <c r="H6">
        <v>1.2456989999999999</v>
      </c>
      <c r="I6">
        <v>1.2456989999999999</v>
      </c>
      <c r="J6">
        <v>1.2456989999999999</v>
      </c>
      <c r="K6">
        <v>1.2456989999999999</v>
      </c>
      <c r="L6">
        <v>1.2456989999999999</v>
      </c>
      <c r="M6">
        <v>1.2456989999999999</v>
      </c>
      <c r="N6">
        <v>1.2456989999999999</v>
      </c>
      <c r="O6">
        <v>1.2456989999999999</v>
      </c>
      <c r="P6">
        <v>1.2456989999999999</v>
      </c>
      <c r="Q6">
        <v>1.2456989999999999</v>
      </c>
      <c r="R6">
        <v>1.2456989999999999</v>
      </c>
      <c r="S6">
        <v>1.2456989999999999</v>
      </c>
      <c r="T6">
        <v>1.2456989999999999</v>
      </c>
      <c r="U6">
        <v>1.2456989999999999</v>
      </c>
      <c r="V6">
        <v>1.2456989999999999</v>
      </c>
      <c r="W6">
        <v>1.2456989999999999</v>
      </c>
      <c r="X6">
        <v>1.2456989999999999</v>
      </c>
      <c r="Y6">
        <v>1.2456989999999999</v>
      </c>
      <c r="Z6">
        <v>1.2456989999999999</v>
      </c>
      <c r="AA6">
        <v>1.2456989999999999</v>
      </c>
      <c r="AB6">
        <v>1.2456989999999999</v>
      </c>
      <c r="AC6">
        <v>1.2456989999999999</v>
      </c>
      <c r="AD6">
        <v>1.2456989999999999</v>
      </c>
      <c r="AE6">
        <v>1.2456989999999999</v>
      </c>
      <c r="AF6">
        <v>1.2456989999999999</v>
      </c>
      <c r="AG6">
        <v>1.2456989999999999</v>
      </c>
    </row>
    <row r="7" spans="1:33" x14ac:dyDescent="0.25">
      <c r="A7" t="s">
        <v>523</v>
      </c>
      <c r="B7" t="s">
        <v>235</v>
      </c>
      <c r="C7" t="s">
        <v>890</v>
      </c>
      <c r="D7" t="s">
        <v>413</v>
      </c>
      <c r="E7" t="s">
        <v>1358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 t="s">
        <v>523</v>
      </c>
      <c r="B8" t="s">
        <v>235</v>
      </c>
      <c r="C8" t="s">
        <v>891</v>
      </c>
      <c r="D8" t="s">
        <v>418</v>
      </c>
      <c r="E8" t="s">
        <v>1358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 t="s">
        <v>523</v>
      </c>
      <c r="B9" t="s">
        <v>235</v>
      </c>
      <c r="C9" t="s">
        <v>892</v>
      </c>
      <c r="D9" t="s">
        <v>428</v>
      </c>
      <c r="E9" t="s">
        <v>1358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t="s">
        <v>523</v>
      </c>
      <c r="B10" t="s">
        <v>235</v>
      </c>
      <c r="C10" t="s">
        <v>893</v>
      </c>
      <c r="D10" t="s">
        <v>423</v>
      </c>
      <c r="E10" t="s">
        <v>1358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t="s">
        <v>523</v>
      </c>
      <c r="B11" t="s">
        <v>237</v>
      </c>
      <c r="C11" t="s">
        <v>894</v>
      </c>
      <c r="D11" t="s">
        <v>433</v>
      </c>
      <c r="E11" t="s">
        <v>1358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x14ac:dyDescent="0.25">
      <c r="A12" t="s">
        <v>523</v>
      </c>
      <c r="B12" t="s">
        <v>237</v>
      </c>
      <c r="C12" t="s">
        <v>895</v>
      </c>
      <c r="D12" t="s">
        <v>443</v>
      </c>
      <c r="E12" t="s">
        <v>1358</v>
      </c>
      <c r="F12">
        <v>71.938405000000003</v>
      </c>
      <c r="G12">
        <v>34.795357000000003</v>
      </c>
      <c r="H12">
        <v>59.693173999999999</v>
      </c>
      <c r="I12">
        <v>59.693173999999999</v>
      </c>
      <c r="J12">
        <v>59.693173999999999</v>
      </c>
      <c r="K12">
        <v>59.693173999999999</v>
      </c>
      <c r="L12">
        <v>59.693173999999999</v>
      </c>
      <c r="M12">
        <v>59.693173999999999</v>
      </c>
      <c r="N12">
        <v>59.693173999999999</v>
      </c>
      <c r="O12">
        <v>59.693173999999999</v>
      </c>
      <c r="P12">
        <v>59.693173999999999</v>
      </c>
      <c r="Q12">
        <v>59.693173999999999</v>
      </c>
      <c r="R12">
        <v>59.693173999999999</v>
      </c>
      <c r="S12">
        <v>59.693173999999999</v>
      </c>
      <c r="T12">
        <v>59.693173999999999</v>
      </c>
      <c r="U12">
        <v>59.693173999999999</v>
      </c>
      <c r="V12">
        <v>59.693173999999999</v>
      </c>
      <c r="W12">
        <v>59.693173999999999</v>
      </c>
      <c r="X12">
        <v>59.693173999999999</v>
      </c>
      <c r="Y12">
        <v>59.693173999999999</v>
      </c>
      <c r="Z12">
        <v>59.693173999999999</v>
      </c>
      <c r="AA12">
        <v>59.693173999999999</v>
      </c>
      <c r="AB12">
        <v>59.693173999999999</v>
      </c>
      <c r="AC12">
        <v>59.693173999999999</v>
      </c>
      <c r="AD12">
        <v>59.693173999999999</v>
      </c>
      <c r="AE12">
        <v>59.693173999999999</v>
      </c>
      <c r="AF12">
        <v>59.693173999999999</v>
      </c>
      <c r="AG12">
        <v>59.693173999999999</v>
      </c>
    </row>
    <row r="13" spans="1:33" x14ac:dyDescent="0.25">
      <c r="A13" t="s">
        <v>523</v>
      </c>
      <c r="B13" t="s">
        <v>237</v>
      </c>
      <c r="C13" t="s">
        <v>896</v>
      </c>
      <c r="D13" t="s">
        <v>438</v>
      </c>
      <c r="E13" t="s">
        <v>1358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x14ac:dyDescent="0.25">
      <c r="A14" t="s">
        <v>523</v>
      </c>
      <c r="B14" t="s">
        <v>237</v>
      </c>
      <c r="C14" t="s">
        <v>897</v>
      </c>
      <c r="D14" t="s">
        <v>448</v>
      </c>
      <c r="E14" t="s">
        <v>1358</v>
      </c>
      <c r="F14">
        <v>6.2070930000000004</v>
      </c>
      <c r="G14">
        <v>5.2149710000000002</v>
      </c>
      <c r="H14">
        <v>6.1157719999999998</v>
      </c>
      <c r="I14">
        <v>6.1157719999999998</v>
      </c>
      <c r="J14">
        <v>6.1157719999999998</v>
      </c>
      <c r="K14">
        <v>6.1157719999999998</v>
      </c>
      <c r="L14">
        <v>6.1157719999999998</v>
      </c>
      <c r="M14">
        <v>6.1157719999999998</v>
      </c>
      <c r="N14">
        <v>6.1157719999999998</v>
      </c>
      <c r="O14">
        <v>6.1157719999999998</v>
      </c>
      <c r="P14">
        <v>6.1157719999999998</v>
      </c>
      <c r="Q14">
        <v>6.1157719999999998</v>
      </c>
      <c r="R14">
        <v>6.1157719999999998</v>
      </c>
      <c r="S14">
        <v>6.1157719999999998</v>
      </c>
      <c r="T14">
        <v>6.1157719999999998</v>
      </c>
      <c r="U14">
        <v>6.1157719999999998</v>
      </c>
      <c r="V14">
        <v>6.1157719999999998</v>
      </c>
      <c r="W14">
        <v>6.1157719999999998</v>
      </c>
      <c r="X14">
        <v>6.1157719999999998</v>
      </c>
      <c r="Y14">
        <v>6.1157719999999998</v>
      </c>
      <c r="Z14">
        <v>6.1157719999999998</v>
      </c>
      <c r="AA14">
        <v>6.1157719999999998</v>
      </c>
      <c r="AB14">
        <v>6.1157719999999998</v>
      </c>
      <c r="AC14">
        <v>6.1157719999999998</v>
      </c>
      <c r="AD14">
        <v>6.1157719999999998</v>
      </c>
      <c r="AE14">
        <v>6.1157719999999998</v>
      </c>
      <c r="AF14">
        <v>6.1157719999999998</v>
      </c>
      <c r="AG14">
        <v>6.1157719999999998</v>
      </c>
    </row>
    <row r="15" spans="1:33" x14ac:dyDescent="0.25">
      <c r="A15" t="s">
        <v>523</v>
      </c>
      <c r="B15" t="s">
        <v>241</v>
      </c>
      <c r="C15" t="s">
        <v>898</v>
      </c>
      <c r="D15" t="s">
        <v>453</v>
      </c>
      <c r="E15" t="s">
        <v>1358</v>
      </c>
      <c r="F15">
        <v>0</v>
      </c>
      <c r="G15">
        <v>0</v>
      </c>
      <c r="H15">
        <v>7.5199999999999996E-4</v>
      </c>
      <c r="I15">
        <v>7.5199999999999996E-4</v>
      </c>
      <c r="J15">
        <v>7.5199999999999996E-4</v>
      </c>
      <c r="K15">
        <v>7.5199999999999996E-4</v>
      </c>
      <c r="L15">
        <v>7.5199999999999996E-4</v>
      </c>
      <c r="M15">
        <v>7.5199999999999996E-4</v>
      </c>
      <c r="N15">
        <v>7.5199999999999996E-4</v>
      </c>
      <c r="O15">
        <v>7.5199999999999996E-4</v>
      </c>
      <c r="P15">
        <v>7.5199999999999996E-4</v>
      </c>
      <c r="Q15">
        <v>7.5199999999999996E-4</v>
      </c>
      <c r="R15">
        <v>7.5199999999999996E-4</v>
      </c>
      <c r="S15">
        <v>7.5199999999999996E-4</v>
      </c>
      <c r="T15">
        <v>7.5199999999999996E-4</v>
      </c>
      <c r="U15">
        <v>7.5199999999999996E-4</v>
      </c>
      <c r="V15">
        <v>7.5199999999999996E-4</v>
      </c>
      <c r="W15">
        <v>7.5199999999999996E-4</v>
      </c>
      <c r="X15">
        <v>7.5199999999999996E-4</v>
      </c>
      <c r="Y15">
        <v>7.5199999999999996E-4</v>
      </c>
      <c r="Z15">
        <v>7.5199999999999996E-4</v>
      </c>
      <c r="AA15">
        <v>7.5199999999999996E-4</v>
      </c>
      <c r="AB15">
        <v>7.5199999999999996E-4</v>
      </c>
      <c r="AC15">
        <v>7.5199999999999996E-4</v>
      </c>
      <c r="AD15">
        <v>7.5199999999999996E-4</v>
      </c>
      <c r="AE15">
        <v>7.5199999999999996E-4</v>
      </c>
      <c r="AF15">
        <v>7.5199999999999996E-4</v>
      </c>
      <c r="AG15">
        <v>7.5199999999999996E-4</v>
      </c>
    </row>
    <row r="16" spans="1:33" x14ac:dyDescent="0.25">
      <c r="A16" t="s">
        <v>523</v>
      </c>
      <c r="B16" t="s">
        <v>243</v>
      </c>
      <c r="C16" t="s">
        <v>899</v>
      </c>
      <c r="D16" t="s">
        <v>458</v>
      </c>
      <c r="E16" t="s">
        <v>1358</v>
      </c>
      <c r="F16">
        <v>4.2179729999999998</v>
      </c>
      <c r="G16">
        <v>5.2227810000000003</v>
      </c>
      <c r="H16">
        <v>4.1810470000000004</v>
      </c>
      <c r="I16">
        <v>4.1810470000000004</v>
      </c>
      <c r="J16">
        <v>4.1810470000000004</v>
      </c>
      <c r="K16">
        <v>4.1810470000000004</v>
      </c>
      <c r="L16">
        <v>4.1810470000000004</v>
      </c>
      <c r="M16">
        <v>4.1810470000000004</v>
      </c>
      <c r="N16">
        <v>4.1810470000000004</v>
      </c>
      <c r="O16">
        <v>4.1810470000000004</v>
      </c>
      <c r="P16">
        <v>4.1810470000000004</v>
      </c>
      <c r="Q16">
        <v>4.1810470000000004</v>
      </c>
      <c r="R16">
        <v>4.1810470000000004</v>
      </c>
      <c r="S16">
        <v>4.1810470000000004</v>
      </c>
      <c r="T16">
        <v>4.1810470000000004</v>
      </c>
      <c r="U16">
        <v>4.1810470000000004</v>
      </c>
      <c r="V16">
        <v>4.1810470000000004</v>
      </c>
      <c r="W16">
        <v>4.1810470000000004</v>
      </c>
      <c r="X16">
        <v>4.1810470000000004</v>
      </c>
      <c r="Y16">
        <v>4.1810470000000004</v>
      </c>
      <c r="Z16">
        <v>4.1810470000000004</v>
      </c>
      <c r="AA16">
        <v>4.1810470000000004</v>
      </c>
      <c r="AB16">
        <v>4.1810470000000004</v>
      </c>
      <c r="AC16">
        <v>4.1810470000000004</v>
      </c>
      <c r="AD16">
        <v>4.1810470000000004</v>
      </c>
      <c r="AE16">
        <v>4.1810470000000004</v>
      </c>
      <c r="AF16">
        <v>4.1810470000000004</v>
      </c>
      <c r="AG16">
        <v>4.1810470000000004</v>
      </c>
    </row>
    <row r="17" spans="1:33" x14ac:dyDescent="0.25">
      <c r="A17" t="s">
        <v>523</v>
      </c>
      <c r="B17" t="s">
        <v>243</v>
      </c>
      <c r="C17" t="s">
        <v>900</v>
      </c>
      <c r="D17" t="s">
        <v>463</v>
      </c>
      <c r="E17" t="s">
        <v>1358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 x14ac:dyDescent="0.25">
      <c r="A18" t="s">
        <v>523</v>
      </c>
      <c r="B18" t="s">
        <v>243</v>
      </c>
      <c r="C18" t="s">
        <v>901</v>
      </c>
      <c r="D18" t="s">
        <v>468</v>
      </c>
      <c r="E18" t="s">
        <v>1358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25">
      <c r="A19" t="s">
        <v>523</v>
      </c>
      <c r="B19" t="s">
        <v>245</v>
      </c>
      <c r="C19" t="s">
        <v>902</v>
      </c>
      <c r="D19" t="s">
        <v>473</v>
      </c>
      <c r="E19" t="s">
        <v>1358</v>
      </c>
      <c r="F19">
        <v>3.0431119999999998</v>
      </c>
      <c r="G19">
        <v>6.2517760000000004</v>
      </c>
      <c r="H19">
        <v>4.978434</v>
      </c>
      <c r="I19">
        <v>4.978434</v>
      </c>
      <c r="J19">
        <v>4.978434</v>
      </c>
      <c r="K19">
        <v>4.978434</v>
      </c>
      <c r="L19">
        <v>4.978434</v>
      </c>
      <c r="M19">
        <v>4.978434</v>
      </c>
      <c r="N19">
        <v>4.978434</v>
      </c>
      <c r="O19">
        <v>4.978434</v>
      </c>
      <c r="P19">
        <v>4.978434</v>
      </c>
      <c r="Q19">
        <v>4.978434</v>
      </c>
      <c r="R19">
        <v>4.978434</v>
      </c>
      <c r="S19">
        <v>4.978434</v>
      </c>
      <c r="T19">
        <v>4.978434</v>
      </c>
      <c r="U19">
        <v>4.978434</v>
      </c>
      <c r="V19">
        <v>4.978434</v>
      </c>
      <c r="W19">
        <v>4.978434</v>
      </c>
      <c r="X19">
        <v>4.978434</v>
      </c>
      <c r="Y19">
        <v>4.978434</v>
      </c>
      <c r="Z19">
        <v>4.978434</v>
      </c>
      <c r="AA19">
        <v>4.978434</v>
      </c>
      <c r="AB19">
        <v>4.978434</v>
      </c>
      <c r="AC19">
        <v>4.978434</v>
      </c>
      <c r="AD19">
        <v>4.978434</v>
      </c>
      <c r="AE19">
        <v>4.978434</v>
      </c>
      <c r="AF19">
        <v>4.978434</v>
      </c>
      <c r="AG19">
        <v>4.978434</v>
      </c>
    </row>
    <row r="20" spans="1:33" x14ac:dyDescent="0.25">
      <c r="A20" t="s">
        <v>523</v>
      </c>
      <c r="B20" t="s">
        <v>245</v>
      </c>
      <c r="C20" t="s">
        <v>903</v>
      </c>
      <c r="D20" t="s">
        <v>478</v>
      </c>
      <c r="E20" t="s">
        <v>1358</v>
      </c>
      <c r="F20">
        <v>1.4976780000000001</v>
      </c>
      <c r="G20">
        <v>2.4510619999999999</v>
      </c>
      <c r="H20">
        <v>2.2070289999999999</v>
      </c>
      <c r="I20">
        <v>2.2070289999999999</v>
      </c>
      <c r="J20">
        <v>2.2070289999999999</v>
      </c>
      <c r="K20">
        <v>2.2070289999999999</v>
      </c>
      <c r="L20">
        <v>2.2070289999999999</v>
      </c>
      <c r="M20">
        <v>2.2070289999999999</v>
      </c>
      <c r="N20">
        <v>2.2070289999999999</v>
      </c>
      <c r="O20">
        <v>2.2070289999999999</v>
      </c>
      <c r="P20">
        <v>2.2070289999999999</v>
      </c>
      <c r="Q20">
        <v>2.2070289999999999</v>
      </c>
      <c r="R20">
        <v>2.2070289999999999</v>
      </c>
      <c r="S20">
        <v>2.2070289999999999</v>
      </c>
      <c r="T20">
        <v>2.2070289999999999</v>
      </c>
      <c r="U20">
        <v>2.2070289999999999</v>
      </c>
      <c r="V20">
        <v>2.2070289999999999</v>
      </c>
      <c r="W20">
        <v>2.2070289999999999</v>
      </c>
      <c r="X20">
        <v>2.2070289999999999</v>
      </c>
      <c r="Y20">
        <v>2.2070289999999999</v>
      </c>
      <c r="Z20">
        <v>2.2070289999999999</v>
      </c>
      <c r="AA20">
        <v>2.2070289999999999</v>
      </c>
      <c r="AB20">
        <v>2.2070289999999999</v>
      </c>
      <c r="AC20">
        <v>2.2070289999999999</v>
      </c>
      <c r="AD20">
        <v>2.2070289999999999</v>
      </c>
      <c r="AE20">
        <v>2.2070289999999999</v>
      </c>
      <c r="AF20">
        <v>2.2070289999999999</v>
      </c>
      <c r="AG20">
        <v>2.2070289999999999</v>
      </c>
    </row>
    <row r="21" spans="1:33" x14ac:dyDescent="0.25">
      <c r="A21" t="s">
        <v>523</v>
      </c>
      <c r="B21" t="s">
        <v>247</v>
      </c>
      <c r="C21" t="s">
        <v>904</v>
      </c>
      <c r="D21" t="s">
        <v>483</v>
      </c>
      <c r="E21" t="s">
        <v>1358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 x14ac:dyDescent="0.25">
      <c r="A22" t="s">
        <v>523</v>
      </c>
      <c r="B22" t="s">
        <v>249</v>
      </c>
      <c r="C22" t="s">
        <v>905</v>
      </c>
      <c r="D22" t="s">
        <v>488</v>
      </c>
      <c r="E22" t="s">
        <v>1358</v>
      </c>
      <c r="F22">
        <v>1.4879180000000001</v>
      </c>
      <c r="G22">
        <v>2.2529999999999998E-3</v>
      </c>
      <c r="H22">
        <v>0.366815</v>
      </c>
      <c r="I22">
        <v>0.366815</v>
      </c>
      <c r="J22">
        <v>0.366815</v>
      </c>
      <c r="K22">
        <v>0.366815</v>
      </c>
      <c r="L22">
        <v>0.366815</v>
      </c>
      <c r="M22">
        <v>0.366815</v>
      </c>
      <c r="N22">
        <v>0.366815</v>
      </c>
      <c r="O22">
        <v>0.366815</v>
      </c>
      <c r="P22">
        <v>0.366815</v>
      </c>
      <c r="Q22">
        <v>0.366815</v>
      </c>
      <c r="R22">
        <v>0.366815</v>
      </c>
      <c r="S22">
        <v>0.366815</v>
      </c>
      <c r="T22">
        <v>0.366815</v>
      </c>
      <c r="U22">
        <v>0.366815</v>
      </c>
      <c r="V22">
        <v>0.366815</v>
      </c>
      <c r="W22">
        <v>0.366815</v>
      </c>
      <c r="X22">
        <v>0.366815</v>
      </c>
      <c r="Y22">
        <v>0.366815</v>
      </c>
      <c r="Z22">
        <v>0.366815</v>
      </c>
      <c r="AA22">
        <v>0.366815</v>
      </c>
      <c r="AB22">
        <v>0.366815</v>
      </c>
      <c r="AC22">
        <v>0.366815</v>
      </c>
      <c r="AD22">
        <v>0.366815</v>
      </c>
      <c r="AE22">
        <v>0.366815</v>
      </c>
      <c r="AF22">
        <v>0.366815</v>
      </c>
      <c r="AG22">
        <v>0.366815</v>
      </c>
    </row>
    <row r="23" spans="1:33" x14ac:dyDescent="0.25">
      <c r="A23" t="s">
        <v>523</v>
      </c>
      <c r="B23" t="s">
        <v>251</v>
      </c>
      <c r="C23" t="s">
        <v>906</v>
      </c>
      <c r="D23" t="s">
        <v>503</v>
      </c>
      <c r="E23" t="s">
        <v>1358</v>
      </c>
      <c r="F23">
        <v>0.53491200000000005</v>
      </c>
      <c r="G23">
        <v>7.1929999999999997E-3</v>
      </c>
      <c r="H23">
        <v>0.88463700000000001</v>
      </c>
      <c r="I23">
        <v>0.88463700000000001</v>
      </c>
      <c r="J23">
        <v>0.88463700000000001</v>
      </c>
      <c r="K23">
        <v>0.88463700000000001</v>
      </c>
      <c r="L23">
        <v>0.88463700000000001</v>
      </c>
      <c r="M23">
        <v>0.88463700000000001</v>
      </c>
      <c r="N23">
        <v>0.88463700000000001</v>
      </c>
      <c r="O23">
        <v>0.88463700000000001</v>
      </c>
      <c r="P23">
        <v>0.88463700000000001</v>
      </c>
      <c r="Q23">
        <v>0.88463700000000001</v>
      </c>
      <c r="R23">
        <v>0.88463700000000001</v>
      </c>
      <c r="S23">
        <v>0.88463700000000001</v>
      </c>
      <c r="T23">
        <v>0.88463700000000001</v>
      </c>
      <c r="U23">
        <v>0.88463700000000001</v>
      </c>
      <c r="V23">
        <v>0.88463700000000001</v>
      </c>
      <c r="W23">
        <v>0.88463700000000001</v>
      </c>
      <c r="X23">
        <v>0.88463700000000001</v>
      </c>
      <c r="Y23">
        <v>0.88463700000000001</v>
      </c>
      <c r="Z23">
        <v>0.88463700000000001</v>
      </c>
      <c r="AA23">
        <v>0.88463700000000001</v>
      </c>
      <c r="AB23">
        <v>0.88463700000000001</v>
      </c>
      <c r="AC23">
        <v>0.88463700000000001</v>
      </c>
      <c r="AD23">
        <v>0.88463700000000001</v>
      </c>
      <c r="AE23">
        <v>0.88463700000000001</v>
      </c>
      <c r="AF23">
        <v>0.88463700000000001</v>
      </c>
      <c r="AG23">
        <v>0.88463700000000001</v>
      </c>
    </row>
    <row r="24" spans="1:33" x14ac:dyDescent="0.25">
      <c r="A24" t="s">
        <v>523</v>
      </c>
      <c r="B24" t="s">
        <v>251</v>
      </c>
      <c r="C24" t="s">
        <v>907</v>
      </c>
      <c r="D24" t="s">
        <v>493</v>
      </c>
      <c r="E24" t="s">
        <v>1358</v>
      </c>
      <c r="F24">
        <v>2.4283100000000002</v>
      </c>
      <c r="G24">
        <v>2.4470399999999999</v>
      </c>
      <c r="H24">
        <v>2.3414489999999999</v>
      </c>
      <c r="I24">
        <v>2.3414489999999999</v>
      </c>
      <c r="J24">
        <v>2.3414489999999999</v>
      </c>
      <c r="K24">
        <v>2.3414489999999999</v>
      </c>
      <c r="L24">
        <v>2.3414489999999999</v>
      </c>
      <c r="M24">
        <v>2.3414489999999999</v>
      </c>
      <c r="N24">
        <v>2.3414489999999999</v>
      </c>
      <c r="O24">
        <v>2.3414489999999999</v>
      </c>
      <c r="P24">
        <v>2.3414489999999999</v>
      </c>
      <c r="Q24">
        <v>2.3414489999999999</v>
      </c>
      <c r="R24">
        <v>2.3414489999999999</v>
      </c>
      <c r="S24">
        <v>2.3414489999999999</v>
      </c>
      <c r="T24">
        <v>2.3414489999999999</v>
      </c>
      <c r="U24">
        <v>2.3414489999999999</v>
      </c>
      <c r="V24">
        <v>2.3414489999999999</v>
      </c>
      <c r="W24">
        <v>2.3414489999999999</v>
      </c>
      <c r="X24">
        <v>2.3414489999999999</v>
      </c>
      <c r="Y24">
        <v>2.3414489999999999</v>
      </c>
      <c r="Z24">
        <v>2.3414489999999999</v>
      </c>
      <c r="AA24">
        <v>2.3414489999999999</v>
      </c>
      <c r="AB24">
        <v>2.3414489999999999</v>
      </c>
      <c r="AC24">
        <v>2.3414489999999999</v>
      </c>
      <c r="AD24">
        <v>2.3414489999999999</v>
      </c>
      <c r="AE24">
        <v>2.3414489999999999</v>
      </c>
      <c r="AF24">
        <v>2.3414489999999999</v>
      </c>
      <c r="AG24">
        <v>2.3414489999999999</v>
      </c>
    </row>
    <row r="25" spans="1:33" x14ac:dyDescent="0.25">
      <c r="A25" t="s">
        <v>523</v>
      </c>
      <c r="B25" t="s">
        <v>251</v>
      </c>
      <c r="C25" t="s">
        <v>908</v>
      </c>
      <c r="D25" t="s">
        <v>498</v>
      </c>
      <c r="E25" t="s">
        <v>1358</v>
      </c>
      <c r="F25">
        <v>8.4089349999999996</v>
      </c>
      <c r="G25">
        <v>8.4671280000000007</v>
      </c>
      <c r="H25">
        <v>6.586665</v>
      </c>
      <c r="I25">
        <v>6.586665</v>
      </c>
      <c r="J25">
        <v>6.586665</v>
      </c>
      <c r="K25">
        <v>6.586665</v>
      </c>
      <c r="L25">
        <v>6.586665</v>
      </c>
      <c r="M25">
        <v>6.586665</v>
      </c>
      <c r="N25">
        <v>6.586665</v>
      </c>
      <c r="O25">
        <v>6.586665</v>
      </c>
      <c r="P25">
        <v>6.586665</v>
      </c>
      <c r="Q25">
        <v>6.586665</v>
      </c>
      <c r="R25">
        <v>6.586665</v>
      </c>
      <c r="S25">
        <v>6.586665</v>
      </c>
      <c r="T25">
        <v>6.586665</v>
      </c>
      <c r="U25">
        <v>6.586665</v>
      </c>
      <c r="V25">
        <v>6.586665</v>
      </c>
      <c r="W25">
        <v>6.586665</v>
      </c>
      <c r="X25">
        <v>6.586665</v>
      </c>
      <c r="Y25">
        <v>6.586665</v>
      </c>
      <c r="Z25">
        <v>6.586665</v>
      </c>
      <c r="AA25">
        <v>6.586665</v>
      </c>
      <c r="AB25">
        <v>6.586665</v>
      </c>
      <c r="AC25">
        <v>6.586665</v>
      </c>
      <c r="AD25">
        <v>6.586665</v>
      </c>
      <c r="AE25">
        <v>6.586665</v>
      </c>
      <c r="AF25">
        <v>6.586665</v>
      </c>
      <c r="AG25">
        <v>6.586665</v>
      </c>
    </row>
    <row r="26" spans="1:33" x14ac:dyDescent="0.25">
      <c r="A26" t="s">
        <v>523</v>
      </c>
      <c r="B26" t="s">
        <v>253</v>
      </c>
      <c r="C26" t="s">
        <v>909</v>
      </c>
      <c r="D26" t="s">
        <v>513</v>
      </c>
      <c r="E26" t="s">
        <v>1358</v>
      </c>
      <c r="F26">
        <v>2.220977</v>
      </c>
      <c r="G26">
        <v>1.7447539999999999</v>
      </c>
      <c r="H26">
        <v>2.5118930000000002</v>
      </c>
      <c r="I26">
        <v>2.5118930000000002</v>
      </c>
      <c r="J26">
        <v>2.5118930000000002</v>
      </c>
      <c r="K26">
        <v>2.5118930000000002</v>
      </c>
      <c r="L26">
        <v>2.5118930000000002</v>
      </c>
      <c r="M26">
        <v>2.5118930000000002</v>
      </c>
      <c r="N26">
        <v>2.5118930000000002</v>
      </c>
      <c r="O26">
        <v>2.5118930000000002</v>
      </c>
      <c r="P26">
        <v>2.5118930000000002</v>
      </c>
      <c r="Q26">
        <v>2.5118930000000002</v>
      </c>
      <c r="R26">
        <v>2.5118930000000002</v>
      </c>
      <c r="S26">
        <v>2.5118930000000002</v>
      </c>
      <c r="T26">
        <v>2.5118930000000002</v>
      </c>
      <c r="U26">
        <v>2.5118930000000002</v>
      </c>
      <c r="V26">
        <v>2.5118930000000002</v>
      </c>
      <c r="W26">
        <v>2.5118930000000002</v>
      </c>
      <c r="X26">
        <v>2.5118930000000002</v>
      </c>
      <c r="Y26">
        <v>2.5118930000000002</v>
      </c>
      <c r="Z26">
        <v>2.5118930000000002</v>
      </c>
      <c r="AA26">
        <v>2.5118930000000002</v>
      </c>
      <c r="AB26">
        <v>2.5118930000000002</v>
      </c>
      <c r="AC26">
        <v>2.5118930000000002</v>
      </c>
      <c r="AD26">
        <v>2.5118930000000002</v>
      </c>
      <c r="AE26">
        <v>2.5118930000000002</v>
      </c>
      <c r="AF26">
        <v>2.5118930000000002</v>
      </c>
      <c r="AG26">
        <v>2.5118930000000002</v>
      </c>
    </row>
    <row r="27" spans="1:33" x14ac:dyDescent="0.25">
      <c r="A27" t="s">
        <v>523</v>
      </c>
      <c r="B27" t="s">
        <v>253</v>
      </c>
      <c r="C27" t="s">
        <v>910</v>
      </c>
      <c r="D27" t="s">
        <v>508</v>
      </c>
      <c r="E27" t="s">
        <v>1358</v>
      </c>
      <c r="F27">
        <v>4.1207370000000001</v>
      </c>
      <c r="G27">
        <v>4.8479260000000002</v>
      </c>
      <c r="H27">
        <v>4.900074</v>
      </c>
      <c r="I27">
        <v>4.900074</v>
      </c>
      <c r="J27">
        <v>4.900074</v>
      </c>
      <c r="K27">
        <v>4.900074</v>
      </c>
      <c r="L27">
        <v>4.900074</v>
      </c>
      <c r="M27">
        <v>4.900074</v>
      </c>
      <c r="N27">
        <v>4.900074</v>
      </c>
      <c r="O27">
        <v>4.900074</v>
      </c>
      <c r="P27">
        <v>4.900074</v>
      </c>
      <c r="Q27">
        <v>4.900074</v>
      </c>
      <c r="R27">
        <v>4.900074</v>
      </c>
      <c r="S27">
        <v>4.900074</v>
      </c>
      <c r="T27">
        <v>4.900074</v>
      </c>
      <c r="U27">
        <v>4.900074</v>
      </c>
      <c r="V27">
        <v>4.900074</v>
      </c>
      <c r="W27">
        <v>4.900074</v>
      </c>
      <c r="X27">
        <v>4.900074</v>
      </c>
      <c r="Y27">
        <v>4.900074</v>
      </c>
      <c r="Z27">
        <v>4.900074</v>
      </c>
      <c r="AA27">
        <v>4.900074</v>
      </c>
      <c r="AB27">
        <v>4.900074</v>
      </c>
      <c r="AC27">
        <v>4.900074</v>
      </c>
      <c r="AD27">
        <v>4.900074</v>
      </c>
      <c r="AE27">
        <v>4.900074</v>
      </c>
      <c r="AF27">
        <v>4.900074</v>
      </c>
      <c r="AG27">
        <v>4.900074</v>
      </c>
    </row>
    <row r="28" spans="1:33" x14ac:dyDescent="0.25">
      <c r="A28" t="s">
        <v>523</v>
      </c>
      <c r="B28" t="s">
        <v>233</v>
      </c>
      <c r="C28" t="s">
        <v>885</v>
      </c>
      <c r="D28" t="s">
        <v>387</v>
      </c>
      <c r="E28" t="s">
        <v>1357</v>
      </c>
      <c r="F28">
        <v>0.254222</v>
      </c>
      <c r="G28">
        <v>0.64502899999999996</v>
      </c>
      <c r="H28">
        <v>0.17985100000000001</v>
      </c>
      <c r="I28">
        <v>0.17985100000000001</v>
      </c>
      <c r="J28">
        <v>0.17985100000000001</v>
      </c>
      <c r="K28">
        <v>0.17985100000000001</v>
      </c>
      <c r="L28">
        <v>0.17985100000000001</v>
      </c>
      <c r="M28">
        <v>0.17985100000000001</v>
      </c>
      <c r="N28">
        <v>0.17985100000000001</v>
      </c>
      <c r="O28">
        <v>0.17985100000000001</v>
      </c>
      <c r="P28">
        <v>0.17985100000000001</v>
      </c>
      <c r="Q28">
        <v>0.17985100000000001</v>
      </c>
      <c r="R28">
        <v>0.17985100000000001</v>
      </c>
      <c r="S28">
        <v>0.17985100000000001</v>
      </c>
      <c r="T28">
        <v>0.17985100000000001</v>
      </c>
      <c r="U28">
        <v>0.17985100000000001</v>
      </c>
      <c r="V28">
        <v>0.17985100000000001</v>
      </c>
      <c r="W28">
        <v>0.17985100000000001</v>
      </c>
      <c r="X28">
        <v>0.17985100000000001</v>
      </c>
      <c r="Y28">
        <v>0.17985100000000001</v>
      </c>
      <c r="Z28">
        <v>0.17985100000000001</v>
      </c>
      <c r="AA28">
        <v>0.17985100000000001</v>
      </c>
      <c r="AB28">
        <v>0.17985100000000001</v>
      </c>
      <c r="AC28">
        <v>0.17985100000000001</v>
      </c>
      <c r="AD28">
        <v>0.17985100000000001</v>
      </c>
      <c r="AE28">
        <v>0.17985100000000001</v>
      </c>
      <c r="AF28">
        <v>0.17985100000000001</v>
      </c>
      <c r="AG28">
        <v>0.17985100000000001</v>
      </c>
    </row>
    <row r="29" spans="1:33" x14ac:dyDescent="0.25">
      <c r="A29" t="s">
        <v>523</v>
      </c>
      <c r="B29" t="s">
        <v>233</v>
      </c>
      <c r="C29" t="s">
        <v>886</v>
      </c>
      <c r="D29" t="s">
        <v>393</v>
      </c>
      <c r="E29" t="s">
        <v>1357</v>
      </c>
      <c r="F29">
        <v>13.832917999999999</v>
      </c>
      <c r="G29">
        <v>11.861032</v>
      </c>
      <c r="H29">
        <v>12.023187999999999</v>
      </c>
      <c r="I29">
        <v>12.023187999999999</v>
      </c>
      <c r="J29">
        <v>12.023187999999999</v>
      </c>
      <c r="K29">
        <v>12.023187999999999</v>
      </c>
      <c r="L29">
        <v>12.023187999999999</v>
      </c>
      <c r="M29">
        <v>12.023187999999999</v>
      </c>
      <c r="N29">
        <v>12.023187999999999</v>
      </c>
      <c r="O29">
        <v>12.023187999999999</v>
      </c>
      <c r="P29">
        <v>12.023187999999999</v>
      </c>
      <c r="Q29">
        <v>12.023187999999999</v>
      </c>
      <c r="R29">
        <v>12.023187999999999</v>
      </c>
      <c r="S29">
        <v>12.023187999999999</v>
      </c>
      <c r="T29">
        <v>12.023187999999999</v>
      </c>
      <c r="U29">
        <v>12.023187999999999</v>
      </c>
      <c r="V29">
        <v>12.023187999999999</v>
      </c>
      <c r="W29">
        <v>12.023187999999999</v>
      </c>
      <c r="X29">
        <v>12.023187999999999</v>
      </c>
      <c r="Y29">
        <v>12.023187999999999</v>
      </c>
      <c r="Z29">
        <v>12.023187999999999</v>
      </c>
      <c r="AA29">
        <v>12.023187999999999</v>
      </c>
      <c r="AB29">
        <v>12.023187999999999</v>
      </c>
      <c r="AC29">
        <v>12.023187999999999</v>
      </c>
      <c r="AD29">
        <v>12.023187999999999</v>
      </c>
      <c r="AE29">
        <v>12.023187999999999</v>
      </c>
      <c r="AF29">
        <v>12.023187999999999</v>
      </c>
      <c r="AG29">
        <v>12.023187999999999</v>
      </c>
    </row>
    <row r="30" spans="1:33" x14ac:dyDescent="0.25">
      <c r="A30" t="s">
        <v>523</v>
      </c>
      <c r="B30" t="s">
        <v>233</v>
      </c>
      <c r="C30" t="s">
        <v>887</v>
      </c>
      <c r="D30" t="s">
        <v>398</v>
      </c>
      <c r="E30" t="s">
        <v>1357</v>
      </c>
      <c r="F30">
        <v>0.19612299999999999</v>
      </c>
      <c r="G30">
        <v>0</v>
      </c>
      <c r="H30">
        <v>4.5780000000000001E-2</v>
      </c>
      <c r="I30">
        <v>4.5780000000000001E-2</v>
      </c>
      <c r="J30">
        <v>4.5780000000000001E-2</v>
      </c>
      <c r="K30">
        <v>4.5780000000000001E-2</v>
      </c>
      <c r="L30">
        <v>4.5780000000000001E-2</v>
      </c>
      <c r="M30">
        <v>4.5780000000000001E-2</v>
      </c>
      <c r="N30">
        <v>4.5780000000000001E-2</v>
      </c>
      <c r="O30">
        <v>4.5780000000000001E-2</v>
      </c>
      <c r="P30">
        <v>4.5780000000000001E-2</v>
      </c>
      <c r="Q30">
        <v>4.5780000000000001E-2</v>
      </c>
      <c r="R30">
        <v>4.5780000000000001E-2</v>
      </c>
      <c r="S30">
        <v>4.5780000000000001E-2</v>
      </c>
      <c r="T30">
        <v>4.5780000000000001E-2</v>
      </c>
      <c r="U30">
        <v>4.5780000000000001E-2</v>
      </c>
      <c r="V30">
        <v>4.5780000000000001E-2</v>
      </c>
      <c r="W30">
        <v>4.5780000000000001E-2</v>
      </c>
      <c r="X30">
        <v>4.5780000000000001E-2</v>
      </c>
      <c r="Y30">
        <v>4.5780000000000001E-2</v>
      </c>
      <c r="Z30">
        <v>4.5780000000000001E-2</v>
      </c>
      <c r="AA30">
        <v>4.5780000000000001E-2</v>
      </c>
      <c r="AB30">
        <v>4.5780000000000001E-2</v>
      </c>
      <c r="AC30">
        <v>4.5780000000000001E-2</v>
      </c>
      <c r="AD30">
        <v>4.5780000000000001E-2</v>
      </c>
      <c r="AE30">
        <v>4.5780000000000001E-2</v>
      </c>
      <c r="AF30">
        <v>4.5780000000000001E-2</v>
      </c>
      <c r="AG30">
        <v>4.5780000000000001E-2</v>
      </c>
    </row>
    <row r="31" spans="1:33" x14ac:dyDescent="0.25">
      <c r="A31" t="s">
        <v>523</v>
      </c>
      <c r="B31" t="s">
        <v>233</v>
      </c>
      <c r="C31" t="s">
        <v>888</v>
      </c>
      <c r="D31" t="s">
        <v>403</v>
      </c>
      <c r="E31" t="s">
        <v>1357</v>
      </c>
      <c r="F31">
        <v>38.846035999999998</v>
      </c>
      <c r="G31">
        <v>23.233861999999998</v>
      </c>
      <c r="H31">
        <v>28.118084</v>
      </c>
      <c r="I31">
        <v>28.118084</v>
      </c>
      <c r="J31">
        <v>28.118084</v>
      </c>
      <c r="K31">
        <v>28.118084</v>
      </c>
      <c r="L31">
        <v>28.118084</v>
      </c>
      <c r="M31">
        <v>28.118084</v>
      </c>
      <c r="N31">
        <v>28.118084</v>
      </c>
      <c r="O31">
        <v>28.118084</v>
      </c>
      <c r="P31">
        <v>28.118084</v>
      </c>
      <c r="Q31">
        <v>28.118084</v>
      </c>
      <c r="R31">
        <v>28.118084</v>
      </c>
      <c r="S31">
        <v>28.118084</v>
      </c>
      <c r="T31">
        <v>28.118084</v>
      </c>
      <c r="U31">
        <v>28.118084</v>
      </c>
      <c r="V31">
        <v>28.118084</v>
      </c>
      <c r="W31">
        <v>28.118084</v>
      </c>
      <c r="X31">
        <v>28.118084</v>
      </c>
      <c r="Y31">
        <v>28.118084</v>
      </c>
      <c r="Z31">
        <v>28.118084</v>
      </c>
      <c r="AA31">
        <v>28.118084</v>
      </c>
      <c r="AB31">
        <v>28.118084</v>
      </c>
      <c r="AC31">
        <v>28.118084</v>
      </c>
      <c r="AD31">
        <v>28.118084</v>
      </c>
      <c r="AE31">
        <v>28.118084</v>
      </c>
      <c r="AF31">
        <v>28.118084</v>
      </c>
      <c r="AG31">
        <v>28.118084</v>
      </c>
    </row>
    <row r="32" spans="1:33" x14ac:dyDescent="0.25">
      <c r="A32" t="s">
        <v>523</v>
      </c>
      <c r="B32" t="s">
        <v>233</v>
      </c>
      <c r="C32" t="s">
        <v>889</v>
      </c>
      <c r="D32" t="s">
        <v>408</v>
      </c>
      <c r="E32" t="s">
        <v>1357</v>
      </c>
      <c r="F32">
        <v>0</v>
      </c>
      <c r="G32">
        <v>2.2379829999999998</v>
      </c>
      <c r="H32">
        <v>1.1270610000000001</v>
      </c>
      <c r="I32">
        <v>1.1270610000000001</v>
      </c>
      <c r="J32">
        <v>1.1270610000000001</v>
      </c>
      <c r="K32">
        <v>1.1270610000000001</v>
      </c>
      <c r="L32">
        <v>1.1270610000000001</v>
      </c>
      <c r="M32">
        <v>1.1270610000000001</v>
      </c>
      <c r="N32">
        <v>1.1270610000000001</v>
      </c>
      <c r="O32">
        <v>1.1270610000000001</v>
      </c>
      <c r="P32">
        <v>1.1270610000000001</v>
      </c>
      <c r="Q32">
        <v>1.1270610000000001</v>
      </c>
      <c r="R32">
        <v>1.1270610000000001</v>
      </c>
      <c r="S32">
        <v>1.1270610000000001</v>
      </c>
      <c r="T32">
        <v>1.1270610000000001</v>
      </c>
      <c r="U32">
        <v>1.1270610000000001</v>
      </c>
      <c r="V32">
        <v>1.1270610000000001</v>
      </c>
      <c r="W32">
        <v>1.1270610000000001</v>
      </c>
      <c r="X32">
        <v>1.1270610000000001</v>
      </c>
      <c r="Y32">
        <v>1.1270610000000001</v>
      </c>
      <c r="Z32">
        <v>1.1270610000000001</v>
      </c>
      <c r="AA32">
        <v>1.1270610000000001</v>
      </c>
      <c r="AB32">
        <v>1.1270610000000001</v>
      </c>
      <c r="AC32">
        <v>1.1270610000000001</v>
      </c>
      <c r="AD32">
        <v>1.1270610000000001</v>
      </c>
      <c r="AE32">
        <v>1.1270610000000001</v>
      </c>
      <c r="AF32">
        <v>1.1270610000000001</v>
      </c>
      <c r="AG32">
        <v>1.1270610000000001</v>
      </c>
    </row>
    <row r="33" spans="1:33" x14ac:dyDescent="0.25">
      <c r="A33" t="s">
        <v>523</v>
      </c>
      <c r="B33" t="s">
        <v>235</v>
      </c>
      <c r="C33" t="s">
        <v>890</v>
      </c>
      <c r="D33" t="s">
        <v>413</v>
      </c>
      <c r="E33" t="s">
        <v>1357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 x14ac:dyDescent="0.25">
      <c r="A34" t="s">
        <v>523</v>
      </c>
      <c r="B34" t="s">
        <v>235</v>
      </c>
      <c r="C34" t="s">
        <v>891</v>
      </c>
      <c r="D34" t="s">
        <v>418</v>
      </c>
      <c r="E34" t="s">
        <v>1357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 x14ac:dyDescent="0.25">
      <c r="A35" t="s">
        <v>523</v>
      </c>
      <c r="B35" t="s">
        <v>235</v>
      </c>
      <c r="C35" t="s">
        <v>892</v>
      </c>
      <c r="D35" t="s">
        <v>428</v>
      </c>
      <c r="E35" t="s">
        <v>1357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 x14ac:dyDescent="0.25">
      <c r="A36" t="s">
        <v>523</v>
      </c>
      <c r="B36" t="s">
        <v>235</v>
      </c>
      <c r="C36" t="s">
        <v>893</v>
      </c>
      <c r="D36" t="s">
        <v>423</v>
      </c>
      <c r="E36" t="s">
        <v>1357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1:33" x14ac:dyDescent="0.25">
      <c r="A37" t="s">
        <v>523</v>
      </c>
      <c r="B37" t="s">
        <v>237</v>
      </c>
      <c r="C37" t="s">
        <v>894</v>
      </c>
      <c r="D37" t="s">
        <v>433</v>
      </c>
      <c r="E37" t="s">
        <v>1357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 x14ac:dyDescent="0.25">
      <c r="A38" t="s">
        <v>523</v>
      </c>
      <c r="B38" t="s">
        <v>237</v>
      </c>
      <c r="C38" t="s">
        <v>895</v>
      </c>
      <c r="D38" t="s">
        <v>443</v>
      </c>
      <c r="E38" t="s">
        <v>1357</v>
      </c>
      <c r="F38">
        <v>65.087128000000007</v>
      </c>
      <c r="G38">
        <v>31.481514000000001</v>
      </c>
      <c r="H38">
        <v>54.008110000000002</v>
      </c>
      <c r="I38">
        <v>54.008110000000002</v>
      </c>
      <c r="J38">
        <v>54.008110000000002</v>
      </c>
      <c r="K38">
        <v>54.008110000000002</v>
      </c>
      <c r="L38">
        <v>54.008110000000002</v>
      </c>
      <c r="M38">
        <v>54.008110000000002</v>
      </c>
      <c r="N38">
        <v>54.008110000000002</v>
      </c>
      <c r="O38">
        <v>54.008110000000002</v>
      </c>
      <c r="P38">
        <v>54.008110000000002</v>
      </c>
      <c r="Q38">
        <v>54.008110000000002</v>
      </c>
      <c r="R38">
        <v>54.008110000000002</v>
      </c>
      <c r="S38">
        <v>54.008110000000002</v>
      </c>
      <c r="T38">
        <v>54.008110000000002</v>
      </c>
      <c r="U38">
        <v>54.008110000000002</v>
      </c>
      <c r="V38">
        <v>54.008110000000002</v>
      </c>
      <c r="W38">
        <v>54.008110000000002</v>
      </c>
      <c r="X38">
        <v>54.008110000000002</v>
      </c>
      <c r="Y38">
        <v>54.008110000000002</v>
      </c>
      <c r="Z38">
        <v>54.008110000000002</v>
      </c>
      <c r="AA38">
        <v>54.008110000000002</v>
      </c>
      <c r="AB38">
        <v>54.008110000000002</v>
      </c>
      <c r="AC38">
        <v>54.008110000000002</v>
      </c>
      <c r="AD38">
        <v>54.008110000000002</v>
      </c>
      <c r="AE38">
        <v>54.008110000000002</v>
      </c>
      <c r="AF38">
        <v>54.008110000000002</v>
      </c>
      <c r="AG38">
        <v>54.008110000000002</v>
      </c>
    </row>
    <row r="39" spans="1:33" x14ac:dyDescent="0.25">
      <c r="A39" t="s">
        <v>523</v>
      </c>
      <c r="B39" t="s">
        <v>237</v>
      </c>
      <c r="C39" t="s">
        <v>896</v>
      </c>
      <c r="D39" t="s">
        <v>438</v>
      </c>
      <c r="E39" t="s">
        <v>1357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 x14ac:dyDescent="0.25">
      <c r="A40" t="s">
        <v>523</v>
      </c>
      <c r="B40" t="s">
        <v>237</v>
      </c>
      <c r="C40" t="s">
        <v>897</v>
      </c>
      <c r="D40" t="s">
        <v>448</v>
      </c>
      <c r="E40" t="s">
        <v>1357</v>
      </c>
      <c r="F40">
        <v>5.6159410000000003</v>
      </c>
      <c r="G40">
        <v>4.7183070000000003</v>
      </c>
      <c r="H40">
        <v>5.5333170000000003</v>
      </c>
      <c r="I40">
        <v>5.5333170000000003</v>
      </c>
      <c r="J40">
        <v>5.5333170000000003</v>
      </c>
      <c r="K40">
        <v>5.5333170000000003</v>
      </c>
      <c r="L40">
        <v>5.5333170000000003</v>
      </c>
      <c r="M40">
        <v>5.5333170000000003</v>
      </c>
      <c r="N40">
        <v>5.5333170000000003</v>
      </c>
      <c r="O40">
        <v>5.5333170000000003</v>
      </c>
      <c r="P40">
        <v>5.5333170000000003</v>
      </c>
      <c r="Q40">
        <v>5.5333170000000003</v>
      </c>
      <c r="R40">
        <v>5.5333170000000003</v>
      </c>
      <c r="S40">
        <v>5.5333170000000003</v>
      </c>
      <c r="T40">
        <v>5.5333170000000003</v>
      </c>
      <c r="U40">
        <v>5.5333170000000003</v>
      </c>
      <c r="V40">
        <v>5.5333170000000003</v>
      </c>
      <c r="W40">
        <v>5.5333170000000003</v>
      </c>
      <c r="X40">
        <v>5.5333170000000003</v>
      </c>
      <c r="Y40">
        <v>5.5333170000000003</v>
      </c>
      <c r="Z40">
        <v>5.5333170000000003</v>
      </c>
      <c r="AA40">
        <v>5.5333170000000003</v>
      </c>
      <c r="AB40">
        <v>5.5333170000000003</v>
      </c>
      <c r="AC40">
        <v>5.5333170000000003</v>
      </c>
      <c r="AD40">
        <v>5.5333170000000003</v>
      </c>
      <c r="AE40">
        <v>5.5333170000000003</v>
      </c>
      <c r="AF40">
        <v>5.5333170000000003</v>
      </c>
      <c r="AG40">
        <v>5.5333170000000003</v>
      </c>
    </row>
    <row r="41" spans="1:33" x14ac:dyDescent="0.25">
      <c r="A41" t="s">
        <v>523</v>
      </c>
      <c r="B41" t="s">
        <v>241</v>
      </c>
      <c r="C41" t="s">
        <v>898</v>
      </c>
      <c r="D41" t="s">
        <v>453</v>
      </c>
      <c r="E41" t="s">
        <v>1357</v>
      </c>
      <c r="F41">
        <v>0</v>
      </c>
      <c r="G41">
        <v>0</v>
      </c>
      <c r="H41">
        <v>6.8099999999999996E-4</v>
      </c>
      <c r="I41">
        <v>6.8099999999999996E-4</v>
      </c>
      <c r="J41">
        <v>6.8099999999999996E-4</v>
      </c>
      <c r="K41">
        <v>6.8099999999999996E-4</v>
      </c>
      <c r="L41">
        <v>6.8099999999999996E-4</v>
      </c>
      <c r="M41">
        <v>6.8099999999999996E-4</v>
      </c>
      <c r="N41">
        <v>6.8099999999999996E-4</v>
      </c>
      <c r="O41">
        <v>6.8099999999999996E-4</v>
      </c>
      <c r="P41">
        <v>6.8099999999999996E-4</v>
      </c>
      <c r="Q41">
        <v>6.8099999999999996E-4</v>
      </c>
      <c r="R41">
        <v>6.8099999999999996E-4</v>
      </c>
      <c r="S41">
        <v>6.8099999999999996E-4</v>
      </c>
      <c r="T41">
        <v>6.8099999999999996E-4</v>
      </c>
      <c r="U41">
        <v>6.8099999999999996E-4</v>
      </c>
      <c r="V41">
        <v>6.8099999999999996E-4</v>
      </c>
      <c r="W41">
        <v>6.8099999999999996E-4</v>
      </c>
      <c r="X41">
        <v>6.8099999999999996E-4</v>
      </c>
      <c r="Y41">
        <v>6.8099999999999996E-4</v>
      </c>
      <c r="Z41">
        <v>6.8099999999999996E-4</v>
      </c>
      <c r="AA41">
        <v>6.8099999999999996E-4</v>
      </c>
      <c r="AB41">
        <v>6.8099999999999996E-4</v>
      </c>
      <c r="AC41">
        <v>6.8099999999999996E-4</v>
      </c>
      <c r="AD41">
        <v>6.8099999999999996E-4</v>
      </c>
      <c r="AE41">
        <v>6.8099999999999996E-4</v>
      </c>
      <c r="AF41">
        <v>6.8099999999999996E-4</v>
      </c>
      <c r="AG41">
        <v>6.8099999999999996E-4</v>
      </c>
    </row>
    <row r="42" spans="1:33" x14ac:dyDescent="0.25">
      <c r="A42" t="s">
        <v>523</v>
      </c>
      <c r="B42" t="s">
        <v>243</v>
      </c>
      <c r="C42" t="s">
        <v>899</v>
      </c>
      <c r="D42" t="s">
        <v>458</v>
      </c>
      <c r="E42" t="s">
        <v>1357</v>
      </c>
      <c r="F42">
        <v>3.816262</v>
      </c>
      <c r="G42">
        <v>4.7253730000000003</v>
      </c>
      <c r="H42">
        <v>3.7828520000000001</v>
      </c>
      <c r="I42">
        <v>3.7828520000000001</v>
      </c>
      <c r="J42">
        <v>3.7828520000000001</v>
      </c>
      <c r="K42">
        <v>3.7828520000000001</v>
      </c>
      <c r="L42">
        <v>3.7828520000000001</v>
      </c>
      <c r="M42">
        <v>3.7828520000000001</v>
      </c>
      <c r="N42">
        <v>3.7828520000000001</v>
      </c>
      <c r="O42">
        <v>3.7828520000000001</v>
      </c>
      <c r="P42">
        <v>3.7828520000000001</v>
      </c>
      <c r="Q42">
        <v>3.7828520000000001</v>
      </c>
      <c r="R42">
        <v>3.7828520000000001</v>
      </c>
      <c r="S42">
        <v>3.7828520000000001</v>
      </c>
      <c r="T42">
        <v>3.7828520000000001</v>
      </c>
      <c r="U42">
        <v>3.7828520000000001</v>
      </c>
      <c r="V42">
        <v>3.7828520000000001</v>
      </c>
      <c r="W42">
        <v>3.7828520000000001</v>
      </c>
      <c r="X42">
        <v>3.7828520000000001</v>
      </c>
      <c r="Y42">
        <v>3.7828520000000001</v>
      </c>
      <c r="Z42">
        <v>3.7828520000000001</v>
      </c>
      <c r="AA42">
        <v>3.7828520000000001</v>
      </c>
      <c r="AB42">
        <v>3.7828520000000001</v>
      </c>
      <c r="AC42">
        <v>3.7828520000000001</v>
      </c>
      <c r="AD42">
        <v>3.7828520000000001</v>
      </c>
      <c r="AE42">
        <v>3.7828520000000001</v>
      </c>
      <c r="AF42">
        <v>3.7828520000000001</v>
      </c>
      <c r="AG42">
        <v>3.7828520000000001</v>
      </c>
    </row>
    <row r="43" spans="1:33" x14ac:dyDescent="0.25">
      <c r="A43" t="s">
        <v>523</v>
      </c>
      <c r="B43" t="s">
        <v>243</v>
      </c>
      <c r="C43" t="s">
        <v>900</v>
      </c>
      <c r="D43" t="s">
        <v>463</v>
      </c>
      <c r="E43" t="s">
        <v>1357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 x14ac:dyDescent="0.25">
      <c r="A44" t="s">
        <v>523</v>
      </c>
      <c r="B44" t="s">
        <v>243</v>
      </c>
      <c r="C44" t="s">
        <v>901</v>
      </c>
      <c r="D44" t="s">
        <v>468</v>
      </c>
      <c r="E44" t="s">
        <v>1357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 x14ac:dyDescent="0.25">
      <c r="A45" t="s">
        <v>523</v>
      </c>
      <c r="B45" t="s">
        <v>245</v>
      </c>
      <c r="C45" t="s">
        <v>902</v>
      </c>
      <c r="D45" t="s">
        <v>473</v>
      </c>
      <c r="E45" t="s">
        <v>1357</v>
      </c>
      <c r="F45">
        <v>2.7532920000000001</v>
      </c>
      <c r="G45">
        <v>5.6563689999999998</v>
      </c>
      <c r="H45">
        <v>4.5042970000000002</v>
      </c>
      <c r="I45">
        <v>4.5042970000000002</v>
      </c>
      <c r="J45">
        <v>4.5042970000000002</v>
      </c>
      <c r="K45">
        <v>4.5042970000000002</v>
      </c>
      <c r="L45">
        <v>4.5042970000000002</v>
      </c>
      <c r="M45">
        <v>4.5042970000000002</v>
      </c>
      <c r="N45">
        <v>4.5042970000000002</v>
      </c>
      <c r="O45">
        <v>4.5042970000000002</v>
      </c>
      <c r="P45">
        <v>4.5042970000000002</v>
      </c>
      <c r="Q45">
        <v>4.5042970000000002</v>
      </c>
      <c r="R45">
        <v>4.5042970000000002</v>
      </c>
      <c r="S45">
        <v>4.5042970000000002</v>
      </c>
      <c r="T45">
        <v>4.5042970000000002</v>
      </c>
      <c r="U45">
        <v>4.5042970000000002</v>
      </c>
      <c r="V45">
        <v>4.5042970000000002</v>
      </c>
      <c r="W45">
        <v>4.5042970000000002</v>
      </c>
      <c r="X45">
        <v>4.5042970000000002</v>
      </c>
      <c r="Y45">
        <v>4.5042970000000002</v>
      </c>
      <c r="Z45">
        <v>4.5042970000000002</v>
      </c>
      <c r="AA45">
        <v>4.5042970000000002</v>
      </c>
      <c r="AB45">
        <v>4.5042970000000002</v>
      </c>
      <c r="AC45">
        <v>4.5042970000000002</v>
      </c>
      <c r="AD45">
        <v>4.5042970000000002</v>
      </c>
      <c r="AE45">
        <v>4.5042970000000002</v>
      </c>
      <c r="AF45">
        <v>4.5042970000000002</v>
      </c>
      <c r="AG45">
        <v>4.5042970000000002</v>
      </c>
    </row>
    <row r="46" spans="1:33" x14ac:dyDescent="0.25">
      <c r="A46" t="s">
        <v>523</v>
      </c>
      <c r="B46" t="s">
        <v>245</v>
      </c>
      <c r="C46" t="s">
        <v>903</v>
      </c>
      <c r="D46" t="s">
        <v>478</v>
      </c>
      <c r="E46" t="s">
        <v>1357</v>
      </c>
      <c r="F46">
        <v>1.3550420000000001</v>
      </c>
      <c r="G46">
        <v>2.2176269999999998</v>
      </c>
      <c r="H46">
        <v>1.9968349999999999</v>
      </c>
      <c r="I46">
        <v>1.9968349999999999</v>
      </c>
      <c r="J46">
        <v>1.9968349999999999</v>
      </c>
      <c r="K46">
        <v>1.9968349999999999</v>
      </c>
      <c r="L46">
        <v>1.9968349999999999</v>
      </c>
      <c r="M46">
        <v>1.9968349999999999</v>
      </c>
      <c r="N46">
        <v>1.9968349999999999</v>
      </c>
      <c r="O46">
        <v>1.9968349999999999</v>
      </c>
      <c r="P46">
        <v>1.9968349999999999</v>
      </c>
      <c r="Q46">
        <v>1.9968349999999999</v>
      </c>
      <c r="R46">
        <v>1.9968349999999999</v>
      </c>
      <c r="S46">
        <v>1.9968349999999999</v>
      </c>
      <c r="T46">
        <v>1.9968349999999999</v>
      </c>
      <c r="U46">
        <v>1.9968349999999999</v>
      </c>
      <c r="V46">
        <v>1.9968349999999999</v>
      </c>
      <c r="W46">
        <v>1.9968349999999999</v>
      </c>
      <c r="X46">
        <v>1.9968349999999999</v>
      </c>
      <c r="Y46">
        <v>1.9968349999999999</v>
      </c>
      <c r="Z46">
        <v>1.9968349999999999</v>
      </c>
      <c r="AA46">
        <v>1.9968349999999999</v>
      </c>
      <c r="AB46">
        <v>1.9968349999999999</v>
      </c>
      <c r="AC46">
        <v>1.9968349999999999</v>
      </c>
      <c r="AD46">
        <v>1.9968349999999999</v>
      </c>
      <c r="AE46">
        <v>1.9968349999999999</v>
      </c>
      <c r="AF46">
        <v>1.9968349999999999</v>
      </c>
      <c r="AG46">
        <v>1.9968349999999999</v>
      </c>
    </row>
    <row r="47" spans="1:33" x14ac:dyDescent="0.25">
      <c r="A47" t="s">
        <v>523</v>
      </c>
      <c r="B47" t="s">
        <v>247</v>
      </c>
      <c r="C47" t="s">
        <v>904</v>
      </c>
      <c r="D47" t="s">
        <v>483</v>
      </c>
      <c r="E47" t="s">
        <v>1357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 x14ac:dyDescent="0.25">
      <c r="A48" t="s">
        <v>523</v>
      </c>
      <c r="B48" t="s">
        <v>249</v>
      </c>
      <c r="C48" t="s">
        <v>905</v>
      </c>
      <c r="D48" t="s">
        <v>488</v>
      </c>
      <c r="E48" t="s">
        <v>1357</v>
      </c>
      <c r="F48">
        <v>1.346211</v>
      </c>
      <c r="G48">
        <v>2.0379999999999999E-3</v>
      </c>
      <c r="H48">
        <v>0.33188000000000001</v>
      </c>
      <c r="I48">
        <v>0.33188000000000001</v>
      </c>
      <c r="J48">
        <v>0.33188000000000001</v>
      </c>
      <c r="K48">
        <v>0.33188000000000001</v>
      </c>
      <c r="L48">
        <v>0.33188000000000001</v>
      </c>
      <c r="M48">
        <v>0.33188000000000001</v>
      </c>
      <c r="N48">
        <v>0.33188000000000001</v>
      </c>
      <c r="O48">
        <v>0.33188000000000001</v>
      </c>
      <c r="P48">
        <v>0.33188000000000001</v>
      </c>
      <c r="Q48">
        <v>0.33188000000000001</v>
      </c>
      <c r="R48">
        <v>0.33188000000000001</v>
      </c>
      <c r="S48">
        <v>0.33188000000000001</v>
      </c>
      <c r="T48">
        <v>0.33188000000000001</v>
      </c>
      <c r="U48">
        <v>0.33188000000000001</v>
      </c>
      <c r="V48">
        <v>0.33188000000000001</v>
      </c>
      <c r="W48">
        <v>0.33188000000000001</v>
      </c>
      <c r="X48">
        <v>0.33188000000000001</v>
      </c>
      <c r="Y48">
        <v>0.33188000000000001</v>
      </c>
      <c r="Z48">
        <v>0.33188000000000001</v>
      </c>
      <c r="AA48">
        <v>0.33188000000000001</v>
      </c>
      <c r="AB48">
        <v>0.33188000000000001</v>
      </c>
      <c r="AC48">
        <v>0.33188000000000001</v>
      </c>
      <c r="AD48">
        <v>0.33188000000000001</v>
      </c>
      <c r="AE48">
        <v>0.33188000000000001</v>
      </c>
      <c r="AF48">
        <v>0.33188000000000001</v>
      </c>
      <c r="AG48">
        <v>0.33188000000000001</v>
      </c>
    </row>
    <row r="49" spans="1:33" x14ac:dyDescent="0.25">
      <c r="A49" t="s">
        <v>523</v>
      </c>
      <c r="B49" t="s">
        <v>251</v>
      </c>
      <c r="C49" t="s">
        <v>906</v>
      </c>
      <c r="D49" t="s">
        <v>503</v>
      </c>
      <c r="E49" t="s">
        <v>1357</v>
      </c>
      <c r="F49">
        <v>0.48396800000000001</v>
      </c>
      <c r="G49">
        <v>6.5079999999999999E-3</v>
      </c>
      <c r="H49">
        <v>0.80038600000000004</v>
      </c>
      <c r="I49">
        <v>0.80038600000000004</v>
      </c>
      <c r="J49">
        <v>0.80038600000000004</v>
      </c>
      <c r="K49">
        <v>0.80038600000000004</v>
      </c>
      <c r="L49">
        <v>0.80038600000000004</v>
      </c>
      <c r="M49">
        <v>0.80038600000000004</v>
      </c>
      <c r="N49">
        <v>0.80038600000000004</v>
      </c>
      <c r="O49">
        <v>0.80038600000000004</v>
      </c>
      <c r="P49">
        <v>0.80038600000000004</v>
      </c>
      <c r="Q49">
        <v>0.80038600000000004</v>
      </c>
      <c r="R49">
        <v>0.80038600000000004</v>
      </c>
      <c r="S49">
        <v>0.80038600000000004</v>
      </c>
      <c r="T49">
        <v>0.80038600000000004</v>
      </c>
      <c r="U49">
        <v>0.80038600000000004</v>
      </c>
      <c r="V49">
        <v>0.80038600000000004</v>
      </c>
      <c r="W49">
        <v>0.80038600000000004</v>
      </c>
      <c r="X49">
        <v>0.80038600000000004</v>
      </c>
      <c r="Y49">
        <v>0.80038600000000004</v>
      </c>
      <c r="Z49">
        <v>0.80038600000000004</v>
      </c>
      <c r="AA49">
        <v>0.80038600000000004</v>
      </c>
      <c r="AB49">
        <v>0.80038600000000004</v>
      </c>
      <c r="AC49">
        <v>0.80038600000000004</v>
      </c>
      <c r="AD49">
        <v>0.80038600000000004</v>
      </c>
      <c r="AE49">
        <v>0.80038600000000004</v>
      </c>
      <c r="AF49">
        <v>0.80038600000000004</v>
      </c>
      <c r="AG49">
        <v>0.80038600000000004</v>
      </c>
    </row>
    <row r="50" spans="1:33" x14ac:dyDescent="0.25">
      <c r="A50" t="s">
        <v>523</v>
      </c>
      <c r="B50" t="s">
        <v>251</v>
      </c>
      <c r="C50" t="s">
        <v>907</v>
      </c>
      <c r="D50" t="s">
        <v>493</v>
      </c>
      <c r="E50" t="s">
        <v>1357</v>
      </c>
      <c r="F50">
        <v>2.1970420000000002</v>
      </c>
      <c r="G50">
        <v>2.2139880000000001</v>
      </c>
      <c r="H50">
        <v>2.1184539999999998</v>
      </c>
      <c r="I50">
        <v>2.1184539999999998</v>
      </c>
      <c r="J50">
        <v>2.1184539999999998</v>
      </c>
      <c r="K50">
        <v>2.1184539999999998</v>
      </c>
      <c r="L50">
        <v>2.1184539999999998</v>
      </c>
      <c r="M50">
        <v>2.1184539999999998</v>
      </c>
      <c r="N50">
        <v>2.1184539999999998</v>
      </c>
      <c r="O50">
        <v>2.1184539999999998</v>
      </c>
      <c r="P50">
        <v>2.1184539999999998</v>
      </c>
      <c r="Q50">
        <v>2.1184539999999998</v>
      </c>
      <c r="R50">
        <v>2.1184539999999998</v>
      </c>
      <c r="S50">
        <v>2.1184539999999998</v>
      </c>
      <c r="T50">
        <v>2.1184539999999998</v>
      </c>
      <c r="U50">
        <v>2.1184539999999998</v>
      </c>
      <c r="V50">
        <v>2.1184539999999998</v>
      </c>
      <c r="W50">
        <v>2.1184539999999998</v>
      </c>
      <c r="X50">
        <v>2.1184539999999998</v>
      </c>
      <c r="Y50">
        <v>2.1184539999999998</v>
      </c>
      <c r="Z50">
        <v>2.1184539999999998</v>
      </c>
      <c r="AA50">
        <v>2.1184539999999998</v>
      </c>
      <c r="AB50">
        <v>2.1184539999999998</v>
      </c>
      <c r="AC50">
        <v>2.1184539999999998</v>
      </c>
      <c r="AD50">
        <v>2.1184539999999998</v>
      </c>
      <c r="AE50">
        <v>2.1184539999999998</v>
      </c>
      <c r="AF50">
        <v>2.1184539999999998</v>
      </c>
      <c r="AG50">
        <v>2.1184539999999998</v>
      </c>
    </row>
    <row r="51" spans="1:33" x14ac:dyDescent="0.25">
      <c r="A51" t="s">
        <v>523</v>
      </c>
      <c r="B51" t="s">
        <v>251</v>
      </c>
      <c r="C51" t="s">
        <v>908</v>
      </c>
      <c r="D51" t="s">
        <v>498</v>
      </c>
      <c r="E51" t="s">
        <v>1357</v>
      </c>
      <c r="F51">
        <v>7.6080839999999998</v>
      </c>
      <c r="G51">
        <v>7.6607349999999999</v>
      </c>
      <c r="H51">
        <v>5.9593639999999999</v>
      </c>
      <c r="I51">
        <v>5.9593639999999999</v>
      </c>
      <c r="J51">
        <v>5.9593639999999999</v>
      </c>
      <c r="K51">
        <v>5.9593639999999999</v>
      </c>
      <c r="L51">
        <v>5.9593639999999999</v>
      </c>
      <c r="M51">
        <v>5.9593639999999999</v>
      </c>
      <c r="N51">
        <v>5.9593639999999999</v>
      </c>
      <c r="O51">
        <v>5.9593639999999999</v>
      </c>
      <c r="P51">
        <v>5.9593639999999999</v>
      </c>
      <c r="Q51">
        <v>5.9593639999999999</v>
      </c>
      <c r="R51">
        <v>5.9593639999999999</v>
      </c>
      <c r="S51">
        <v>5.9593639999999999</v>
      </c>
      <c r="T51">
        <v>5.9593639999999999</v>
      </c>
      <c r="U51">
        <v>5.9593639999999999</v>
      </c>
      <c r="V51">
        <v>5.9593639999999999</v>
      </c>
      <c r="W51">
        <v>5.9593639999999999</v>
      </c>
      <c r="X51">
        <v>5.9593639999999999</v>
      </c>
      <c r="Y51">
        <v>5.9593639999999999</v>
      </c>
      <c r="Z51">
        <v>5.9593639999999999</v>
      </c>
      <c r="AA51">
        <v>5.9593639999999999</v>
      </c>
      <c r="AB51">
        <v>5.9593639999999999</v>
      </c>
      <c r="AC51">
        <v>5.9593639999999999</v>
      </c>
      <c r="AD51">
        <v>5.9593639999999999</v>
      </c>
      <c r="AE51">
        <v>5.9593639999999999</v>
      </c>
      <c r="AF51">
        <v>5.9593639999999999</v>
      </c>
      <c r="AG51">
        <v>5.9593639999999999</v>
      </c>
    </row>
    <row r="52" spans="1:33" x14ac:dyDescent="0.25">
      <c r="A52" t="s">
        <v>523</v>
      </c>
      <c r="B52" t="s">
        <v>253</v>
      </c>
      <c r="C52" t="s">
        <v>909</v>
      </c>
      <c r="D52" t="s">
        <v>513</v>
      </c>
      <c r="E52" t="s">
        <v>1357</v>
      </c>
      <c r="F52">
        <v>2.009455</v>
      </c>
      <c r="G52">
        <v>1.578586</v>
      </c>
      <c r="H52">
        <v>2.2726649999999999</v>
      </c>
      <c r="I52">
        <v>2.2726649999999999</v>
      </c>
      <c r="J52">
        <v>2.2726649999999999</v>
      </c>
      <c r="K52">
        <v>2.2726649999999999</v>
      </c>
      <c r="L52">
        <v>2.2726649999999999</v>
      </c>
      <c r="M52">
        <v>2.2726649999999999</v>
      </c>
      <c r="N52">
        <v>2.2726649999999999</v>
      </c>
      <c r="O52">
        <v>2.2726649999999999</v>
      </c>
      <c r="P52">
        <v>2.2726649999999999</v>
      </c>
      <c r="Q52">
        <v>2.2726649999999999</v>
      </c>
      <c r="R52">
        <v>2.2726649999999999</v>
      </c>
      <c r="S52">
        <v>2.2726649999999999</v>
      </c>
      <c r="T52">
        <v>2.2726649999999999</v>
      </c>
      <c r="U52">
        <v>2.2726649999999999</v>
      </c>
      <c r="V52">
        <v>2.2726649999999999</v>
      </c>
      <c r="W52">
        <v>2.2726649999999999</v>
      </c>
      <c r="X52">
        <v>2.2726649999999999</v>
      </c>
      <c r="Y52">
        <v>2.2726649999999999</v>
      </c>
      <c r="Z52">
        <v>2.2726649999999999</v>
      </c>
      <c r="AA52">
        <v>2.2726649999999999</v>
      </c>
      <c r="AB52">
        <v>2.2726649999999999</v>
      </c>
      <c r="AC52">
        <v>2.2726649999999999</v>
      </c>
      <c r="AD52">
        <v>2.2726649999999999</v>
      </c>
      <c r="AE52">
        <v>2.2726649999999999</v>
      </c>
      <c r="AF52">
        <v>2.2726649999999999</v>
      </c>
      <c r="AG52">
        <v>2.2726649999999999</v>
      </c>
    </row>
    <row r="53" spans="1:33" x14ac:dyDescent="0.25">
      <c r="A53" t="s">
        <v>523</v>
      </c>
      <c r="B53" t="s">
        <v>253</v>
      </c>
      <c r="C53" t="s">
        <v>910</v>
      </c>
      <c r="D53" t="s">
        <v>508</v>
      </c>
      <c r="E53" t="s">
        <v>1357</v>
      </c>
      <c r="F53">
        <v>3.7282860000000002</v>
      </c>
      <c r="G53">
        <v>4.3862180000000004</v>
      </c>
      <c r="H53">
        <v>4.4334009999999999</v>
      </c>
      <c r="I53">
        <v>4.4334009999999999</v>
      </c>
      <c r="J53">
        <v>4.4334009999999999</v>
      </c>
      <c r="K53">
        <v>4.4334009999999999</v>
      </c>
      <c r="L53">
        <v>4.4334009999999999</v>
      </c>
      <c r="M53">
        <v>4.4334009999999999</v>
      </c>
      <c r="N53">
        <v>4.4334009999999999</v>
      </c>
      <c r="O53">
        <v>4.4334009999999999</v>
      </c>
      <c r="P53">
        <v>4.4334009999999999</v>
      </c>
      <c r="Q53">
        <v>4.4334009999999999</v>
      </c>
      <c r="R53">
        <v>4.4334009999999999</v>
      </c>
      <c r="S53">
        <v>4.4334009999999999</v>
      </c>
      <c r="T53">
        <v>4.4334009999999999</v>
      </c>
      <c r="U53">
        <v>4.4334009999999999</v>
      </c>
      <c r="V53">
        <v>4.4334009999999999</v>
      </c>
      <c r="W53">
        <v>4.4334009999999999</v>
      </c>
      <c r="X53">
        <v>4.4334009999999999</v>
      </c>
      <c r="Y53">
        <v>4.4334009999999999</v>
      </c>
      <c r="Z53">
        <v>4.4334009999999999</v>
      </c>
      <c r="AA53">
        <v>4.4334009999999999</v>
      </c>
      <c r="AB53">
        <v>4.4334009999999999</v>
      </c>
      <c r="AC53">
        <v>4.4334009999999999</v>
      </c>
      <c r="AD53">
        <v>4.4334009999999999</v>
      </c>
      <c r="AE53">
        <v>4.4334009999999999</v>
      </c>
      <c r="AF53">
        <v>4.4334009999999999</v>
      </c>
      <c r="AG53">
        <v>4.4334009999999999</v>
      </c>
    </row>
    <row r="54" spans="1:33" x14ac:dyDescent="0.25">
      <c r="D54" t="str">
        <f>IFERROR(VLOOKUP(C54,_TechMapping!$A:$B,2,FALSE),"")</f>
        <v/>
      </c>
    </row>
    <row r="55" spans="1:33" x14ac:dyDescent="0.25">
      <c r="D55" t="str">
        <f>IFERROR(VLOOKUP(C55,_TechMapping!$A:$B,2,FALSE),"")</f>
        <v/>
      </c>
    </row>
    <row r="56" spans="1:33" x14ac:dyDescent="0.25">
      <c r="D56" t="str">
        <f>IFERROR(VLOOKUP(C56,_TechMapping!$A:$B,2,FALSE),"")</f>
        <v/>
      </c>
    </row>
    <row r="57" spans="1:33" x14ac:dyDescent="0.25">
      <c r="D57" t="str">
        <f>IFERROR(VLOOKUP(C57,_TechMapping!$A:$B,2,FALSE),"")</f>
        <v/>
      </c>
    </row>
    <row r="58" spans="1:33" x14ac:dyDescent="0.25">
      <c r="D58" t="str">
        <f>IFERROR(VLOOKUP(C58,_TechMapping!$A:$B,2,FALSE),"")</f>
        <v/>
      </c>
    </row>
    <row r="59" spans="1:33" x14ac:dyDescent="0.25">
      <c r="D59" t="str">
        <f>IFERROR(VLOOKUP(C59,_TechMapping!$A:$B,2,FALSE),"")</f>
        <v/>
      </c>
    </row>
    <row r="60" spans="1:33" x14ac:dyDescent="0.25">
      <c r="D60" t="str">
        <f>IFERROR(VLOOKUP(C60,_TechMapping!$A:$B,2,FALSE),"")</f>
        <v/>
      </c>
    </row>
    <row r="61" spans="1:33" x14ac:dyDescent="0.25">
      <c r="D61" t="str">
        <f>IFERROR(VLOOKUP(C61,_TechMapping!$A:$B,2,FALSE),"")</f>
        <v/>
      </c>
    </row>
    <row r="62" spans="1:33" x14ac:dyDescent="0.25">
      <c r="D62" t="str">
        <f>IFERROR(VLOOKUP(C62,_TechMapping!$A:$B,2,FALSE),"")</f>
        <v/>
      </c>
    </row>
    <row r="63" spans="1:33" x14ac:dyDescent="0.25">
      <c r="D63" t="str">
        <f>IFERROR(VLOOKUP(C63,_TechMapping!$A:$B,2,FALSE),"")</f>
        <v/>
      </c>
    </row>
    <row r="64" spans="1:33" x14ac:dyDescent="0.25">
      <c r="D64" t="str">
        <f>IFERROR(VLOOKUP(C64,_TechMapping!$A:$B,2,FALSE),"")</f>
        <v/>
      </c>
    </row>
    <row r="65" spans="4:4" x14ac:dyDescent="0.25">
      <c r="D65" t="str">
        <f>IFERROR(VLOOKUP(C65,_TechMapping!$A:$B,2,FALSE),"")</f>
        <v/>
      </c>
    </row>
    <row r="66" spans="4:4" x14ac:dyDescent="0.25">
      <c r="D66" t="str">
        <f>IFERROR(VLOOKUP(C66,_TechMapping!$A:$B,2,FALSE),"")</f>
        <v/>
      </c>
    </row>
    <row r="67" spans="4:4" x14ac:dyDescent="0.25">
      <c r="D67" t="str">
        <f>IFERROR(VLOOKUP(C67,_TechMapping!$A:$B,2,FALSE),"")</f>
        <v/>
      </c>
    </row>
    <row r="68" spans="4:4" x14ac:dyDescent="0.25">
      <c r="D68" t="str">
        <f>IFERROR(VLOOKUP(C68,_TechMapping!$A:$B,2,FALSE),"")</f>
        <v/>
      </c>
    </row>
    <row r="69" spans="4:4" x14ac:dyDescent="0.25">
      <c r="D69" t="str">
        <f>IFERROR(VLOOKUP(C69,_TechMapping!$A:$B,2,FALSE),"")</f>
        <v/>
      </c>
    </row>
    <row r="70" spans="4:4" x14ac:dyDescent="0.25">
      <c r="D70" t="str">
        <f>IFERROR(VLOOKUP(C70,_TechMapping!$A:$B,2,FALSE),"")</f>
        <v/>
      </c>
    </row>
    <row r="71" spans="4:4" x14ac:dyDescent="0.25">
      <c r="D71" t="str">
        <f>IFERROR(VLOOKUP(C71,_TechMapping!$A:$B,2,FALSE),"")</f>
        <v/>
      </c>
    </row>
    <row r="72" spans="4:4" x14ac:dyDescent="0.25">
      <c r="D72" t="str">
        <f>IFERROR(VLOOKUP(C72,_TechMapping!$A:$B,2,FALSE),"")</f>
        <v/>
      </c>
    </row>
    <row r="73" spans="4:4" x14ac:dyDescent="0.25">
      <c r="D73" t="str">
        <f>IFERROR(VLOOKUP(C73,_TechMapping!$A:$B,2,FALSE),"")</f>
        <v/>
      </c>
    </row>
    <row r="74" spans="4:4" x14ac:dyDescent="0.25">
      <c r="D74" t="str">
        <f>IFERROR(VLOOKUP(C74,_TechMapping!$A:$B,2,FALSE),"")</f>
        <v/>
      </c>
    </row>
    <row r="75" spans="4:4" x14ac:dyDescent="0.25">
      <c r="D75" t="str">
        <f>IFERROR(VLOOKUP(C75,_TechMapping!$A:$B,2,FALSE),"")</f>
        <v/>
      </c>
    </row>
    <row r="76" spans="4:4" x14ac:dyDescent="0.25">
      <c r="D76" t="str">
        <f>IFERROR(VLOOKUP(C76,_TechMapping!$A:$B,2,FALSE),"")</f>
        <v/>
      </c>
    </row>
    <row r="77" spans="4:4" x14ac:dyDescent="0.25">
      <c r="D77" t="str">
        <f>IFERROR(VLOOKUP(C77,_TechMapping!$A:$B,2,FALSE),"")</f>
        <v/>
      </c>
    </row>
    <row r="78" spans="4:4" x14ac:dyDescent="0.25">
      <c r="D78" t="str">
        <f>IFERROR(VLOOKUP(C78,_TechMapping!$A:$B,2,FALSE),"")</f>
        <v/>
      </c>
    </row>
    <row r="79" spans="4:4" x14ac:dyDescent="0.25">
      <c r="D79" t="str">
        <f>IFERROR(VLOOKUP(C79,_TechMapping!$A:$B,2,FALSE),"")</f>
        <v/>
      </c>
    </row>
    <row r="80" spans="4:4" x14ac:dyDescent="0.25">
      <c r="D80" t="str">
        <f>IFERROR(VLOOKUP(C80,_TechMapping!$A:$B,2,FALSE),"")</f>
        <v/>
      </c>
    </row>
    <row r="81" spans="4:4" x14ac:dyDescent="0.25">
      <c r="D81" t="str">
        <f>IFERROR(VLOOKUP(C81,_TechMapping!$A:$B,2,FALSE),"")</f>
        <v/>
      </c>
    </row>
    <row r="82" spans="4:4" x14ac:dyDescent="0.25">
      <c r="D82" t="str">
        <f>IFERROR(VLOOKUP(C82,_TechMapping!$A:$B,2,FALSE),"")</f>
        <v/>
      </c>
    </row>
    <row r="83" spans="4:4" x14ac:dyDescent="0.25">
      <c r="D83" t="str">
        <f>IFERROR(VLOOKUP(C83,_TechMapping!$A:$B,2,FALSE),"")</f>
        <v/>
      </c>
    </row>
    <row r="84" spans="4:4" x14ac:dyDescent="0.25">
      <c r="D84" t="str">
        <f>IFERROR(VLOOKUP(C84,_TechMapping!$A:$B,2,FALSE),"")</f>
        <v/>
      </c>
    </row>
    <row r="85" spans="4:4" x14ac:dyDescent="0.25">
      <c r="D85" t="str">
        <f>IFERROR(VLOOKUP(C85,_TechMapping!$A:$B,2,FALSE),"")</f>
        <v/>
      </c>
    </row>
    <row r="86" spans="4:4" x14ac:dyDescent="0.25">
      <c r="D86" t="str">
        <f>IFERROR(VLOOKUP(C86,_TechMapping!$A:$B,2,FALSE),"")</f>
        <v/>
      </c>
    </row>
    <row r="87" spans="4:4" x14ac:dyDescent="0.25">
      <c r="D87" t="str">
        <f>IFERROR(VLOOKUP(C87,_TechMapping!$A:$B,2,FALSE),"")</f>
        <v/>
      </c>
    </row>
    <row r="88" spans="4:4" x14ac:dyDescent="0.25">
      <c r="D88" t="str">
        <f>IFERROR(VLOOKUP(C88,_TechMapping!$A:$B,2,FALSE),"")</f>
        <v/>
      </c>
    </row>
    <row r="89" spans="4:4" x14ac:dyDescent="0.25">
      <c r="D89" t="str">
        <f>IFERROR(VLOOKUP(C89,_TechMapping!$A:$B,2,FALSE),"")</f>
        <v/>
      </c>
    </row>
    <row r="90" spans="4:4" x14ac:dyDescent="0.25">
      <c r="D90" t="str">
        <f>IFERROR(VLOOKUP(C90,_TechMapping!$A:$B,2,FALSE),"")</f>
        <v/>
      </c>
    </row>
    <row r="91" spans="4:4" x14ac:dyDescent="0.25">
      <c r="D91" t="str">
        <f>IFERROR(VLOOKUP(C91,_TechMapping!$A:$B,2,FALSE),"")</f>
        <v/>
      </c>
    </row>
    <row r="92" spans="4:4" x14ac:dyDescent="0.25">
      <c r="D92" t="str">
        <f>IFERROR(VLOOKUP(C92,_TechMapping!$A:$B,2,FALSE),"")</f>
        <v/>
      </c>
    </row>
    <row r="93" spans="4:4" x14ac:dyDescent="0.25">
      <c r="D93" t="str">
        <f>IFERROR(VLOOKUP(C93,_TechMapping!$A:$B,2,FALSE),"")</f>
        <v/>
      </c>
    </row>
    <row r="94" spans="4:4" x14ac:dyDescent="0.25">
      <c r="D94" t="str">
        <f>IFERROR(VLOOKUP(C94,_TechMapping!$A:$B,2,FALSE),"")</f>
        <v/>
      </c>
    </row>
    <row r="95" spans="4:4" x14ac:dyDescent="0.25">
      <c r="D95" t="str">
        <f>IFERROR(VLOOKUP(C95,_TechMapping!$A:$B,2,FALSE),"")</f>
        <v/>
      </c>
    </row>
    <row r="96" spans="4:4" x14ac:dyDescent="0.25">
      <c r="D96" t="str">
        <f>IFERROR(VLOOKUP(C96,_TechMapping!$A:$B,2,FALSE),"")</f>
        <v/>
      </c>
    </row>
    <row r="97" spans="4:4" x14ac:dyDescent="0.25">
      <c r="D97" t="str">
        <f>IFERROR(VLOOKUP(C97,_TechMapping!$A:$B,2,FALSE),"")</f>
        <v/>
      </c>
    </row>
    <row r="98" spans="4:4" x14ac:dyDescent="0.25">
      <c r="D98" t="str">
        <f>IFERROR(VLOOKUP(C98,_TechMapping!$A:$B,2,FALSE),"")</f>
        <v/>
      </c>
    </row>
    <row r="99" spans="4:4" x14ac:dyDescent="0.25">
      <c r="D99" t="str">
        <f>IFERROR(VLOOKUP(C99,_TechMapping!$A:$B,2,FALSE),"")</f>
        <v/>
      </c>
    </row>
    <row r="100" spans="4:4" x14ac:dyDescent="0.25">
      <c r="D100" t="str">
        <f>IFERROR(VLOOKUP(C100,_TechMapping!$A:$B,2,FALSE),"")</f>
        <v/>
      </c>
    </row>
    <row r="101" spans="4:4" x14ac:dyDescent="0.25">
      <c r="D101" t="str">
        <f>IFERROR(VLOOKUP(C101,_TechMapping!$A:$B,2,FALSE),"")</f>
        <v/>
      </c>
    </row>
  </sheetData>
  <dataValidations count="1">
    <dataValidation type="list" errorTitle="Invalid Tech.Name" error="Please select a valid technology for this country" sqref="C2:C101" xr:uid="{00000000-0002-0000-0700-000002000000}">
      <formula1>INDIRECT("Tech_"&amp;$B2)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Title="Invalid Scenario" error="Please select a valid scenario" xr:uid="{00000000-0002-0000-0700-000000000000}">
          <x14:formula1>
            <xm:f>_Scenarios!$A$1:$A$5</xm:f>
          </x14:formula1>
          <xm:sqref>A2:A101</xm:sqref>
        </x14:dataValidation>
        <x14:dataValidation type="list" errorTitle="Invalid Country" error="Please select a valid country" xr:uid="{00000000-0002-0000-0700-000001000000}">
          <x14:formula1>
            <xm:f>_Countries!$A$1:$A$19</xm:f>
          </x14:formula1>
          <xm:sqref>B2:B101</xm:sqref>
        </x14:dataValidation>
        <x14:dataValidation type="list" errorTitle="Invalid Parameter" error="Please select a valid parameter" xr:uid="{00000000-0002-0000-0700-000003000000}">
          <x14:formula1>
            <xm:f>_Parameters!$A$1:$A$11</xm:f>
          </x14:formula1>
          <xm:sqref>E2:E101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4"/>
  <sheetViews>
    <sheetView workbookViewId="0">
      <pane xSplit="3" ySplit="4" topLeftCell="D5" activePane="bottomRight" state="frozen"/>
      <selection pane="topRight"/>
      <selection pane="bottomLeft"/>
      <selection pane="bottomRight" sqref="A1:E1"/>
    </sheetView>
  </sheetViews>
  <sheetFormatPr defaultRowHeight="15" x14ac:dyDescent="0.25"/>
  <cols>
    <col min="1" max="1" width="18" customWidth="1"/>
    <col min="2" max="2" width="22" customWidth="1"/>
    <col min="3" max="3" width="8" customWidth="1"/>
    <col min="4" max="4" width="10" customWidth="1"/>
    <col min="5" max="5" width="45" customWidth="1"/>
  </cols>
  <sheetData>
    <row r="1" spans="1:5" ht="18.75" x14ac:dyDescent="0.3">
      <c r="A1" s="37" t="s">
        <v>380</v>
      </c>
      <c r="B1" s="30"/>
      <c r="C1" s="30"/>
      <c r="D1" s="30"/>
      <c r="E1" s="30"/>
    </row>
    <row r="2" spans="1:5" x14ac:dyDescent="0.25">
      <c r="A2" s="29" t="s">
        <v>381</v>
      </c>
      <c r="B2" s="30"/>
      <c r="C2" s="30"/>
      <c r="D2" s="30"/>
      <c r="E2" s="30"/>
    </row>
    <row r="4" spans="1:5" x14ac:dyDescent="0.25">
      <c r="A4" s="20" t="s">
        <v>382</v>
      </c>
      <c r="B4" s="20" t="s">
        <v>383</v>
      </c>
      <c r="C4" s="20" t="s">
        <v>384</v>
      </c>
      <c r="D4" s="20" t="s">
        <v>385</v>
      </c>
      <c r="E4" s="20" t="s">
        <v>386</v>
      </c>
    </row>
    <row r="5" spans="1:5" x14ac:dyDescent="0.25">
      <c r="A5" s="24" t="s">
        <v>387</v>
      </c>
      <c r="B5" s="24" t="s">
        <v>388</v>
      </c>
      <c r="C5" s="24">
        <v>1</v>
      </c>
      <c r="D5" s="25" t="s">
        <v>389</v>
      </c>
      <c r="E5" s="26" t="s">
        <v>390</v>
      </c>
    </row>
    <row r="6" spans="1:5" x14ac:dyDescent="0.25">
      <c r="A6" s="24" t="s">
        <v>387</v>
      </c>
      <c r="B6" s="24" t="s">
        <v>391</v>
      </c>
      <c r="C6" s="24">
        <v>2</v>
      </c>
      <c r="D6" s="25" t="s">
        <v>389</v>
      </c>
      <c r="E6" s="26" t="s">
        <v>392</v>
      </c>
    </row>
    <row r="7" spans="1:5" x14ac:dyDescent="0.25">
      <c r="A7" s="27" t="s">
        <v>393</v>
      </c>
      <c r="B7" s="27" t="s">
        <v>394</v>
      </c>
      <c r="C7" s="27">
        <v>1</v>
      </c>
      <c r="D7" s="25" t="s">
        <v>389</v>
      </c>
      <c r="E7" s="28" t="s">
        <v>395</v>
      </c>
    </row>
    <row r="8" spans="1:5" x14ac:dyDescent="0.25">
      <c r="A8" s="27" t="s">
        <v>393</v>
      </c>
      <c r="B8" s="27" t="s">
        <v>396</v>
      </c>
      <c r="C8" s="27">
        <v>2</v>
      </c>
      <c r="D8" s="25" t="s">
        <v>389</v>
      </c>
      <c r="E8" s="28" t="s">
        <v>397</v>
      </c>
    </row>
    <row r="9" spans="1:5" x14ac:dyDescent="0.25">
      <c r="A9" s="24" t="s">
        <v>398</v>
      </c>
      <c r="B9" s="24" t="s">
        <v>399</v>
      </c>
      <c r="C9" s="24">
        <v>1</v>
      </c>
      <c r="D9" s="25" t="s">
        <v>389</v>
      </c>
      <c r="E9" s="26" t="s">
        <v>400</v>
      </c>
    </row>
    <row r="10" spans="1:5" x14ac:dyDescent="0.25">
      <c r="A10" s="24" t="s">
        <v>398</v>
      </c>
      <c r="B10" s="24" t="s">
        <v>401</v>
      </c>
      <c r="C10" s="24">
        <v>2</v>
      </c>
      <c r="D10" s="25" t="s">
        <v>389</v>
      </c>
      <c r="E10" s="26" t="s">
        <v>402</v>
      </c>
    </row>
    <row r="11" spans="1:5" x14ac:dyDescent="0.25">
      <c r="A11" s="27" t="s">
        <v>403</v>
      </c>
      <c r="B11" s="27" t="s">
        <v>404</v>
      </c>
      <c r="C11" s="27">
        <v>1</v>
      </c>
      <c r="D11" s="25" t="s">
        <v>389</v>
      </c>
      <c r="E11" s="28" t="s">
        <v>405</v>
      </c>
    </row>
    <row r="12" spans="1:5" x14ac:dyDescent="0.25">
      <c r="A12" s="27" t="s">
        <v>403</v>
      </c>
      <c r="B12" s="27" t="s">
        <v>406</v>
      </c>
      <c r="C12" s="27">
        <v>2</v>
      </c>
      <c r="D12" s="25" t="s">
        <v>389</v>
      </c>
      <c r="E12" s="28" t="s">
        <v>407</v>
      </c>
    </row>
    <row r="13" spans="1:5" x14ac:dyDescent="0.25">
      <c r="A13" s="24" t="s">
        <v>408</v>
      </c>
      <c r="B13" s="24" t="s">
        <v>409</v>
      </c>
      <c r="C13" s="24">
        <v>1</v>
      </c>
      <c r="D13" s="25" t="s">
        <v>389</v>
      </c>
      <c r="E13" s="26" t="s">
        <v>410</v>
      </c>
    </row>
    <row r="14" spans="1:5" x14ac:dyDescent="0.25">
      <c r="A14" s="24" t="s">
        <v>408</v>
      </c>
      <c r="B14" s="24" t="s">
        <v>411</v>
      </c>
      <c r="C14" s="24">
        <v>2</v>
      </c>
      <c r="D14" s="25" t="s">
        <v>389</v>
      </c>
      <c r="E14" s="26" t="s">
        <v>412</v>
      </c>
    </row>
    <row r="15" spans="1:5" x14ac:dyDescent="0.25">
      <c r="A15" s="27" t="s">
        <v>413</v>
      </c>
      <c r="B15" s="27" t="s">
        <v>414</v>
      </c>
      <c r="C15" s="27">
        <v>1</v>
      </c>
      <c r="D15" s="25" t="s">
        <v>389</v>
      </c>
      <c r="E15" s="28" t="s">
        <v>415</v>
      </c>
    </row>
    <row r="16" spans="1:5" x14ac:dyDescent="0.25">
      <c r="A16" s="27" t="s">
        <v>413</v>
      </c>
      <c r="B16" s="27" t="s">
        <v>416</v>
      </c>
      <c r="C16" s="27">
        <v>2</v>
      </c>
      <c r="D16" s="25" t="s">
        <v>389</v>
      </c>
      <c r="E16" s="28" t="s">
        <v>417</v>
      </c>
    </row>
    <row r="17" spans="1:5" x14ac:dyDescent="0.25">
      <c r="A17" s="24" t="s">
        <v>418</v>
      </c>
      <c r="B17" s="24" t="s">
        <v>419</v>
      </c>
      <c r="C17" s="24">
        <v>1</v>
      </c>
      <c r="D17" s="25" t="s">
        <v>389</v>
      </c>
      <c r="E17" s="26" t="s">
        <v>420</v>
      </c>
    </row>
    <row r="18" spans="1:5" x14ac:dyDescent="0.25">
      <c r="A18" s="24" t="s">
        <v>418</v>
      </c>
      <c r="B18" s="24" t="s">
        <v>421</v>
      </c>
      <c r="C18" s="24">
        <v>2</v>
      </c>
      <c r="D18" s="25" t="s">
        <v>389</v>
      </c>
      <c r="E18" s="26" t="s">
        <v>422</v>
      </c>
    </row>
    <row r="19" spans="1:5" x14ac:dyDescent="0.25">
      <c r="A19" s="27" t="s">
        <v>423</v>
      </c>
      <c r="B19" s="27" t="s">
        <v>424</v>
      </c>
      <c r="C19" s="27">
        <v>1</v>
      </c>
      <c r="D19" s="25" t="s">
        <v>389</v>
      </c>
      <c r="E19" s="28" t="s">
        <v>425</v>
      </c>
    </row>
    <row r="20" spans="1:5" x14ac:dyDescent="0.25">
      <c r="A20" s="27" t="s">
        <v>423</v>
      </c>
      <c r="B20" s="27" t="s">
        <v>426</v>
      </c>
      <c r="C20" s="27">
        <v>2</v>
      </c>
      <c r="D20" s="25" t="s">
        <v>389</v>
      </c>
      <c r="E20" s="28" t="s">
        <v>427</v>
      </c>
    </row>
    <row r="21" spans="1:5" x14ac:dyDescent="0.25">
      <c r="A21" s="24" t="s">
        <v>428</v>
      </c>
      <c r="B21" s="24" t="s">
        <v>429</v>
      </c>
      <c r="C21" s="24">
        <v>1</v>
      </c>
      <c r="D21" s="25" t="s">
        <v>389</v>
      </c>
      <c r="E21" s="26" t="s">
        <v>430</v>
      </c>
    </row>
    <row r="22" spans="1:5" x14ac:dyDescent="0.25">
      <c r="A22" s="24" t="s">
        <v>428</v>
      </c>
      <c r="B22" s="24" t="s">
        <v>431</v>
      </c>
      <c r="C22" s="24">
        <v>2</v>
      </c>
      <c r="D22" s="25" t="s">
        <v>389</v>
      </c>
      <c r="E22" s="26" t="s">
        <v>432</v>
      </c>
    </row>
    <row r="23" spans="1:5" x14ac:dyDescent="0.25">
      <c r="A23" s="27" t="s">
        <v>433</v>
      </c>
      <c r="B23" s="27" t="s">
        <v>434</v>
      </c>
      <c r="C23" s="27">
        <v>1</v>
      </c>
      <c r="D23" s="25" t="s">
        <v>389</v>
      </c>
      <c r="E23" s="28" t="s">
        <v>435</v>
      </c>
    </row>
    <row r="24" spans="1:5" x14ac:dyDescent="0.25">
      <c r="A24" s="27" t="s">
        <v>433</v>
      </c>
      <c r="B24" s="27" t="s">
        <v>436</v>
      </c>
      <c r="C24" s="27">
        <v>2</v>
      </c>
      <c r="D24" s="25" t="s">
        <v>389</v>
      </c>
      <c r="E24" s="28" t="s">
        <v>437</v>
      </c>
    </row>
    <row r="25" spans="1:5" x14ac:dyDescent="0.25">
      <c r="A25" s="24" t="s">
        <v>438</v>
      </c>
      <c r="B25" s="24" t="s">
        <v>439</v>
      </c>
      <c r="C25" s="24">
        <v>1</v>
      </c>
      <c r="D25" s="25" t="s">
        <v>389</v>
      </c>
      <c r="E25" s="26" t="s">
        <v>440</v>
      </c>
    </row>
    <row r="26" spans="1:5" x14ac:dyDescent="0.25">
      <c r="A26" s="24" t="s">
        <v>438</v>
      </c>
      <c r="B26" s="24" t="s">
        <v>441</v>
      </c>
      <c r="C26" s="24">
        <v>2</v>
      </c>
      <c r="D26" s="25" t="s">
        <v>389</v>
      </c>
      <c r="E26" s="26" t="s">
        <v>442</v>
      </c>
    </row>
    <row r="27" spans="1:5" x14ac:dyDescent="0.25">
      <c r="A27" s="27" t="s">
        <v>443</v>
      </c>
      <c r="B27" s="27" t="s">
        <v>444</v>
      </c>
      <c r="C27" s="27">
        <v>1</v>
      </c>
      <c r="D27" s="25" t="s">
        <v>389</v>
      </c>
      <c r="E27" s="28" t="s">
        <v>445</v>
      </c>
    </row>
    <row r="28" spans="1:5" x14ac:dyDescent="0.25">
      <c r="A28" s="27" t="s">
        <v>443</v>
      </c>
      <c r="B28" s="27" t="s">
        <v>446</v>
      </c>
      <c r="C28" s="27">
        <v>2</v>
      </c>
      <c r="D28" s="25" t="s">
        <v>389</v>
      </c>
      <c r="E28" s="28" t="s">
        <v>447</v>
      </c>
    </row>
    <row r="29" spans="1:5" x14ac:dyDescent="0.25">
      <c r="A29" s="24" t="s">
        <v>448</v>
      </c>
      <c r="B29" s="24" t="s">
        <v>449</v>
      </c>
      <c r="C29" s="24">
        <v>1</v>
      </c>
      <c r="D29" s="25" t="s">
        <v>389</v>
      </c>
      <c r="E29" s="26" t="s">
        <v>450</v>
      </c>
    </row>
    <row r="30" spans="1:5" x14ac:dyDescent="0.25">
      <c r="A30" s="24" t="s">
        <v>448</v>
      </c>
      <c r="B30" s="24" t="s">
        <v>451</v>
      </c>
      <c r="C30" s="24">
        <v>2</v>
      </c>
      <c r="D30" s="25" t="s">
        <v>389</v>
      </c>
      <c r="E30" s="26" t="s">
        <v>452</v>
      </c>
    </row>
    <row r="31" spans="1:5" x14ac:dyDescent="0.25">
      <c r="A31" s="27" t="s">
        <v>453</v>
      </c>
      <c r="B31" s="27" t="s">
        <v>454</v>
      </c>
      <c r="C31" s="27">
        <v>1</v>
      </c>
      <c r="D31" s="25" t="s">
        <v>389</v>
      </c>
      <c r="E31" s="28" t="s">
        <v>455</v>
      </c>
    </row>
    <row r="32" spans="1:5" x14ac:dyDescent="0.25">
      <c r="A32" s="27" t="s">
        <v>453</v>
      </c>
      <c r="B32" s="27" t="s">
        <v>456</v>
      </c>
      <c r="C32" s="27">
        <v>2</v>
      </c>
      <c r="D32" s="25" t="s">
        <v>389</v>
      </c>
      <c r="E32" s="28" t="s">
        <v>457</v>
      </c>
    </row>
    <row r="33" spans="1:5" x14ac:dyDescent="0.25">
      <c r="A33" s="24" t="s">
        <v>458</v>
      </c>
      <c r="B33" s="24" t="s">
        <v>459</v>
      </c>
      <c r="C33" s="24">
        <v>1</v>
      </c>
      <c r="D33" s="25" t="s">
        <v>389</v>
      </c>
      <c r="E33" s="26" t="s">
        <v>460</v>
      </c>
    </row>
    <row r="34" spans="1:5" x14ac:dyDescent="0.25">
      <c r="A34" s="24" t="s">
        <v>458</v>
      </c>
      <c r="B34" s="24" t="s">
        <v>461</v>
      </c>
      <c r="C34" s="24">
        <v>2</v>
      </c>
      <c r="D34" s="25" t="s">
        <v>389</v>
      </c>
      <c r="E34" s="26" t="s">
        <v>462</v>
      </c>
    </row>
    <row r="35" spans="1:5" x14ac:dyDescent="0.25">
      <c r="A35" s="27" t="s">
        <v>463</v>
      </c>
      <c r="B35" s="27" t="s">
        <v>464</v>
      </c>
      <c r="C35" s="27">
        <v>1</v>
      </c>
      <c r="D35" s="25" t="s">
        <v>389</v>
      </c>
      <c r="E35" s="28" t="s">
        <v>465</v>
      </c>
    </row>
    <row r="36" spans="1:5" x14ac:dyDescent="0.25">
      <c r="A36" s="27" t="s">
        <v>463</v>
      </c>
      <c r="B36" s="27" t="s">
        <v>466</v>
      </c>
      <c r="C36" s="27">
        <v>2</v>
      </c>
      <c r="D36" s="25" t="s">
        <v>389</v>
      </c>
      <c r="E36" s="28" t="s">
        <v>467</v>
      </c>
    </row>
    <row r="37" spans="1:5" x14ac:dyDescent="0.25">
      <c r="A37" s="24" t="s">
        <v>468</v>
      </c>
      <c r="B37" s="24" t="s">
        <v>469</v>
      </c>
      <c r="C37" s="24">
        <v>1</v>
      </c>
      <c r="D37" s="25" t="s">
        <v>389</v>
      </c>
      <c r="E37" s="26" t="s">
        <v>470</v>
      </c>
    </row>
    <row r="38" spans="1:5" x14ac:dyDescent="0.25">
      <c r="A38" s="24" t="s">
        <v>468</v>
      </c>
      <c r="B38" s="24" t="s">
        <v>471</v>
      </c>
      <c r="C38" s="24">
        <v>2</v>
      </c>
      <c r="D38" s="25" t="s">
        <v>389</v>
      </c>
      <c r="E38" s="26" t="s">
        <v>472</v>
      </c>
    </row>
    <row r="39" spans="1:5" x14ac:dyDescent="0.25">
      <c r="A39" s="27" t="s">
        <v>473</v>
      </c>
      <c r="B39" s="27" t="s">
        <v>474</v>
      </c>
      <c r="C39" s="27">
        <v>1</v>
      </c>
      <c r="D39" s="25" t="s">
        <v>389</v>
      </c>
      <c r="E39" s="28" t="s">
        <v>475</v>
      </c>
    </row>
    <row r="40" spans="1:5" x14ac:dyDescent="0.25">
      <c r="A40" s="27" t="s">
        <v>473</v>
      </c>
      <c r="B40" s="27" t="s">
        <v>476</v>
      </c>
      <c r="C40" s="27">
        <v>2</v>
      </c>
      <c r="D40" s="25" t="s">
        <v>389</v>
      </c>
      <c r="E40" s="28" t="s">
        <v>477</v>
      </c>
    </row>
    <row r="41" spans="1:5" x14ac:dyDescent="0.25">
      <c r="A41" s="24" t="s">
        <v>478</v>
      </c>
      <c r="B41" s="24" t="s">
        <v>479</v>
      </c>
      <c r="C41" s="24">
        <v>1</v>
      </c>
      <c r="D41" s="25" t="s">
        <v>389</v>
      </c>
      <c r="E41" s="26" t="s">
        <v>480</v>
      </c>
    </row>
    <row r="42" spans="1:5" x14ac:dyDescent="0.25">
      <c r="A42" s="24" t="s">
        <v>478</v>
      </c>
      <c r="B42" s="24" t="s">
        <v>481</v>
      </c>
      <c r="C42" s="24">
        <v>2</v>
      </c>
      <c r="D42" s="25" t="s">
        <v>389</v>
      </c>
      <c r="E42" s="26" t="s">
        <v>482</v>
      </c>
    </row>
    <row r="43" spans="1:5" x14ac:dyDescent="0.25">
      <c r="A43" s="27" t="s">
        <v>483</v>
      </c>
      <c r="B43" s="27" t="s">
        <v>484</v>
      </c>
      <c r="C43" s="27">
        <v>1</v>
      </c>
      <c r="D43" s="25" t="s">
        <v>389</v>
      </c>
      <c r="E43" s="28" t="s">
        <v>485</v>
      </c>
    </row>
    <row r="44" spans="1:5" x14ac:dyDescent="0.25">
      <c r="A44" s="27" t="s">
        <v>483</v>
      </c>
      <c r="B44" s="27" t="s">
        <v>486</v>
      </c>
      <c r="C44" s="27">
        <v>2</v>
      </c>
      <c r="D44" s="25" t="s">
        <v>389</v>
      </c>
      <c r="E44" s="28" t="s">
        <v>487</v>
      </c>
    </row>
    <row r="45" spans="1:5" x14ac:dyDescent="0.25">
      <c r="A45" s="24" t="s">
        <v>488</v>
      </c>
      <c r="B45" s="24" t="s">
        <v>489</v>
      </c>
      <c r="C45" s="24">
        <v>1</v>
      </c>
      <c r="D45" s="25" t="s">
        <v>389</v>
      </c>
      <c r="E45" s="26" t="s">
        <v>490</v>
      </c>
    </row>
    <row r="46" spans="1:5" x14ac:dyDescent="0.25">
      <c r="A46" s="24" t="s">
        <v>488</v>
      </c>
      <c r="B46" s="24" t="s">
        <v>491</v>
      </c>
      <c r="C46" s="24">
        <v>2</v>
      </c>
      <c r="D46" s="25" t="s">
        <v>389</v>
      </c>
      <c r="E46" s="26" t="s">
        <v>492</v>
      </c>
    </row>
    <row r="47" spans="1:5" x14ac:dyDescent="0.25">
      <c r="A47" s="27" t="s">
        <v>493</v>
      </c>
      <c r="B47" s="27" t="s">
        <v>494</v>
      </c>
      <c r="C47" s="27">
        <v>1</v>
      </c>
      <c r="D47" s="25" t="s">
        <v>389</v>
      </c>
      <c r="E47" s="28" t="s">
        <v>495</v>
      </c>
    </row>
    <row r="48" spans="1:5" x14ac:dyDescent="0.25">
      <c r="A48" s="27" t="s">
        <v>493</v>
      </c>
      <c r="B48" s="27" t="s">
        <v>496</v>
      </c>
      <c r="C48" s="27">
        <v>2</v>
      </c>
      <c r="D48" s="25" t="s">
        <v>389</v>
      </c>
      <c r="E48" s="28" t="s">
        <v>497</v>
      </c>
    </row>
    <row r="49" spans="1:5" x14ac:dyDescent="0.25">
      <c r="A49" s="24" t="s">
        <v>498</v>
      </c>
      <c r="B49" s="24" t="s">
        <v>499</v>
      </c>
      <c r="C49" s="24">
        <v>1</v>
      </c>
      <c r="D49" s="25" t="s">
        <v>389</v>
      </c>
      <c r="E49" s="26" t="s">
        <v>500</v>
      </c>
    </row>
    <row r="50" spans="1:5" x14ac:dyDescent="0.25">
      <c r="A50" s="24" t="s">
        <v>498</v>
      </c>
      <c r="B50" s="24" t="s">
        <v>501</v>
      </c>
      <c r="C50" s="24">
        <v>2</v>
      </c>
      <c r="D50" s="25" t="s">
        <v>389</v>
      </c>
      <c r="E50" s="26" t="s">
        <v>502</v>
      </c>
    </row>
    <row r="51" spans="1:5" x14ac:dyDescent="0.25">
      <c r="A51" s="27" t="s">
        <v>503</v>
      </c>
      <c r="B51" s="27" t="s">
        <v>504</v>
      </c>
      <c r="C51" s="27">
        <v>1</v>
      </c>
      <c r="D51" s="25" t="s">
        <v>389</v>
      </c>
      <c r="E51" s="28" t="s">
        <v>505</v>
      </c>
    </row>
    <row r="52" spans="1:5" x14ac:dyDescent="0.25">
      <c r="A52" s="27" t="s">
        <v>503</v>
      </c>
      <c r="B52" s="27" t="s">
        <v>506</v>
      </c>
      <c r="C52" s="27">
        <v>2</v>
      </c>
      <c r="D52" s="25" t="s">
        <v>389</v>
      </c>
      <c r="E52" s="28" t="s">
        <v>507</v>
      </c>
    </row>
    <row r="53" spans="1:5" x14ac:dyDescent="0.25">
      <c r="A53" s="24" t="s">
        <v>508</v>
      </c>
      <c r="B53" s="24" t="s">
        <v>509</v>
      </c>
      <c r="C53" s="24">
        <v>1</v>
      </c>
      <c r="D53" s="25" t="s">
        <v>389</v>
      </c>
      <c r="E53" s="26" t="s">
        <v>510</v>
      </c>
    </row>
    <row r="54" spans="1:5" x14ac:dyDescent="0.25">
      <c r="A54" s="24" t="s">
        <v>508</v>
      </c>
      <c r="B54" s="24" t="s">
        <v>511</v>
      </c>
      <c r="C54" s="24">
        <v>2</v>
      </c>
      <c r="D54" s="25" t="s">
        <v>389</v>
      </c>
      <c r="E54" s="26" t="s">
        <v>512</v>
      </c>
    </row>
    <row r="55" spans="1:5" x14ac:dyDescent="0.25">
      <c r="A55" s="27" t="s">
        <v>513</v>
      </c>
      <c r="B55" s="27" t="s">
        <v>514</v>
      </c>
      <c r="C55" s="27">
        <v>1</v>
      </c>
      <c r="D55" s="25" t="s">
        <v>389</v>
      </c>
      <c r="E55" s="28" t="s">
        <v>515</v>
      </c>
    </row>
    <row r="56" spans="1:5" x14ac:dyDescent="0.25">
      <c r="A56" s="27" t="s">
        <v>513</v>
      </c>
      <c r="B56" s="27" t="s">
        <v>516</v>
      </c>
      <c r="C56" s="27">
        <v>2</v>
      </c>
      <c r="D56" s="25" t="s">
        <v>389</v>
      </c>
      <c r="E56" s="28" t="s">
        <v>517</v>
      </c>
    </row>
    <row r="58" spans="1:5" x14ac:dyDescent="0.25">
      <c r="A58" s="36" t="s">
        <v>309</v>
      </c>
      <c r="B58" s="30"/>
      <c r="C58" s="30"/>
      <c r="D58" s="30"/>
      <c r="E58" s="30"/>
    </row>
    <row r="59" spans="1:5" x14ac:dyDescent="0.25">
      <c r="A59" s="36" t="s">
        <v>518</v>
      </c>
      <c r="B59" s="30"/>
      <c r="C59" s="30"/>
      <c r="D59" s="30"/>
      <c r="E59" s="30"/>
    </row>
    <row r="60" spans="1:5" x14ac:dyDescent="0.25">
      <c r="A60" s="36" t="s">
        <v>519</v>
      </c>
      <c r="B60" s="30"/>
      <c r="C60" s="30"/>
      <c r="D60" s="30"/>
      <c r="E60" s="30"/>
    </row>
    <row r="61" spans="1:5" x14ac:dyDescent="0.25">
      <c r="A61" s="36" t="s">
        <v>520</v>
      </c>
      <c r="B61" s="30"/>
      <c r="C61" s="30"/>
      <c r="D61" s="30"/>
      <c r="E61" s="30"/>
    </row>
    <row r="62" spans="1:5" x14ac:dyDescent="0.25">
      <c r="A62" s="36" t="s">
        <v>521</v>
      </c>
      <c r="B62" s="30"/>
      <c r="C62" s="30"/>
      <c r="D62" s="30"/>
      <c r="E62" s="30"/>
    </row>
    <row r="63" spans="1:5" x14ac:dyDescent="0.25">
      <c r="A63" s="36"/>
      <c r="B63" s="30"/>
      <c r="C63" s="30"/>
      <c r="D63" s="30"/>
      <c r="E63" s="30"/>
    </row>
    <row r="64" spans="1:5" x14ac:dyDescent="0.25">
      <c r="A64" s="36" t="s">
        <v>522</v>
      </c>
      <c r="B64" s="30"/>
      <c r="C64" s="30"/>
      <c r="D64" s="30"/>
      <c r="E64" s="30"/>
    </row>
  </sheetData>
  <mergeCells count="9">
    <mergeCell ref="A1:E1"/>
    <mergeCell ref="A61:E61"/>
    <mergeCell ref="A58:E58"/>
    <mergeCell ref="A59:E59"/>
    <mergeCell ref="A62:E62"/>
    <mergeCell ref="A2:E2"/>
    <mergeCell ref="A64:E64"/>
    <mergeCell ref="A60:E60"/>
    <mergeCell ref="A63:E63"/>
  </mergeCells>
  <dataValidations count="1">
    <dataValidation type="list" errorTitle="Invalid Status" error="Please select ON or OFF" sqref="D5:D56" xr:uid="{00000000-0002-0000-0800-000000000000}">
      <formula1>"ON,OFF"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5"/>
  <sheetViews>
    <sheetView workbookViewId="0"/>
  </sheetViews>
  <sheetFormatPr defaultRowHeight="15" x14ac:dyDescent="0.25"/>
  <sheetData>
    <row r="1" spans="1:1" x14ac:dyDescent="0.25">
      <c r="A1" t="s">
        <v>523</v>
      </c>
    </row>
    <row r="2" spans="1:1" x14ac:dyDescent="0.25">
      <c r="A2" t="s">
        <v>331</v>
      </c>
    </row>
    <row r="3" spans="1:1" x14ac:dyDescent="0.25">
      <c r="A3" t="s">
        <v>306</v>
      </c>
    </row>
    <row r="4" spans="1:1" x14ac:dyDescent="0.25">
      <c r="A4" t="s">
        <v>307</v>
      </c>
    </row>
    <row r="5" spans="1:1" x14ac:dyDescent="0.25">
      <c r="A5" t="s">
        <v>308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19"/>
  <sheetViews>
    <sheetView workbookViewId="0"/>
  </sheetViews>
  <sheetFormatPr defaultRowHeight="15" x14ac:dyDescent="0.25"/>
  <sheetData>
    <row r="1" spans="1:1" x14ac:dyDescent="0.25">
      <c r="A1" t="s">
        <v>233</v>
      </c>
    </row>
    <row r="2" spans="1:1" x14ac:dyDescent="0.25">
      <c r="A2" t="s">
        <v>235</v>
      </c>
    </row>
    <row r="3" spans="1:1" x14ac:dyDescent="0.25">
      <c r="A3" t="s">
        <v>237</v>
      </c>
    </row>
    <row r="4" spans="1:1" x14ac:dyDescent="0.25">
      <c r="A4" t="s">
        <v>239</v>
      </c>
    </row>
    <row r="5" spans="1:1" x14ac:dyDescent="0.25">
      <c r="A5" t="s">
        <v>241</v>
      </c>
    </row>
    <row r="6" spans="1:1" x14ac:dyDescent="0.25">
      <c r="A6" t="s">
        <v>243</v>
      </c>
    </row>
    <row r="7" spans="1:1" x14ac:dyDescent="0.25">
      <c r="A7" t="s">
        <v>245</v>
      </c>
    </row>
    <row r="8" spans="1:1" x14ac:dyDescent="0.25">
      <c r="A8" t="s">
        <v>247</v>
      </c>
    </row>
    <row r="9" spans="1:1" x14ac:dyDescent="0.25">
      <c r="A9" t="s">
        <v>249</v>
      </c>
    </row>
    <row r="10" spans="1:1" x14ac:dyDescent="0.25">
      <c r="A10" t="s">
        <v>251</v>
      </c>
    </row>
    <row r="11" spans="1:1" x14ac:dyDescent="0.25">
      <c r="A11" t="s">
        <v>253</v>
      </c>
    </row>
    <row r="12" spans="1:1" x14ac:dyDescent="0.25">
      <c r="A12" t="s">
        <v>255</v>
      </c>
    </row>
    <row r="13" spans="1:1" x14ac:dyDescent="0.25">
      <c r="A13" t="s">
        <v>257</v>
      </c>
    </row>
    <row r="14" spans="1:1" x14ac:dyDescent="0.25">
      <c r="A14" t="s">
        <v>259</v>
      </c>
    </row>
    <row r="15" spans="1:1" x14ac:dyDescent="0.25">
      <c r="A15" t="s">
        <v>261</v>
      </c>
    </row>
    <row r="16" spans="1:1" x14ac:dyDescent="0.25">
      <c r="A16" t="s">
        <v>263</v>
      </c>
    </row>
    <row r="17" spans="1:1" x14ac:dyDescent="0.25">
      <c r="A17" t="s">
        <v>265</v>
      </c>
    </row>
    <row r="18" spans="1:1" x14ac:dyDescent="0.25">
      <c r="A18" t="s">
        <v>267</v>
      </c>
    </row>
    <row r="19" spans="1:1" x14ac:dyDescent="0.25">
      <c r="A19" t="s">
        <v>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425"/>
  <sheetViews>
    <sheetView workbookViewId="0"/>
  </sheetViews>
  <sheetFormatPr defaultRowHeight="15" x14ac:dyDescent="0.25"/>
  <sheetData>
    <row r="1" spans="1:1" x14ac:dyDescent="0.25">
      <c r="A1" t="s">
        <v>524</v>
      </c>
    </row>
    <row r="2" spans="1:1" x14ac:dyDescent="0.25">
      <c r="A2" t="s">
        <v>525</v>
      </c>
    </row>
    <row r="3" spans="1:1" x14ac:dyDescent="0.25">
      <c r="A3" t="s">
        <v>526</v>
      </c>
    </row>
    <row r="4" spans="1:1" x14ac:dyDescent="0.25">
      <c r="A4" t="s">
        <v>527</v>
      </c>
    </row>
    <row r="5" spans="1:1" x14ac:dyDescent="0.25">
      <c r="A5" t="s">
        <v>528</v>
      </c>
    </row>
    <row r="6" spans="1:1" x14ac:dyDescent="0.25">
      <c r="A6" t="s">
        <v>529</v>
      </c>
    </row>
    <row r="7" spans="1:1" x14ac:dyDescent="0.25">
      <c r="A7" t="s">
        <v>530</v>
      </c>
    </row>
    <row r="8" spans="1:1" x14ac:dyDescent="0.25">
      <c r="A8" t="s">
        <v>531</v>
      </c>
    </row>
    <row r="9" spans="1:1" x14ac:dyDescent="0.25">
      <c r="A9" t="s">
        <v>532</v>
      </c>
    </row>
    <row r="10" spans="1:1" x14ac:dyDescent="0.25">
      <c r="A10" t="s">
        <v>533</v>
      </c>
    </row>
    <row r="11" spans="1:1" x14ac:dyDescent="0.25">
      <c r="A11" t="s">
        <v>534</v>
      </c>
    </row>
    <row r="12" spans="1:1" x14ac:dyDescent="0.25">
      <c r="A12" t="s">
        <v>535</v>
      </c>
    </row>
    <row r="13" spans="1:1" x14ac:dyDescent="0.25">
      <c r="A13" t="s">
        <v>536</v>
      </c>
    </row>
    <row r="14" spans="1:1" x14ac:dyDescent="0.25">
      <c r="A14" t="s">
        <v>537</v>
      </c>
    </row>
    <row r="15" spans="1:1" x14ac:dyDescent="0.25">
      <c r="A15" t="s">
        <v>538</v>
      </c>
    </row>
    <row r="16" spans="1:1" x14ac:dyDescent="0.25">
      <c r="A16" t="s">
        <v>539</v>
      </c>
    </row>
    <row r="17" spans="1:1" x14ac:dyDescent="0.25">
      <c r="A17" t="s">
        <v>540</v>
      </c>
    </row>
    <row r="18" spans="1:1" x14ac:dyDescent="0.25">
      <c r="A18" t="s">
        <v>541</v>
      </c>
    </row>
    <row r="19" spans="1:1" x14ac:dyDescent="0.25">
      <c r="A19" t="s">
        <v>542</v>
      </c>
    </row>
    <row r="20" spans="1:1" x14ac:dyDescent="0.25">
      <c r="A20" t="s">
        <v>543</v>
      </c>
    </row>
    <row r="21" spans="1:1" x14ac:dyDescent="0.25">
      <c r="A21" t="s">
        <v>544</v>
      </c>
    </row>
    <row r="22" spans="1:1" x14ac:dyDescent="0.25">
      <c r="A22" t="s">
        <v>545</v>
      </c>
    </row>
    <row r="23" spans="1:1" x14ac:dyDescent="0.25">
      <c r="A23" t="s">
        <v>546</v>
      </c>
    </row>
    <row r="24" spans="1:1" x14ac:dyDescent="0.25">
      <c r="A24" t="s">
        <v>547</v>
      </c>
    </row>
    <row r="25" spans="1:1" x14ac:dyDescent="0.25">
      <c r="A25" t="s">
        <v>548</v>
      </c>
    </row>
    <row r="26" spans="1:1" x14ac:dyDescent="0.25">
      <c r="A26" t="s">
        <v>549</v>
      </c>
    </row>
    <row r="27" spans="1:1" x14ac:dyDescent="0.25">
      <c r="A27" t="s">
        <v>550</v>
      </c>
    </row>
    <row r="28" spans="1:1" x14ac:dyDescent="0.25">
      <c r="A28" t="s">
        <v>551</v>
      </c>
    </row>
    <row r="29" spans="1:1" x14ac:dyDescent="0.25">
      <c r="A29" t="s">
        <v>552</v>
      </c>
    </row>
    <row r="30" spans="1:1" x14ac:dyDescent="0.25">
      <c r="A30" t="s">
        <v>553</v>
      </c>
    </row>
    <row r="31" spans="1:1" x14ac:dyDescent="0.25">
      <c r="A31" t="s">
        <v>554</v>
      </c>
    </row>
    <row r="32" spans="1:1" x14ac:dyDescent="0.25">
      <c r="A32" t="s">
        <v>555</v>
      </c>
    </row>
    <row r="33" spans="1:1" x14ac:dyDescent="0.25">
      <c r="A33" t="s">
        <v>556</v>
      </c>
    </row>
    <row r="34" spans="1:1" x14ac:dyDescent="0.25">
      <c r="A34" t="s">
        <v>557</v>
      </c>
    </row>
    <row r="35" spans="1:1" x14ac:dyDescent="0.25">
      <c r="A35" t="s">
        <v>558</v>
      </c>
    </row>
    <row r="36" spans="1:1" x14ac:dyDescent="0.25">
      <c r="A36" t="s">
        <v>559</v>
      </c>
    </row>
    <row r="37" spans="1:1" x14ac:dyDescent="0.25">
      <c r="A37" t="s">
        <v>560</v>
      </c>
    </row>
    <row r="38" spans="1:1" x14ac:dyDescent="0.25">
      <c r="A38" t="s">
        <v>561</v>
      </c>
    </row>
    <row r="39" spans="1:1" x14ac:dyDescent="0.25">
      <c r="A39" t="s">
        <v>562</v>
      </c>
    </row>
    <row r="40" spans="1:1" x14ac:dyDescent="0.25">
      <c r="A40" t="s">
        <v>563</v>
      </c>
    </row>
    <row r="41" spans="1:1" x14ac:dyDescent="0.25">
      <c r="A41" t="s">
        <v>564</v>
      </c>
    </row>
    <row r="42" spans="1:1" x14ac:dyDescent="0.25">
      <c r="A42" t="s">
        <v>565</v>
      </c>
    </row>
    <row r="43" spans="1:1" x14ac:dyDescent="0.25">
      <c r="A43" t="s">
        <v>566</v>
      </c>
    </row>
    <row r="44" spans="1:1" x14ac:dyDescent="0.25">
      <c r="A44" t="s">
        <v>567</v>
      </c>
    </row>
    <row r="45" spans="1:1" x14ac:dyDescent="0.25">
      <c r="A45" t="s">
        <v>568</v>
      </c>
    </row>
    <row r="46" spans="1:1" x14ac:dyDescent="0.25">
      <c r="A46" t="s">
        <v>569</v>
      </c>
    </row>
    <row r="47" spans="1:1" x14ac:dyDescent="0.25">
      <c r="A47" t="s">
        <v>570</v>
      </c>
    </row>
    <row r="48" spans="1:1" x14ac:dyDescent="0.25">
      <c r="A48" t="s">
        <v>571</v>
      </c>
    </row>
    <row r="49" spans="1:1" x14ac:dyDescent="0.25">
      <c r="A49" t="s">
        <v>572</v>
      </c>
    </row>
    <row r="50" spans="1:1" x14ac:dyDescent="0.25">
      <c r="A50" t="s">
        <v>573</v>
      </c>
    </row>
    <row r="51" spans="1:1" x14ac:dyDescent="0.25">
      <c r="A51" t="s">
        <v>574</v>
      </c>
    </row>
    <row r="52" spans="1:1" x14ac:dyDescent="0.25">
      <c r="A52" t="s">
        <v>575</v>
      </c>
    </row>
    <row r="53" spans="1:1" x14ac:dyDescent="0.25">
      <c r="A53" t="s">
        <v>576</v>
      </c>
    </row>
    <row r="54" spans="1:1" x14ac:dyDescent="0.25">
      <c r="A54" t="s">
        <v>577</v>
      </c>
    </row>
    <row r="55" spans="1:1" x14ac:dyDescent="0.25">
      <c r="A55" t="s">
        <v>578</v>
      </c>
    </row>
    <row r="56" spans="1:1" x14ac:dyDescent="0.25">
      <c r="A56" t="s">
        <v>579</v>
      </c>
    </row>
    <row r="57" spans="1:1" x14ac:dyDescent="0.25">
      <c r="A57" t="s">
        <v>580</v>
      </c>
    </row>
    <row r="58" spans="1:1" x14ac:dyDescent="0.25">
      <c r="A58" t="s">
        <v>581</v>
      </c>
    </row>
    <row r="59" spans="1:1" x14ac:dyDescent="0.25">
      <c r="A59" t="s">
        <v>582</v>
      </c>
    </row>
    <row r="60" spans="1:1" x14ac:dyDescent="0.25">
      <c r="A60" t="s">
        <v>583</v>
      </c>
    </row>
    <row r="61" spans="1:1" x14ac:dyDescent="0.25">
      <c r="A61" t="s">
        <v>584</v>
      </c>
    </row>
    <row r="62" spans="1:1" x14ac:dyDescent="0.25">
      <c r="A62" t="s">
        <v>585</v>
      </c>
    </row>
    <row r="63" spans="1:1" x14ac:dyDescent="0.25">
      <c r="A63" t="s">
        <v>586</v>
      </c>
    </row>
    <row r="64" spans="1:1" x14ac:dyDescent="0.25">
      <c r="A64" t="s">
        <v>587</v>
      </c>
    </row>
    <row r="65" spans="1:1" x14ac:dyDescent="0.25">
      <c r="A65" t="s">
        <v>588</v>
      </c>
    </row>
    <row r="66" spans="1:1" x14ac:dyDescent="0.25">
      <c r="A66" t="s">
        <v>589</v>
      </c>
    </row>
    <row r="67" spans="1:1" x14ac:dyDescent="0.25">
      <c r="A67" t="s">
        <v>590</v>
      </c>
    </row>
    <row r="68" spans="1:1" x14ac:dyDescent="0.25">
      <c r="A68" t="s">
        <v>591</v>
      </c>
    </row>
    <row r="69" spans="1:1" x14ac:dyDescent="0.25">
      <c r="A69" t="s">
        <v>592</v>
      </c>
    </row>
    <row r="70" spans="1:1" x14ac:dyDescent="0.25">
      <c r="A70" t="s">
        <v>593</v>
      </c>
    </row>
    <row r="71" spans="1:1" x14ac:dyDescent="0.25">
      <c r="A71" t="s">
        <v>594</v>
      </c>
    </row>
    <row r="72" spans="1:1" x14ac:dyDescent="0.25">
      <c r="A72" t="s">
        <v>595</v>
      </c>
    </row>
    <row r="73" spans="1:1" x14ac:dyDescent="0.25">
      <c r="A73" t="s">
        <v>596</v>
      </c>
    </row>
    <row r="74" spans="1:1" x14ac:dyDescent="0.25">
      <c r="A74" t="s">
        <v>597</v>
      </c>
    </row>
    <row r="75" spans="1:1" x14ac:dyDescent="0.25">
      <c r="A75" t="s">
        <v>598</v>
      </c>
    </row>
    <row r="76" spans="1:1" x14ac:dyDescent="0.25">
      <c r="A76" t="s">
        <v>599</v>
      </c>
    </row>
    <row r="77" spans="1:1" x14ac:dyDescent="0.25">
      <c r="A77" t="s">
        <v>600</v>
      </c>
    </row>
    <row r="78" spans="1:1" x14ac:dyDescent="0.25">
      <c r="A78" t="s">
        <v>601</v>
      </c>
    </row>
    <row r="79" spans="1:1" x14ac:dyDescent="0.25">
      <c r="A79" t="s">
        <v>602</v>
      </c>
    </row>
    <row r="80" spans="1:1" x14ac:dyDescent="0.25">
      <c r="A80" t="s">
        <v>603</v>
      </c>
    </row>
    <row r="81" spans="1:1" x14ac:dyDescent="0.25">
      <c r="A81" t="s">
        <v>604</v>
      </c>
    </row>
    <row r="82" spans="1:1" x14ac:dyDescent="0.25">
      <c r="A82" t="s">
        <v>605</v>
      </c>
    </row>
    <row r="83" spans="1:1" x14ac:dyDescent="0.25">
      <c r="A83" t="s">
        <v>606</v>
      </c>
    </row>
    <row r="84" spans="1:1" x14ac:dyDescent="0.25">
      <c r="A84" t="s">
        <v>607</v>
      </c>
    </row>
    <row r="85" spans="1:1" x14ac:dyDescent="0.25">
      <c r="A85" t="s">
        <v>608</v>
      </c>
    </row>
    <row r="86" spans="1:1" x14ac:dyDescent="0.25">
      <c r="A86" t="s">
        <v>609</v>
      </c>
    </row>
    <row r="87" spans="1:1" x14ac:dyDescent="0.25">
      <c r="A87" t="s">
        <v>610</v>
      </c>
    </row>
    <row r="88" spans="1:1" x14ac:dyDescent="0.25">
      <c r="A88" t="s">
        <v>611</v>
      </c>
    </row>
    <row r="89" spans="1:1" x14ac:dyDescent="0.25">
      <c r="A89" t="s">
        <v>612</v>
      </c>
    </row>
    <row r="90" spans="1:1" x14ac:dyDescent="0.25">
      <c r="A90" t="s">
        <v>613</v>
      </c>
    </row>
    <row r="91" spans="1:1" x14ac:dyDescent="0.25">
      <c r="A91" t="s">
        <v>614</v>
      </c>
    </row>
    <row r="92" spans="1:1" x14ac:dyDescent="0.25">
      <c r="A92" t="s">
        <v>615</v>
      </c>
    </row>
    <row r="93" spans="1:1" x14ac:dyDescent="0.25">
      <c r="A93" t="s">
        <v>616</v>
      </c>
    </row>
    <row r="94" spans="1:1" x14ac:dyDescent="0.25">
      <c r="A94" t="s">
        <v>617</v>
      </c>
    </row>
    <row r="95" spans="1:1" x14ac:dyDescent="0.25">
      <c r="A95" t="s">
        <v>618</v>
      </c>
    </row>
    <row r="96" spans="1:1" x14ac:dyDescent="0.25">
      <c r="A96" t="s">
        <v>619</v>
      </c>
    </row>
    <row r="97" spans="1:1" x14ac:dyDescent="0.25">
      <c r="A97" t="s">
        <v>620</v>
      </c>
    </row>
    <row r="98" spans="1:1" x14ac:dyDescent="0.25">
      <c r="A98" t="s">
        <v>621</v>
      </c>
    </row>
    <row r="99" spans="1:1" x14ac:dyDescent="0.25">
      <c r="A99" t="s">
        <v>622</v>
      </c>
    </row>
    <row r="100" spans="1:1" x14ac:dyDescent="0.25">
      <c r="A100" t="s">
        <v>623</v>
      </c>
    </row>
    <row r="101" spans="1:1" x14ac:dyDescent="0.25">
      <c r="A101" t="s">
        <v>624</v>
      </c>
    </row>
    <row r="102" spans="1:1" x14ac:dyDescent="0.25">
      <c r="A102" t="s">
        <v>625</v>
      </c>
    </row>
    <row r="103" spans="1:1" x14ac:dyDescent="0.25">
      <c r="A103" t="s">
        <v>626</v>
      </c>
    </row>
    <row r="104" spans="1:1" x14ac:dyDescent="0.25">
      <c r="A104" t="s">
        <v>627</v>
      </c>
    </row>
    <row r="105" spans="1:1" x14ac:dyDescent="0.25">
      <c r="A105" t="s">
        <v>628</v>
      </c>
    </row>
    <row r="106" spans="1:1" x14ac:dyDescent="0.25">
      <c r="A106" t="s">
        <v>629</v>
      </c>
    </row>
    <row r="107" spans="1:1" x14ac:dyDescent="0.25">
      <c r="A107" t="s">
        <v>630</v>
      </c>
    </row>
    <row r="108" spans="1:1" x14ac:dyDescent="0.25">
      <c r="A108" t="s">
        <v>631</v>
      </c>
    </row>
    <row r="109" spans="1:1" x14ac:dyDescent="0.25">
      <c r="A109" t="s">
        <v>632</v>
      </c>
    </row>
    <row r="110" spans="1:1" x14ac:dyDescent="0.25">
      <c r="A110" t="s">
        <v>633</v>
      </c>
    </row>
    <row r="111" spans="1:1" x14ac:dyDescent="0.25">
      <c r="A111" t="s">
        <v>634</v>
      </c>
    </row>
    <row r="112" spans="1:1" x14ac:dyDescent="0.25">
      <c r="A112" t="s">
        <v>635</v>
      </c>
    </row>
    <row r="113" spans="1:1" x14ac:dyDescent="0.25">
      <c r="A113" t="s">
        <v>636</v>
      </c>
    </row>
    <row r="114" spans="1:1" x14ac:dyDescent="0.25">
      <c r="A114" t="s">
        <v>637</v>
      </c>
    </row>
    <row r="115" spans="1:1" x14ac:dyDescent="0.25">
      <c r="A115" t="s">
        <v>638</v>
      </c>
    </row>
    <row r="116" spans="1:1" x14ac:dyDescent="0.25">
      <c r="A116" t="s">
        <v>639</v>
      </c>
    </row>
    <row r="117" spans="1:1" x14ac:dyDescent="0.25">
      <c r="A117" t="s">
        <v>640</v>
      </c>
    </row>
    <row r="118" spans="1:1" x14ac:dyDescent="0.25">
      <c r="A118" t="s">
        <v>641</v>
      </c>
    </row>
    <row r="119" spans="1:1" x14ac:dyDescent="0.25">
      <c r="A119" t="s">
        <v>642</v>
      </c>
    </row>
    <row r="120" spans="1:1" x14ac:dyDescent="0.25">
      <c r="A120" t="s">
        <v>643</v>
      </c>
    </row>
    <row r="121" spans="1:1" x14ac:dyDescent="0.25">
      <c r="A121" t="s">
        <v>644</v>
      </c>
    </row>
    <row r="122" spans="1:1" x14ac:dyDescent="0.25">
      <c r="A122" t="s">
        <v>645</v>
      </c>
    </row>
    <row r="123" spans="1:1" x14ac:dyDescent="0.25">
      <c r="A123" t="s">
        <v>646</v>
      </c>
    </row>
    <row r="124" spans="1:1" x14ac:dyDescent="0.25">
      <c r="A124" t="s">
        <v>647</v>
      </c>
    </row>
    <row r="125" spans="1:1" x14ac:dyDescent="0.25">
      <c r="A125" t="s">
        <v>648</v>
      </c>
    </row>
    <row r="126" spans="1:1" x14ac:dyDescent="0.25">
      <c r="A126" t="s">
        <v>649</v>
      </c>
    </row>
    <row r="127" spans="1:1" x14ac:dyDescent="0.25">
      <c r="A127" t="s">
        <v>650</v>
      </c>
    </row>
    <row r="128" spans="1:1" x14ac:dyDescent="0.25">
      <c r="A128" t="s">
        <v>651</v>
      </c>
    </row>
    <row r="129" spans="1:1" x14ac:dyDescent="0.25">
      <c r="A129" t="s">
        <v>652</v>
      </c>
    </row>
    <row r="130" spans="1:1" x14ac:dyDescent="0.25">
      <c r="A130" t="s">
        <v>653</v>
      </c>
    </row>
    <row r="131" spans="1:1" x14ac:dyDescent="0.25">
      <c r="A131" t="s">
        <v>654</v>
      </c>
    </row>
    <row r="132" spans="1:1" x14ac:dyDescent="0.25">
      <c r="A132" t="s">
        <v>655</v>
      </c>
    </row>
    <row r="133" spans="1:1" x14ac:dyDescent="0.25">
      <c r="A133" t="s">
        <v>656</v>
      </c>
    </row>
    <row r="134" spans="1:1" x14ac:dyDescent="0.25">
      <c r="A134" t="s">
        <v>657</v>
      </c>
    </row>
    <row r="135" spans="1:1" x14ac:dyDescent="0.25">
      <c r="A135" t="s">
        <v>658</v>
      </c>
    </row>
    <row r="136" spans="1:1" x14ac:dyDescent="0.25">
      <c r="A136" t="s">
        <v>659</v>
      </c>
    </row>
    <row r="137" spans="1:1" x14ac:dyDescent="0.25">
      <c r="A137" t="s">
        <v>660</v>
      </c>
    </row>
    <row r="138" spans="1:1" x14ac:dyDescent="0.25">
      <c r="A138" t="s">
        <v>661</v>
      </c>
    </row>
    <row r="139" spans="1:1" x14ac:dyDescent="0.25">
      <c r="A139" t="s">
        <v>662</v>
      </c>
    </row>
    <row r="140" spans="1:1" x14ac:dyDescent="0.25">
      <c r="A140" t="s">
        <v>663</v>
      </c>
    </row>
    <row r="141" spans="1:1" x14ac:dyDescent="0.25">
      <c r="A141" t="s">
        <v>664</v>
      </c>
    </row>
    <row r="142" spans="1:1" x14ac:dyDescent="0.25">
      <c r="A142" t="s">
        <v>665</v>
      </c>
    </row>
    <row r="143" spans="1:1" x14ac:dyDescent="0.25">
      <c r="A143" t="s">
        <v>666</v>
      </c>
    </row>
    <row r="144" spans="1:1" x14ac:dyDescent="0.25">
      <c r="A144" t="s">
        <v>667</v>
      </c>
    </row>
    <row r="145" spans="1:1" x14ac:dyDescent="0.25">
      <c r="A145" t="s">
        <v>668</v>
      </c>
    </row>
    <row r="146" spans="1:1" x14ac:dyDescent="0.25">
      <c r="A146" t="s">
        <v>669</v>
      </c>
    </row>
    <row r="147" spans="1:1" x14ac:dyDescent="0.25">
      <c r="A147" t="s">
        <v>670</v>
      </c>
    </row>
    <row r="148" spans="1:1" x14ac:dyDescent="0.25">
      <c r="A148" t="s">
        <v>671</v>
      </c>
    </row>
    <row r="149" spans="1:1" x14ac:dyDescent="0.25">
      <c r="A149" t="s">
        <v>672</v>
      </c>
    </row>
    <row r="150" spans="1:1" x14ac:dyDescent="0.25">
      <c r="A150" t="s">
        <v>673</v>
      </c>
    </row>
    <row r="151" spans="1:1" x14ac:dyDescent="0.25">
      <c r="A151" t="s">
        <v>674</v>
      </c>
    </row>
    <row r="152" spans="1:1" x14ac:dyDescent="0.25">
      <c r="A152" t="s">
        <v>675</v>
      </c>
    </row>
    <row r="153" spans="1:1" x14ac:dyDescent="0.25">
      <c r="A153" t="s">
        <v>676</v>
      </c>
    </row>
    <row r="154" spans="1:1" x14ac:dyDescent="0.25">
      <c r="A154" t="s">
        <v>677</v>
      </c>
    </row>
    <row r="155" spans="1:1" x14ac:dyDescent="0.25">
      <c r="A155" t="s">
        <v>678</v>
      </c>
    </row>
    <row r="156" spans="1:1" x14ac:dyDescent="0.25">
      <c r="A156" t="s">
        <v>679</v>
      </c>
    </row>
    <row r="157" spans="1:1" x14ac:dyDescent="0.25">
      <c r="A157" t="s">
        <v>680</v>
      </c>
    </row>
    <row r="158" spans="1:1" x14ac:dyDescent="0.25">
      <c r="A158" t="s">
        <v>681</v>
      </c>
    </row>
    <row r="159" spans="1:1" x14ac:dyDescent="0.25">
      <c r="A159" t="s">
        <v>682</v>
      </c>
    </row>
    <row r="160" spans="1:1" x14ac:dyDescent="0.25">
      <c r="A160" t="s">
        <v>683</v>
      </c>
    </row>
    <row r="161" spans="1:1" x14ac:dyDescent="0.25">
      <c r="A161" t="s">
        <v>684</v>
      </c>
    </row>
    <row r="162" spans="1:1" x14ac:dyDescent="0.25">
      <c r="A162" t="s">
        <v>685</v>
      </c>
    </row>
    <row r="163" spans="1:1" x14ac:dyDescent="0.25">
      <c r="A163" t="s">
        <v>686</v>
      </c>
    </row>
    <row r="164" spans="1:1" x14ac:dyDescent="0.25">
      <c r="A164" t="s">
        <v>687</v>
      </c>
    </row>
    <row r="165" spans="1:1" x14ac:dyDescent="0.25">
      <c r="A165" t="s">
        <v>688</v>
      </c>
    </row>
    <row r="166" spans="1:1" x14ac:dyDescent="0.25">
      <c r="A166" t="s">
        <v>689</v>
      </c>
    </row>
    <row r="167" spans="1:1" x14ac:dyDescent="0.25">
      <c r="A167" t="s">
        <v>690</v>
      </c>
    </row>
    <row r="168" spans="1:1" x14ac:dyDescent="0.25">
      <c r="A168" t="s">
        <v>691</v>
      </c>
    </row>
    <row r="169" spans="1:1" x14ac:dyDescent="0.25">
      <c r="A169" t="s">
        <v>692</v>
      </c>
    </row>
    <row r="170" spans="1:1" x14ac:dyDescent="0.25">
      <c r="A170" t="s">
        <v>693</v>
      </c>
    </row>
    <row r="171" spans="1:1" x14ac:dyDescent="0.25">
      <c r="A171" t="s">
        <v>694</v>
      </c>
    </row>
    <row r="172" spans="1:1" x14ac:dyDescent="0.25">
      <c r="A172" t="s">
        <v>695</v>
      </c>
    </row>
    <row r="173" spans="1:1" x14ac:dyDescent="0.25">
      <c r="A173" t="s">
        <v>696</v>
      </c>
    </row>
    <row r="174" spans="1:1" x14ac:dyDescent="0.25">
      <c r="A174" t="s">
        <v>697</v>
      </c>
    </row>
    <row r="175" spans="1:1" x14ac:dyDescent="0.25">
      <c r="A175" t="s">
        <v>698</v>
      </c>
    </row>
    <row r="176" spans="1:1" x14ac:dyDescent="0.25">
      <c r="A176" t="s">
        <v>699</v>
      </c>
    </row>
    <row r="177" spans="1:1" x14ac:dyDescent="0.25">
      <c r="A177" t="s">
        <v>700</v>
      </c>
    </row>
    <row r="178" spans="1:1" x14ac:dyDescent="0.25">
      <c r="A178" t="s">
        <v>701</v>
      </c>
    </row>
    <row r="179" spans="1:1" x14ac:dyDescent="0.25">
      <c r="A179" t="s">
        <v>702</v>
      </c>
    </row>
    <row r="180" spans="1:1" x14ac:dyDescent="0.25">
      <c r="A180" t="s">
        <v>703</v>
      </c>
    </row>
    <row r="181" spans="1:1" x14ac:dyDescent="0.25">
      <c r="A181" t="s">
        <v>704</v>
      </c>
    </row>
    <row r="182" spans="1:1" x14ac:dyDescent="0.25">
      <c r="A182" t="s">
        <v>705</v>
      </c>
    </row>
    <row r="183" spans="1:1" x14ac:dyDescent="0.25">
      <c r="A183" t="s">
        <v>706</v>
      </c>
    </row>
    <row r="184" spans="1:1" x14ac:dyDescent="0.25">
      <c r="A184" t="s">
        <v>707</v>
      </c>
    </row>
    <row r="185" spans="1:1" x14ac:dyDescent="0.25">
      <c r="A185" t="s">
        <v>708</v>
      </c>
    </row>
    <row r="186" spans="1:1" x14ac:dyDescent="0.25">
      <c r="A186" t="s">
        <v>709</v>
      </c>
    </row>
    <row r="187" spans="1:1" x14ac:dyDescent="0.25">
      <c r="A187" t="s">
        <v>710</v>
      </c>
    </row>
    <row r="188" spans="1:1" x14ac:dyDescent="0.25">
      <c r="A188" t="s">
        <v>711</v>
      </c>
    </row>
    <row r="189" spans="1:1" x14ac:dyDescent="0.25">
      <c r="A189" t="s">
        <v>712</v>
      </c>
    </row>
    <row r="190" spans="1:1" x14ac:dyDescent="0.25">
      <c r="A190" t="s">
        <v>713</v>
      </c>
    </row>
    <row r="191" spans="1:1" x14ac:dyDescent="0.25">
      <c r="A191" t="s">
        <v>714</v>
      </c>
    </row>
    <row r="192" spans="1:1" x14ac:dyDescent="0.25">
      <c r="A192" t="s">
        <v>715</v>
      </c>
    </row>
    <row r="193" spans="1:1" x14ac:dyDescent="0.25">
      <c r="A193" t="s">
        <v>716</v>
      </c>
    </row>
    <row r="194" spans="1:1" x14ac:dyDescent="0.25">
      <c r="A194" t="s">
        <v>717</v>
      </c>
    </row>
    <row r="195" spans="1:1" x14ac:dyDescent="0.25">
      <c r="A195" t="s">
        <v>718</v>
      </c>
    </row>
    <row r="196" spans="1:1" x14ac:dyDescent="0.25">
      <c r="A196" t="s">
        <v>719</v>
      </c>
    </row>
    <row r="197" spans="1:1" x14ac:dyDescent="0.25">
      <c r="A197" t="s">
        <v>720</v>
      </c>
    </row>
    <row r="198" spans="1:1" x14ac:dyDescent="0.25">
      <c r="A198" t="s">
        <v>721</v>
      </c>
    </row>
    <row r="199" spans="1:1" x14ac:dyDescent="0.25">
      <c r="A199" t="s">
        <v>722</v>
      </c>
    </row>
    <row r="200" spans="1:1" x14ac:dyDescent="0.25">
      <c r="A200" t="s">
        <v>723</v>
      </c>
    </row>
    <row r="201" spans="1:1" x14ac:dyDescent="0.25">
      <c r="A201" t="s">
        <v>724</v>
      </c>
    </row>
    <row r="202" spans="1:1" x14ac:dyDescent="0.25">
      <c r="A202" t="s">
        <v>725</v>
      </c>
    </row>
    <row r="203" spans="1:1" x14ac:dyDescent="0.25">
      <c r="A203" t="s">
        <v>726</v>
      </c>
    </row>
    <row r="204" spans="1:1" x14ac:dyDescent="0.25">
      <c r="A204" t="s">
        <v>727</v>
      </c>
    </row>
    <row r="205" spans="1:1" x14ac:dyDescent="0.25">
      <c r="A205" t="s">
        <v>728</v>
      </c>
    </row>
    <row r="206" spans="1:1" x14ac:dyDescent="0.25">
      <c r="A206" t="s">
        <v>729</v>
      </c>
    </row>
    <row r="207" spans="1:1" x14ac:dyDescent="0.25">
      <c r="A207" t="s">
        <v>730</v>
      </c>
    </row>
    <row r="208" spans="1:1" x14ac:dyDescent="0.25">
      <c r="A208" t="s">
        <v>731</v>
      </c>
    </row>
    <row r="209" spans="1:1" x14ac:dyDescent="0.25">
      <c r="A209" t="s">
        <v>732</v>
      </c>
    </row>
    <row r="210" spans="1:1" x14ac:dyDescent="0.25">
      <c r="A210" t="s">
        <v>733</v>
      </c>
    </row>
    <row r="211" spans="1:1" x14ac:dyDescent="0.25">
      <c r="A211" t="s">
        <v>734</v>
      </c>
    </row>
    <row r="212" spans="1:1" x14ac:dyDescent="0.25">
      <c r="A212" t="s">
        <v>735</v>
      </c>
    </row>
    <row r="213" spans="1:1" x14ac:dyDescent="0.25">
      <c r="A213" t="s">
        <v>736</v>
      </c>
    </row>
    <row r="214" spans="1:1" x14ac:dyDescent="0.25">
      <c r="A214" t="s">
        <v>737</v>
      </c>
    </row>
    <row r="215" spans="1:1" x14ac:dyDescent="0.25">
      <c r="A215" t="s">
        <v>738</v>
      </c>
    </row>
    <row r="216" spans="1:1" x14ac:dyDescent="0.25">
      <c r="A216" t="s">
        <v>739</v>
      </c>
    </row>
    <row r="217" spans="1:1" x14ac:dyDescent="0.25">
      <c r="A217" t="s">
        <v>740</v>
      </c>
    </row>
    <row r="218" spans="1:1" x14ac:dyDescent="0.25">
      <c r="A218" t="s">
        <v>741</v>
      </c>
    </row>
    <row r="219" spans="1:1" x14ac:dyDescent="0.25">
      <c r="A219" t="s">
        <v>742</v>
      </c>
    </row>
    <row r="220" spans="1:1" x14ac:dyDescent="0.25">
      <c r="A220" t="s">
        <v>743</v>
      </c>
    </row>
    <row r="221" spans="1:1" x14ac:dyDescent="0.25">
      <c r="A221" t="s">
        <v>744</v>
      </c>
    </row>
    <row r="222" spans="1:1" x14ac:dyDescent="0.25">
      <c r="A222" t="s">
        <v>745</v>
      </c>
    </row>
    <row r="223" spans="1:1" x14ac:dyDescent="0.25">
      <c r="A223" t="s">
        <v>746</v>
      </c>
    </row>
    <row r="224" spans="1:1" x14ac:dyDescent="0.25">
      <c r="A224" t="s">
        <v>747</v>
      </c>
    </row>
    <row r="225" spans="1:1" x14ac:dyDescent="0.25">
      <c r="A225" t="s">
        <v>748</v>
      </c>
    </row>
    <row r="226" spans="1:1" x14ac:dyDescent="0.25">
      <c r="A226" t="s">
        <v>749</v>
      </c>
    </row>
    <row r="227" spans="1:1" x14ac:dyDescent="0.25">
      <c r="A227" t="s">
        <v>750</v>
      </c>
    </row>
    <row r="228" spans="1:1" x14ac:dyDescent="0.25">
      <c r="A228" t="s">
        <v>751</v>
      </c>
    </row>
    <row r="229" spans="1:1" x14ac:dyDescent="0.25">
      <c r="A229" t="s">
        <v>752</v>
      </c>
    </row>
    <row r="230" spans="1:1" x14ac:dyDescent="0.25">
      <c r="A230" t="s">
        <v>753</v>
      </c>
    </row>
    <row r="231" spans="1:1" x14ac:dyDescent="0.25">
      <c r="A231" t="s">
        <v>754</v>
      </c>
    </row>
    <row r="232" spans="1:1" x14ac:dyDescent="0.25">
      <c r="A232" t="s">
        <v>755</v>
      </c>
    </row>
    <row r="233" spans="1:1" x14ac:dyDescent="0.25">
      <c r="A233" t="s">
        <v>756</v>
      </c>
    </row>
    <row r="234" spans="1:1" x14ac:dyDescent="0.25">
      <c r="A234" t="s">
        <v>757</v>
      </c>
    </row>
    <row r="235" spans="1:1" x14ac:dyDescent="0.25">
      <c r="A235" t="s">
        <v>758</v>
      </c>
    </row>
    <row r="236" spans="1:1" x14ac:dyDescent="0.25">
      <c r="A236" t="s">
        <v>759</v>
      </c>
    </row>
    <row r="237" spans="1:1" x14ac:dyDescent="0.25">
      <c r="A237" t="s">
        <v>760</v>
      </c>
    </row>
    <row r="238" spans="1:1" x14ac:dyDescent="0.25">
      <c r="A238" t="s">
        <v>761</v>
      </c>
    </row>
    <row r="239" spans="1:1" x14ac:dyDescent="0.25">
      <c r="A239" t="s">
        <v>762</v>
      </c>
    </row>
    <row r="240" spans="1:1" x14ac:dyDescent="0.25">
      <c r="A240" t="s">
        <v>763</v>
      </c>
    </row>
    <row r="241" spans="1:1" x14ac:dyDescent="0.25">
      <c r="A241" t="s">
        <v>764</v>
      </c>
    </row>
    <row r="242" spans="1:1" x14ac:dyDescent="0.25">
      <c r="A242" t="s">
        <v>765</v>
      </c>
    </row>
    <row r="243" spans="1:1" x14ac:dyDescent="0.25">
      <c r="A243" t="s">
        <v>766</v>
      </c>
    </row>
    <row r="244" spans="1:1" x14ac:dyDescent="0.25">
      <c r="A244" t="s">
        <v>767</v>
      </c>
    </row>
    <row r="245" spans="1:1" x14ac:dyDescent="0.25">
      <c r="A245" t="s">
        <v>768</v>
      </c>
    </row>
    <row r="246" spans="1:1" x14ac:dyDescent="0.25">
      <c r="A246" t="s">
        <v>769</v>
      </c>
    </row>
    <row r="247" spans="1:1" x14ac:dyDescent="0.25">
      <c r="A247" t="s">
        <v>770</v>
      </c>
    </row>
    <row r="248" spans="1:1" x14ac:dyDescent="0.25">
      <c r="A248" t="s">
        <v>771</v>
      </c>
    </row>
    <row r="249" spans="1:1" x14ac:dyDescent="0.25">
      <c r="A249" t="s">
        <v>772</v>
      </c>
    </row>
    <row r="250" spans="1:1" x14ac:dyDescent="0.25">
      <c r="A250" t="s">
        <v>773</v>
      </c>
    </row>
    <row r="251" spans="1:1" x14ac:dyDescent="0.25">
      <c r="A251" t="s">
        <v>774</v>
      </c>
    </row>
    <row r="252" spans="1:1" x14ac:dyDescent="0.25">
      <c r="A252" t="s">
        <v>775</v>
      </c>
    </row>
    <row r="253" spans="1:1" x14ac:dyDescent="0.25">
      <c r="A253" t="s">
        <v>776</v>
      </c>
    </row>
    <row r="254" spans="1:1" x14ac:dyDescent="0.25">
      <c r="A254" t="s">
        <v>777</v>
      </c>
    </row>
    <row r="255" spans="1:1" x14ac:dyDescent="0.25">
      <c r="A255" t="s">
        <v>778</v>
      </c>
    </row>
    <row r="256" spans="1:1" x14ac:dyDescent="0.25">
      <c r="A256" t="s">
        <v>779</v>
      </c>
    </row>
    <row r="257" spans="1:1" x14ac:dyDescent="0.25">
      <c r="A257" t="s">
        <v>780</v>
      </c>
    </row>
    <row r="258" spans="1:1" x14ac:dyDescent="0.25">
      <c r="A258" t="s">
        <v>781</v>
      </c>
    </row>
    <row r="259" spans="1:1" x14ac:dyDescent="0.25">
      <c r="A259" t="s">
        <v>782</v>
      </c>
    </row>
    <row r="260" spans="1:1" x14ac:dyDescent="0.25">
      <c r="A260" t="s">
        <v>783</v>
      </c>
    </row>
    <row r="261" spans="1:1" x14ac:dyDescent="0.25">
      <c r="A261" t="s">
        <v>784</v>
      </c>
    </row>
    <row r="262" spans="1:1" x14ac:dyDescent="0.25">
      <c r="A262" t="s">
        <v>785</v>
      </c>
    </row>
    <row r="263" spans="1:1" x14ac:dyDescent="0.25">
      <c r="A263" t="s">
        <v>786</v>
      </c>
    </row>
    <row r="264" spans="1:1" x14ac:dyDescent="0.25">
      <c r="A264" t="s">
        <v>787</v>
      </c>
    </row>
    <row r="265" spans="1:1" x14ac:dyDescent="0.25">
      <c r="A265" t="s">
        <v>788</v>
      </c>
    </row>
    <row r="266" spans="1:1" x14ac:dyDescent="0.25">
      <c r="A266" t="s">
        <v>789</v>
      </c>
    </row>
    <row r="267" spans="1:1" x14ac:dyDescent="0.25">
      <c r="A267" t="s">
        <v>790</v>
      </c>
    </row>
    <row r="268" spans="1:1" x14ac:dyDescent="0.25">
      <c r="A268" t="s">
        <v>791</v>
      </c>
    </row>
    <row r="269" spans="1:1" x14ac:dyDescent="0.25">
      <c r="A269" t="s">
        <v>792</v>
      </c>
    </row>
    <row r="270" spans="1:1" x14ac:dyDescent="0.25">
      <c r="A270" t="s">
        <v>793</v>
      </c>
    </row>
    <row r="271" spans="1:1" x14ac:dyDescent="0.25">
      <c r="A271" t="s">
        <v>794</v>
      </c>
    </row>
    <row r="272" spans="1:1" x14ac:dyDescent="0.25">
      <c r="A272" t="s">
        <v>795</v>
      </c>
    </row>
    <row r="273" spans="1:1" x14ac:dyDescent="0.25">
      <c r="A273" t="s">
        <v>796</v>
      </c>
    </row>
    <row r="274" spans="1:1" x14ac:dyDescent="0.25">
      <c r="A274" t="s">
        <v>797</v>
      </c>
    </row>
    <row r="275" spans="1:1" x14ac:dyDescent="0.25">
      <c r="A275" t="s">
        <v>798</v>
      </c>
    </row>
    <row r="276" spans="1:1" x14ac:dyDescent="0.25">
      <c r="A276" t="s">
        <v>799</v>
      </c>
    </row>
    <row r="277" spans="1:1" x14ac:dyDescent="0.25">
      <c r="A277" t="s">
        <v>800</v>
      </c>
    </row>
    <row r="278" spans="1:1" x14ac:dyDescent="0.25">
      <c r="A278" t="s">
        <v>801</v>
      </c>
    </row>
    <row r="279" spans="1:1" x14ac:dyDescent="0.25">
      <c r="A279" t="s">
        <v>802</v>
      </c>
    </row>
    <row r="280" spans="1:1" x14ac:dyDescent="0.25">
      <c r="A280" t="s">
        <v>803</v>
      </c>
    </row>
    <row r="281" spans="1:1" x14ac:dyDescent="0.25">
      <c r="A281" t="s">
        <v>804</v>
      </c>
    </row>
    <row r="282" spans="1:1" x14ac:dyDescent="0.25">
      <c r="A282" t="s">
        <v>805</v>
      </c>
    </row>
    <row r="283" spans="1:1" x14ac:dyDescent="0.25">
      <c r="A283" t="s">
        <v>806</v>
      </c>
    </row>
    <row r="284" spans="1:1" x14ac:dyDescent="0.25">
      <c r="A284" t="s">
        <v>807</v>
      </c>
    </row>
    <row r="285" spans="1:1" x14ac:dyDescent="0.25">
      <c r="A285" t="s">
        <v>808</v>
      </c>
    </row>
    <row r="286" spans="1:1" x14ac:dyDescent="0.25">
      <c r="A286" t="s">
        <v>809</v>
      </c>
    </row>
    <row r="287" spans="1:1" x14ac:dyDescent="0.25">
      <c r="A287" t="s">
        <v>810</v>
      </c>
    </row>
    <row r="288" spans="1:1" x14ac:dyDescent="0.25">
      <c r="A288" t="s">
        <v>811</v>
      </c>
    </row>
    <row r="289" spans="1:1" x14ac:dyDescent="0.25">
      <c r="A289" t="s">
        <v>812</v>
      </c>
    </row>
    <row r="290" spans="1:1" x14ac:dyDescent="0.25">
      <c r="A290" t="s">
        <v>813</v>
      </c>
    </row>
    <row r="291" spans="1:1" x14ac:dyDescent="0.25">
      <c r="A291" t="s">
        <v>814</v>
      </c>
    </row>
    <row r="292" spans="1:1" x14ac:dyDescent="0.25">
      <c r="A292" t="s">
        <v>815</v>
      </c>
    </row>
    <row r="293" spans="1:1" x14ac:dyDescent="0.25">
      <c r="A293" t="s">
        <v>816</v>
      </c>
    </row>
    <row r="294" spans="1:1" x14ac:dyDescent="0.25">
      <c r="A294" t="s">
        <v>817</v>
      </c>
    </row>
    <row r="295" spans="1:1" x14ac:dyDescent="0.25">
      <c r="A295" t="s">
        <v>818</v>
      </c>
    </row>
    <row r="296" spans="1:1" x14ac:dyDescent="0.25">
      <c r="A296" t="s">
        <v>819</v>
      </c>
    </row>
    <row r="297" spans="1:1" x14ac:dyDescent="0.25">
      <c r="A297" t="s">
        <v>820</v>
      </c>
    </row>
    <row r="298" spans="1:1" x14ac:dyDescent="0.25">
      <c r="A298" t="s">
        <v>821</v>
      </c>
    </row>
    <row r="299" spans="1:1" x14ac:dyDescent="0.25">
      <c r="A299" t="s">
        <v>822</v>
      </c>
    </row>
    <row r="300" spans="1:1" x14ac:dyDescent="0.25">
      <c r="A300" t="s">
        <v>823</v>
      </c>
    </row>
    <row r="301" spans="1:1" x14ac:dyDescent="0.25">
      <c r="A301" t="s">
        <v>824</v>
      </c>
    </row>
    <row r="302" spans="1:1" x14ac:dyDescent="0.25">
      <c r="A302" t="s">
        <v>825</v>
      </c>
    </row>
    <row r="303" spans="1:1" x14ac:dyDescent="0.25">
      <c r="A303" t="s">
        <v>826</v>
      </c>
    </row>
    <row r="304" spans="1:1" x14ac:dyDescent="0.25">
      <c r="A304" t="s">
        <v>827</v>
      </c>
    </row>
    <row r="305" spans="1:1" x14ac:dyDescent="0.25">
      <c r="A305" t="s">
        <v>828</v>
      </c>
    </row>
    <row r="306" spans="1:1" x14ac:dyDescent="0.25">
      <c r="A306" t="s">
        <v>829</v>
      </c>
    </row>
    <row r="307" spans="1:1" x14ac:dyDescent="0.25">
      <c r="A307" t="s">
        <v>830</v>
      </c>
    </row>
    <row r="308" spans="1:1" x14ac:dyDescent="0.25">
      <c r="A308" t="s">
        <v>831</v>
      </c>
    </row>
    <row r="309" spans="1:1" x14ac:dyDescent="0.25">
      <c r="A309" t="s">
        <v>832</v>
      </c>
    </row>
    <row r="310" spans="1:1" x14ac:dyDescent="0.25">
      <c r="A310" t="s">
        <v>833</v>
      </c>
    </row>
    <row r="311" spans="1:1" x14ac:dyDescent="0.25">
      <c r="A311" t="s">
        <v>834</v>
      </c>
    </row>
    <row r="312" spans="1:1" x14ac:dyDescent="0.25">
      <c r="A312" t="s">
        <v>835</v>
      </c>
    </row>
    <row r="313" spans="1:1" x14ac:dyDescent="0.25">
      <c r="A313" t="s">
        <v>836</v>
      </c>
    </row>
    <row r="314" spans="1:1" x14ac:dyDescent="0.25">
      <c r="A314" t="s">
        <v>837</v>
      </c>
    </row>
    <row r="315" spans="1:1" x14ac:dyDescent="0.25">
      <c r="A315" t="s">
        <v>838</v>
      </c>
    </row>
    <row r="316" spans="1:1" x14ac:dyDescent="0.25">
      <c r="A316" t="s">
        <v>839</v>
      </c>
    </row>
    <row r="317" spans="1:1" x14ac:dyDescent="0.25">
      <c r="A317" t="s">
        <v>840</v>
      </c>
    </row>
    <row r="318" spans="1:1" x14ac:dyDescent="0.25">
      <c r="A318" t="s">
        <v>841</v>
      </c>
    </row>
    <row r="319" spans="1:1" x14ac:dyDescent="0.25">
      <c r="A319" t="s">
        <v>842</v>
      </c>
    </row>
    <row r="320" spans="1:1" x14ac:dyDescent="0.25">
      <c r="A320" t="s">
        <v>843</v>
      </c>
    </row>
    <row r="321" spans="1:1" x14ac:dyDescent="0.25">
      <c r="A321" t="s">
        <v>844</v>
      </c>
    </row>
    <row r="322" spans="1:1" x14ac:dyDescent="0.25">
      <c r="A322" t="s">
        <v>845</v>
      </c>
    </row>
    <row r="323" spans="1:1" x14ac:dyDescent="0.25">
      <c r="A323" t="s">
        <v>846</v>
      </c>
    </row>
    <row r="324" spans="1:1" x14ac:dyDescent="0.25">
      <c r="A324" t="s">
        <v>847</v>
      </c>
    </row>
    <row r="325" spans="1:1" x14ac:dyDescent="0.25">
      <c r="A325" t="s">
        <v>848</v>
      </c>
    </row>
    <row r="326" spans="1:1" x14ac:dyDescent="0.25">
      <c r="A326" t="s">
        <v>849</v>
      </c>
    </row>
    <row r="327" spans="1:1" x14ac:dyDescent="0.25">
      <c r="A327" t="s">
        <v>850</v>
      </c>
    </row>
    <row r="328" spans="1:1" x14ac:dyDescent="0.25">
      <c r="A328" t="s">
        <v>851</v>
      </c>
    </row>
    <row r="329" spans="1:1" x14ac:dyDescent="0.25">
      <c r="A329" t="s">
        <v>852</v>
      </c>
    </row>
    <row r="330" spans="1:1" x14ac:dyDescent="0.25">
      <c r="A330" t="s">
        <v>853</v>
      </c>
    </row>
    <row r="331" spans="1:1" x14ac:dyDescent="0.25">
      <c r="A331" t="s">
        <v>854</v>
      </c>
    </row>
    <row r="332" spans="1:1" x14ac:dyDescent="0.25">
      <c r="A332" t="s">
        <v>855</v>
      </c>
    </row>
    <row r="333" spans="1:1" x14ac:dyDescent="0.25">
      <c r="A333" t="s">
        <v>856</v>
      </c>
    </row>
    <row r="334" spans="1:1" x14ac:dyDescent="0.25">
      <c r="A334" t="s">
        <v>857</v>
      </c>
    </row>
    <row r="335" spans="1:1" x14ac:dyDescent="0.25">
      <c r="A335" t="s">
        <v>858</v>
      </c>
    </row>
    <row r="336" spans="1:1" x14ac:dyDescent="0.25">
      <c r="A336" t="s">
        <v>859</v>
      </c>
    </row>
    <row r="337" spans="1:1" x14ac:dyDescent="0.25">
      <c r="A337" t="s">
        <v>860</v>
      </c>
    </row>
    <row r="338" spans="1:1" x14ac:dyDescent="0.25">
      <c r="A338" t="s">
        <v>861</v>
      </c>
    </row>
    <row r="339" spans="1:1" x14ac:dyDescent="0.25">
      <c r="A339" t="s">
        <v>862</v>
      </c>
    </row>
    <row r="340" spans="1:1" x14ac:dyDescent="0.25">
      <c r="A340" t="s">
        <v>863</v>
      </c>
    </row>
    <row r="341" spans="1:1" x14ac:dyDescent="0.25">
      <c r="A341" t="s">
        <v>864</v>
      </c>
    </row>
    <row r="342" spans="1:1" x14ac:dyDescent="0.25">
      <c r="A342" t="s">
        <v>865</v>
      </c>
    </row>
    <row r="343" spans="1:1" x14ac:dyDescent="0.25">
      <c r="A343" t="s">
        <v>866</v>
      </c>
    </row>
    <row r="344" spans="1:1" x14ac:dyDescent="0.25">
      <c r="A344" t="s">
        <v>867</v>
      </c>
    </row>
    <row r="345" spans="1:1" x14ac:dyDescent="0.25">
      <c r="A345" t="s">
        <v>868</v>
      </c>
    </row>
    <row r="346" spans="1:1" x14ac:dyDescent="0.25">
      <c r="A346" t="s">
        <v>869</v>
      </c>
    </row>
    <row r="347" spans="1:1" x14ac:dyDescent="0.25">
      <c r="A347" t="s">
        <v>870</v>
      </c>
    </row>
    <row r="348" spans="1:1" x14ac:dyDescent="0.25">
      <c r="A348" t="s">
        <v>871</v>
      </c>
    </row>
    <row r="349" spans="1:1" x14ac:dyDescent="0.25">
      <c r="A349" t="s">
        <v>872</v>
      </c>
    </row>
    <row r="350" spans="1:1" x14ac:dyDescent="0.25">
      <c r="A350" t="s">
        <v>873</v>
      </c>
    </row>
    <row r="351" spans="1:1" x14ac:dyDescent="0.25">
      <c r="A351" t="s">
        <v>874</v>
      </c>
    </row>
    <row r="352" spans="1:1" x14ac:dyDescent="0.25">
      <c r="A352" t="s">
        <v>875</v>
      </c>
    </row>
    <row r="353" spans="1:1" x14ac:dyDescent="0.25">
      <c r="A353" t="s">
        <v>876</v>
      </c>
    </row>
    <row r="354" spans="1:1" x14ac:dyDescent="0.25">
      <c r="A354" t="s">
        <v>877</v>
      </c>
    </row>
    <row r="355" spans="1:1" x14ac:dyDescent="0.25">
      <c r="A355" t="s">
        <v>878</v>
      </c>
    </row>
    <row r="356" spans="1:1" x14ac:dyDescent="0.25">
      <c r="A356" t="s">
        <v>879</v>
      </c>
    </row>
    <row r="357" spans="1:1" x14ac:dyDescent="0.25">
      <c r="A357" t="s">
        <v>880</v>
      </c>
    </row>
    <row r="358" spans="1:1" x14ac:dyDescent="0.25">
      <c r="A358" t="s">
        <v>881</v>
      </c>
    </row>
    <row r="359" spans="1:1" x14ac:dyDescent="0.25">
      <c r="A359" t="s">
        <v>882</v>
      </c>
    </row>
    <row r="360" spans="1:1" x14ac:dyDescent="0.25">
      <c r="A360" t="s">
        <v>883</v>
      </c>
    </row>
    <row r="361" spans="1:1" x14ac:dyDescent="0.25">
      <c r="A361" t="s">
        <v>884</v>
      </c>
    </row>
    <row r="362" spans="1:1" x14ac:dyDescent="0.25">
      <c r="A362" t="s">
        <v>885</v>
      </c>
    </row>
    <row r="363" spans="1:1" x14ac:dyDescent="0.25">
      <c r="A363" t="s">
        <v>886</v>
      </c>
    </row>
    <row r="364" spans="1:1" x14ac:dyDescent="0.25">
      <c r="A364" t="s">
        <v>887</v>
      </c>
    </row>
    <row r="365" spans="1:1" x14ac:dyDescent="0.25">
      <c r="A365" t="s">
        <v>888</v>
      </c>
    </row>
    <row r="366" spans="1:1" x14ac:dyDescent="0.25">
      <c r="A366" t="s">
        <v>889</v>
      </c>
    </row>
    <row r="367" spans="1:1" x14ac:dyDescent="0.25">
      <c r="A367" t="s">
        <v>890</v>
      </c>
    </row>
    <row r="368" spans="1:1" x14ac:dyDescent="0.25">
      <c r="A368" t="s">
        <v>891</v>
      </c>
    </row>
    <row r="369" spans="1:1" x14ac:dyDescent="0.25">
      <c r="A369" t="s">
        <v>892</v>
      </c>
    </row>
    <row r="370" spans="1:1" x14ac:dyDescent="0.25">
      <c r="A370" t="s">
        <v>893</v>
      </c>
    </row>
    <row r="371" spans="1:1" x14ac:dyDescent="0.25">
      <c r="A371" t="s">
        <v>894</v>
      </c>
    </row>
    <row r="372" spans="1:1" x14ac:dyDescent="0.25">
      <c r="A372" t="s">
        <v>895</v>
      </c>
    </row>
    <row r="373" spans="1:1" x14ac:dyDescent="0.25">
      <c r="A373" t="s">
        <v>896</v>
      </c>
    </row>
    <row r="374" spans="1:1" x14ac:dyDescent="0.25">
      <c r="A374" t="s">
        <v>897</v>
      </c>
    </row>
    <row r="375" spans="1:1" x14ac:dyDescent="0.25">
      <c r="A375" t="s">
        <v>898</v>
      </c>
    </row>
    <row r="376" spans="1:1" x14ac:dyDescent="0.25">
      <c r="A376" t="s">
        <v>899</v>
      </c>
    </row>
    <row r="377" spans="1:1" x14ac:dyDescent="0.25">
      <c r="A377" t="s">
        <v>900</v>
      </c>
    </row>
    <row r="378" spans="1:1" x14ac:dyDescent="0.25">
      <c r="A378" t="s">
        <v>901</v>
      </c>
    </row>
    <row r="379" spans="1:1" x14ac:dyDescent="0.25">
      <c r="A379" t="s">
        <v>902</v>
      </c>
    </row>
    <row r="380" spans="1:1" x14ac:dyDescent="0.25">
      <c r="A380" t="s">
        <v>903</v>
      </c>
    </row>
    <row r="381" spans="1:1" x14ac:dyDescent="0.25">
      <c r="A381" t="s">
        <v>904</v>
      </c>
    </row>
    <row r="382" spans="1:1" x14ac:dyDescent="0.25">
      <c r="A382" t="s">
        <v>905</v>
      </c>
    </row>
    <row r="383" spans="1:1" x14ac:dyDescent="0.25">
      <c r="A383" t="s">
        <v>906</v>
      </c>
    </row>
    <row r="384" spans="1:1" x14ac:dyDescent="0.25">
      <c r="A384" t="s">
        <v>907</v>
      </c>
    </row>
    <row r="385" spans="1:1" x14ac:dyDescent="0.25">
      <c r="A385" t="s">
        <v>908</v>
      </c>
    </row>
    <row r="386" spans="1:1" x14ac:dyDescent="0.25">
      <c r="A386" t="s">
        <v>909</v>
      </c>
    </row>
    <row r="387" spans="1:1" x14ac:dyDescent="0.25">
      <c r="A387" t="s">
        <v>910</v>
      </c>
    </row>
    <row r="388" spans="1:1" x14ac:dyDescent="0.25">
      <c r="A388" t="s">
        <v>911</v>
      </c>
    </row>
    <row r="389" spans="1:1" x14ac:dyDescent="0.25">
      <c r="A389" t="s">
        <v>912</v>
      </c>
    </row>
    <row r="390" spans="1:1" x14ac:dyDescent="0.25">
      <c r="A390" t="s">
        <v>913</v>
      </c>
    </row>
    <row r="391" spans="1:1" x14ac:dyDescent="0.25">
      <c r="A391" t="s">
        <v>914</v>
      </c>
    </row>
    <row r="392" spans="1:1" x14ac:dyDescent="0.25">
      <c r="A392" t="s">
        <v>915</v>
      </c>
    </row>
    <row r="393" spans="1:1" x14ac:dyDescent="0.25">
      <c r="A393" t="s">
        <v>916</v>
      </c>
    </row>
    <row r="394" spans="1:1" x14ac:dyDescent="0.25">
      <c r="A394" t="s">
        <v>917</v>
      </c>
    </row>
    <row r="395" spans="1:1" x14ac:dyDescent="0.25">
      <c r="A395" t="s">
        <v>918</v>
      </c>
    </row>
    <row r="396" spans="1:1" x14ac:dyDescent="0.25">
      <c r="A396" t="s">
        <v>919</v>
      </c>
    </row>
    <row r="397" spans="1:1" x14ac:dyDescent="0.25">
      <c r="A397" t="s">
        <v>920</v>
      </c>
    </row>
    <row r="398" spans="1:1" x14ac:dyDescent="0.25">
      <c r="A398" t="s">
        <v>921</v>
      </c>
    </row>
    <row r="399" spans="1:1" x14ac:dyDescent="0.25">
      <c r="A399" t="s">
        <v>922</v>
      </c>
    </row>
    <row r="400" spans="1:1" x14ac:dyDescent="0.25">
      <c r="A400" t="s">
        <v>923</v>
      </c>
    </row>
    <row r="401" spans="1:1" x14ac:dyDescent="0.25">
      <c r="A401" t="s">
        <v>924</v>
      </c>
    </row>
    <row r="402" spans="1:1" x14ac:dyDescent="0.25">
      <c r="A402" t="s">
        <v>925</v>
      </c>
    </row>
    <row r="403" spans="1:1" x14ac:dyDescent="0.25">
      <c r="A403" t="s">
        <v>926</v>
      </c>
    </row>
    <row r="404" spans="1:1" x14ac:dyDescent="0.25">
      <c r="A404" t="s">
        <v>927</v>
      </c>
    </row>
    <row r="405" spans="1:1" x14ac:dyDescent="0.25">
      <c r="A405" t="s">
        <v>928</v>
      </c>
    </row>
    <row r="406" spans="1:1" x14ac:dyDescent="0.25">
      <c r="A406" t="s">
        <v>929</v>
      </c>
    </row>
    <row r="407" spans="1:1" x14ac:dyDescent="0.25">
      <c r="A407" t="s">
        <v>930</v>
      </c>
    </row>
    <row r="408" spans="1:1" x14ac:dyDescent="0.25">
      <c r="A408" t="s">
        <v>931</v>
      </c>
    </row>
    <row r="409" spans="1:1" x14ac:dyDescent="0.25">
      <c r="A409" t="s">
        <v>932</v>
      </c>
    </row>
    <row r="410" spans="1:1" x14ac:dyDescent="0.25">
      <c r="A410" t="s">
        <v>933</v>
      </c>
    </row>
    <row r="411" spans="1:1" x14ac:dyDescent="0.25">
      <c r="A411" t="s">
        <v>934</v>
      </c>
    </row>
    <row r="412" spans="1:1" x14ac:dyDescent="0.25">
      <c r="A412" t="s">
        <v>935</v>
      </c>
    </row>
    <row r="413" spans="1:1" x14ac:dyDescent="0.25">
      <c r="A413" t="s">
        <v>936</v>
      </c>
    </row>
    <row r="414" spans="1:1" x14ac:dyDescent="0.25">
      <c r="A414" t="s">
        <v>937</v>
      </c>
    </row>
    <row r="415" spans="1:1" x14ac:dyDescent="0.25">
      <c r="A415" t="s">
        <v>938</v>
      </c>
    </row>
    <row r="416" spans="1:1" x14ac:dyDescent="0.25">
      <c r="A416" t="s">
        <v>939</v>
      </c>
    </row>
    <row r="417" spans="1:1" x14ac:dyDescent="0.25">
      <c r="A417" t="s">
        <v>940</v>
      </c>
    </row>
    <row r="418" spans="1:1" x14ac:dyDescent="0.25">
      <c r="A418" t="s">
        <v>941</v>
      </c>
    </row>
    <row r="419" spans="1:1" x14ac:dyDescent="0.25">
      <c r="A419" t="s">
        <v>942</v>
      </c>
    </row>
    <row r="420" spans="1:1" x14ac:dyDescent="0.25">
      <c r="A420" t="s">
        <v>943</v>
      </c>
    </row>
    <row r="421" spans="1:1" x14ac:dyDescent="0.25">
      <c r="A421" t="s">
        <v>944</v>
      </c>
    </row>
    <row r="422" spans="1:1" x14ac:dyDescent="0.25">
      <c r="A422" t="s">
        <v>945</v>
      </c>
    </row>
    <row r="423" spans="1:1" x14ac:dyDescent="0.25">
      <c r="A423" t="s">
        <v>946</v>
      </c>
    </row>
    <row r="424" spans="1:1" x14ac:dyDescent="0.25">
      <c r="A424" t="s">
        <v>947</v>
      </c>
    </row>
    <row r="425" spans="1:1" x14ac:dyDescent="0.25">
      <c r="A425" t="s">
        <v>948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425"/>
  <sheetViews>
    <sheetView workbookViewId="0"/>
  </sheetViews>
  <sheetFormatPr defaultRowHeight="15" x14ac:dyDescent="0.25"/>
  <sheetData>
    <row r="1" spans="1:2" x14ac:dyDescent="0.25">
      <c r="A1" t="s">
        <v>524</v>
      </c>
      <c r="B1" t="s">
        <v>949</v>
      </c>
    </row>
    <row r="2" spans="1:2" x14ac:dyDescent="0.25">
      <c r="A2" t="s">
        <v>525</v>
      </c>
      <c r="B2" t="s">
        <v>950</v>
      </c>
    </row>
    <row r="3" spans="1:2" x14ac:dyDescent="0.25">
      <c r="A3" t="s">
        <v>526</v>
      </c>
      <c r="B3" t="s">
        <v>951</v>
      </c>
    </row>
    <row r="4" spans="1:2" x14ac:dyDescent="0.25">
      <c r="A4" t="s">
        <v>527</v>
      </c>
      <c r="B4" t="s">
        <v>952</v>
      </c>
    </row>
    <row r="5" spans="1:2" x14ac:dyDescent="0.25">
      <c r="A5" t="s">
        <v>528</v>
      </c>
      <c r="B5" t="s">
        <v>953</v>
      </c>
    </row>
    <row r="6" spans="1:2" x14ac:dyDescent="0.25">
      <c r="A6" t="s">
        <v>529</v>
      </c>
      <c r="B6" t="s">
        <v>954</v>
      </c>
    </row>
    <row r="7" spans="1:2" x14ac:dyDescent="0.25">
      <c r="A7" t="s">
        <v>530</v>
      </c>
      <c r="B7" t="s">
        <v>955</v>
      </c>
    </row>
    <row r="8" spans="1:2" x14ac:dyDescent="0.25">
      <c r="A8" t="s">
        <v>531</v>
      </c>
      <c r="B8" t="s">
        <v>956</v>
      </c>
    </row>
    <row r="9" spans="1:2" x14ac:dyDescent="0.25">
      <c r="A9" t="s">
        <v>532</v>
      </c>
      <c r="B9" t="s">
        <v>957</v>
      </c>
    </row>
    <row r="10" spans="1:2" x14ac:dyDescent="0.25">
      <c r="A10" t="s">
        <v>533</v>
      </c>
      <c r="B10" t="s">
        <v>958</v>
      </c>
    </row>
    <row r="11" spans="1:2" x14ac:dyDescent="0.25">
      <c r="A11" t="s">
        <v>534</v>
      </c>
      <c r="B11" t="s">
        <v>959</v>
      </c>
    </row>
    <row r="12" spans="1:2" x14ac:dyDescent="0.25">
      <c r="A12" t="s">
        <v>535</v>
      </c>
      <c r="B12" t="s">
        <v>960</v>
      </c>
    </row>
    <row r="13" spans="1:2" x14ac:dyDescent="0.25">
      <c r="A13" t="s">
        <v>536</v>
      </c>
      <c r="B13" t="s">
        <v>961</v>
      </c>
    </row>
    <row r="14" spans="1:2" x14ac:dyDescent="0.25">
      <c r="A14" t="s">
        <v>537</v>
      </c>
      <c r="B14" t="s">
        <v>962</v>
      </c>
    </row>
    <row r="15" spans="1:2" x14ac:dyDescent="0.25">
      <c r="A15" t="s">
        <v>538</v>
      </c>
      <c r="B15" t="s">
        <v>963</v>
      </c>
    </row>
    <row r="16" spans="1:2" x14ac:dyDescent="0.25">
      <c r="A16" t="s">
        <v>539</v>
      </c>
      <c r="B16" t="s">
        <v>964</v>
      </c>
    </row>
    <row r="17" spans="1:2" x14ac:dyDescent="0.25">
      <c r="A17" t="s">
        <v>540</v>
      </c>
      <c r="B17" t="s">
        <v>965</v>
      </c>
    </row>
    <row r="18" spans="1:2" x14ac:dyDescent="0.25">
      <c r="A18" t="s">
        <v>541</v>
      </c>
      <c r="B18" t="s">
        <v>966</v>
      </c>
    </row>
    <row r="19" spans="1:2" x14ac:dyDescent="0.25">
      <c r="A19" t="s">
        <v>542</v>
      </c>
      <c r="B19" t="s">
        <v>967</v>
      </c>
    </row>
    <row r="20" spans="1:2" x14ac:dyDescent="0.25">
      <c r="A20" t="s">
        <v>543</v>
      </c>
      <c r="B20" t="s">
        <v>968</v>
      </c>
    </row>
    <row r="21" spans="1:2" x14ac:dyDescent="0.25">
      <c r="A21" t="s">
        <v>544</v>
      </c>
      <c r="B21" t="s">
        <v>969</v>
      </c>
    </row>
    <row r="22" spans="1:2" x14ac:dyDescent="0.25">
      <c r="A22" t="s">
        <v>545</v>
      </c>
      <c r="B22" t="s">
        <v>970</v>
      </c>
    </row>
    <row r="23" spans="1:2" x14ac:dyDescent="0.25">
      <c r="A23" t="s">
        <v>546</v>
      </c>
      <c r="B23" t="s">
        <v>971</v>
      </c>
    </row>
    <row r="24" spans="1:2" x14ac:dyDescent="0.25">
      <c r="A24" t="s">
        <v>547</v>
      </c>
      <c r="B24" t="s">
        <v>972</v>
      </c>
    </row>
    <row r="25" spans="1:2" x14ac:dyDescent="0.25">
      <c r="A25" t="s">
        <v>548</v>
      </c>
      <c r="B25" t="s">
        <v>973</v>
      </c>
    </row>
    <row r="26" spans="1:2" x14ac:dyDescent="0.25">
      <c r="A26" t="s">
        <v>549</v>
      </c>
      <c r="B26" t="s">
        <v>974</v>
      </c>
    </row>
    <row r="27" spans="1:2" x14ac:dyDescent="0.25">
      <c r="A27" t="s">
        <v>550</v>
      </c>
      <c r="B27" t="s">
        <v>975</v>
      </c>
    </row>
    <row r="28" spans="1:2" x14ac:dyDescent="0.25">
      <c r="A28" t="s">
        <v>551</v>
      </c>
      <c r="B28" t="s">
        <v>976</v>
      </c>
    </row>
    <row r="29" spans="1:2" x14ac:dyDescent="0.25">
      <c r="A29" t="s">
        <v>552</v>
      </c>
      <c r="B29" t="s">
        <v>977</v>
      </c>
    </row>
    <row r="30" spans="1:2" x14ac:dyDescent="0.25">
      <c r="A30" t="s">
        <v>553</v>
      </c>
      <c r="B30" t="s">
        <v>978</v>
      </c>
    </row>
    <row r="31" spans="1:2" x14ac:dyDescent="0.25">
      <c r="A31" t="s">
        <v>554</v>
      </c>
      <c r="B31" t="s">
        <v>979</v>
      </c>
    </row>
    <row r="32" spans="1:2" x14ac:dyDescent="0.25">
      <c r="A32" t="s">
        <v>555</v>
      </c>
      <c r="B32" t="s">
        <v>980</v>
      </c>
    </row>
    <row r="33" spans="1:2" x14ac:dyDescent="0.25">
      <c r="A33" t="s">
        <v>556</v>
      </c>
      <c r="B33" t="s">
        <v>981</v>
      </c>
    </row>
    <row r="34" spans="1:2" x14ac:dyDescent="0.25">
      <c r="A34" t="s">
        <v>557</v>
      </c>
      <c r="B34" t="s">
        <v>982</v>
      </c>
    </row>
    <row r="35" spans="1:2" x14ac:dyDescent="0.25">
      <c r="A35" t="s">
        <v>558</v>
      </c>
      <c r="B35" t="s">
        <v>983</v>
      </c>
    </row>
    <row r="36" spans="1:2" x14ac:dyDescent="0.25">
      <c r="A36" t="s">
        <v>559</v>
      </c>
      <c r="B36" t="s">
        <v>984</v>
      </c>
    </row>
    <row r="37" spans="1:2" x14ac:dyDescent="0.25">
      <c r="A37" t="s">
        <v>560</v>
      </c>
      <c r="B37" t="s">
        <v>985</v>
      </c>
    </row>
    <row r="38" spans="1:2" x14ac:dyDescent="0.25">
      <c r="A38" t="s">
        <v>561</v>
      </c>
      <c r="B38" t="s">
        <v>986</v>
      </c>
    </row>
    <row r="39" spans="1:2" x14ac:dyDescent="0.25">
      <c r="A39" t="s">
        <v>562</v>
      </c>
      <c r="B39" t="s">
        <v>987</v>
      </c>
    </row>
    <row r="40" spans="1:2" x14ac:dyDescent="0.25">
      <c r="A40" t="s">
        <v>563</v>
      </c>
      <c r="B40" t="s">
        <v>988</v>
      </c>
    </row>
    <row r="41" spans="1:2" x14ac:dyDescent="0.25">
      <c r="A41" t="s">
        <v>564</v>
      </c>
      <c r="B41" t="s">
        <v>989</v>
      </c>
    </row>
    <row r="42" spans="1:2" x14ac:dyDescent="0.25">
      <c r="A42" t="s">
        <v>565</v>
      </c>
      <c r="B42" t="s">
        <v>990</v>
      </c>
    </row>
    <row r="43" spans="1:2" x14ac:dyDescent="0.25">
      <c r="A43" t="s">
        <v>566</v>
      </c>
      <c r="B43" t="s">
        <v>991</v>
      </c>
    </row>
    <row r="44" spans="1:2" x14ac:dyDescent="0.25">
      <c r="A44" t="s">
        <v>567</v>
      </c>
      <c r="B44" t="s">
        <v>992</v>
      </c>
    </row>
    <row r="45" spans="1:2" x14ac:dyDescent="0.25">
      <c r="A45" t="s">
        <v>568</v>
      </c>
      <c r="B45" t="s">
        <v>993</v>
      </c>
    </row>
    <row r="46" spans="1:2" x14ac:dyDescent="0.25">
      <c r="A46" t="s">
        <v>569</v>
      </c>
      <c r="B46" t="s">
        <v>994</v>
      </c>
    </row>
    <row r="47" spans="1:2" x14ac:dyDescent="0.25">
      <c r="A47" t="s">
        <v>570</v>
      </c>
      <c r="B47" t="s">
        <v>995</v>
      </c>
    </row>
    <row r="48" spans="1:2" x14ac:dyDescent="0.25">
      <c r="A48" t="s">
        <v>571</v>
      </c>
      <c r="B48" t="s">
        <v>996</v>
      </c>
    </row>
    <row r="49" spans="1:2" x14ac:dyDescent="0.25">
      <c r="A49" t="s">
        <v>572</v>
      </c>
      <c r="B49" t="s">
        <v>997</v>
      </c>
    </row>
    <row r="50" spans="1:2" x14ac:dyDescent="0.25">
      <c r="A50" t="s">
        <v>573</v>
      </c>
      <c r="B50" t="s">
        <v>998</v>
      </c>
    </row>
    <row r="51" spans="1:2" x14ac:dyDescent="0.25">
      <c r="A51" t="s">
        <v>574</v>
      </c>
      <c r="B51" t="s">
        <v>999</v>
      </c>
    </row>
    <row r="52" spans="1:2" x14ac:dyDescent="0.25">
      <c r="A52" t="s">
        <v>575</v>
      </c>
      <c r="B52" t="s">
        <v>1000</v>
      </c>
    </row>
    <row r="53" spans="1:2" x14ac:dyDescent="0.25">
      <c r="A53" t="s">
        <v>576</v>
      </c>
      <c r="B53" t="s">
        <v>1001</v>
      </c>
    </row>
    <row r="54" spans="1:2" x14ac:dyDescent="0.25">
      <c r="A54" t="s">
        <v>577</v>
      </c>
      <c r="B54" t="s">
        <v>1002</v>
      </c>
    </row>
    <row r="55" spans="1:2" x14ac:dyDescent="0.25">
      <c r="A55" t="s">
        <v>578</v>
      </c>
      <c r="B55" t="s">
        <v>1003</v>
      </c>
    </row>
    <row r="56" spans="1:2" x14ac:dyDescent="0.25">
      <c r="A56" t="s">
        <v>579</v>
      </c>
      <c r="B56" t="s">
        <v>1004</v>
      </c>
    </row>
    <row r="57" spans="1:2" x14ac:dyDescent="0.25">
      <c r="A57" t="s">
        <v>580</v>
      </c>
      <c r="B57" t="s">
        <v>1005</v>
      </c>
    </row>
    <row r="58" spans="1:2" x14ac:dyDescent="0.25">
      <c r="A58" t="s">
        <v>581</v>
      </c>
      <c r="B58" t="s">
        <v>1006</v>
      </c>
    </row>
    <row r="59" spans="1:2" x14ac:dyDescent="0.25">
      <c r="A59" t="s">
        <v>582</v>
      </c>
      <c r="B59" t="s">
        <v>1007</v>
      </c>
    </row>
    <row r="60" spans="1:2" x14ac:dyDescent="0.25">
      <c r="A60" t="s">
        <v>583</v>
      </c>
      <c r="B60" t="s">
        <v>1008</v>
      </c>
    </row>
    <row r="61" spans="1:2" x14ac:dyDescent="0.25">
      <c r="A61" t="s">
        <v>584</v>
      </c>
      <c r="B61" t="s">
        <v>1009</v>
      </c>
    </row>
    <row r="62" spans="1:2" x14ac:dyDescent="0.25">
      <c r="A62" t="s">
        <v>585</v>
      </c>
      <c r="B62" t="s">
        <v>1010</v>
      </c>
    </row>
    <row r="63" spans="1:2" x14ac:dyDescent="0.25">
      <c r="A63" t="s">
        <v>586</v>
      </c>
      <c r="B63" t="s">
        <v>1011</v>
      </c>
    </row>
    <row r="64" spans="1:2" x14ac:dyDescent="0.25">
      <c r="A64" t="s">
        <v>587</v>
      </c>
      <c r="B64" t="s">
        <v>1012</v>
      </c>
    </row>
    <row r="65" spans="1:2" x14ac:dyDescent="0.25">
      <c r="A65" t="s">
        <v>588</v>
      </c>
      <c r="B65" t="s">
        <v>1013</v>
      </c>
    </row>
    <row r="66" spans="1:2" x14ac:dyDescent="0.25">
      <c r="A66" t="s">
        <v>589</v>
      </c>
      <c r="B66" t="s">
        <v>1014</v>
      </c>
    </row>
    <row r="67" spans="1:2" x14ac:dyDescent="0.25">
      <c r="A67" t="s">
        <v>590</v>
      </c>
      <c r="B67" t="s">
        <v>1015</v>
      </c>
    </row>
    <row r="68" spans="1:2" x14ac:dyDescent="0.25">
      <c r="A68" t="s">
        <v>591</v>
      </c>
      <c r="B68" t="s">
        <v>1016</v>
      </c>
    </row>
    <row r="69" spans="1:2" x14ac:dyDescent="0.25">
      <c r="A69" t="s">
        <v>592</v>
      </c>
      <c r="B69" t="s">
        <v>1017</v>
      </c>
    </row>
    <row r="70" spans="1:2" x14ac:dyDescent="0.25">
      <c r="A70" t="s">
        <v>593</v>
      </c>
      <c r="B70" t="s">
        <v>1018</v>
      </c>
    </row>
    <row r="71" spans="1:2" x14ac:dyDescent="0.25">
      <c r="A71" t="s">
        <v>594</v>
      </c>
      <c r="B71" t="s">
        <v>1019</v>
      </c>
    </row>
    <row r="72" spans="1:2" x14ac:dyDescent="0.25">
      <c r="A72" t="s">
        <v>595</v>
      </c>
      <c r="B72" t="s">
        <v>1020</v>
      </c>
    </row>
    <row r="73" spans="1:2" x14ac:dyDescent="0.25">
      <c r="A73" t="s">
        <v>596</v>
      </c>
      <c r="B73" t="s">
        <v>1021</v>
      </c>
    </row>
    <row r="74" spans="1:2" x14ac:dyDescent="0.25">
      <c r="A74" t="s">
        <v>597</v>
      </c>
      <c r="B74" t="s">
        <v>1022</v>
      </c>
    </row>
    <row r="75" spans="1:2" x14ac:dyDescent="0.25">
      <c r="A75" t="s">
        <v>598</v>
      </c>
      <c r="B75" t="s">
        <v>1023</v>
      </c>
    </row>
    <row r="76" spans="1:2" x14ac:dyDescent="0.25">
      <c r="A76" t="s">
        <v>599</v>
      </c>
      <c r="B76" t="s">
        <v>1024</v>
      </c>
    </row>
    <row r="77" spans="1:2" x14ac:dyDescent="0.25">
      <c r="A77" t="s">
        <v>600</v>
      </c>
      <c r="B77" t="s">
        <v>1025</v>
      </c>
    </row>
    <row r="78" spans="1:2" x14ac:dyDescent="0.25">
      <c r="A78" t="s">
        <v>601</v>
      </c>
      <c r="B78" t="s">
        <v>1026</v>
      </c>
    </row>
    <row r="79" spans="1:2" x14ac:dyDescent="0.25">
      <c r="A79" t="s">
        <v>602</v>
      </c>
      <c r="B79" t="s">
        <v>1027</v>
      </c>
    </row>
    <row r="80" spans="1:2" x14ac:dyDescent="0.25">
      <c r="A80" t="s">
        <v>603</v>
      </c>
      <c r="B80" t="s">
        <v>1028</v>
      </c>
    </row>
    <row r="81" spans="1:2" x14ac:dyDescent="0.25">
      <c r="A81" t="s">
        <v>604</v>
      </c>
      <c r="B81" t="s">
        <v>1029</v>
      </c>
    </row>
    <row r="82" spans="1:2" x14ac:dyDescent="0.25">
      <c r="A82" t="s">
        <v>605</v>
      </c>
      <c r="B82" t="s">
        <v>1030</v>
      </c>
    </row>
    <row r="83" spans="1:2" x14ac:dyDescent="0.25">
      <c r="A83" t="s">
        <v>606</v>
      </c>
      <c r="B83" t="s">
        <v>1031</v>
      </c>
    </row>
    <row r="84" spans="1:2" x14ac:dyDescent="0.25">
      <c r="A84" t="s">
        <v>607</v>
      </c>
      <c r="B84" t="s">
        <v>1032</v>
      </c>
    </row>
    <row r="85" spans="1:2" x14ac:dyDescent="0.25">
      <c r="A85" t="s">
        <v>608</v>
      </c>
      <c r="B85" t="s">
        <v>1033</v>
      </c>
    </row>
    <row r="86" spans="1:2" x14ac:dyDescent="0.25">
      <c r="A86" t="s">
        <v>609</v>
      </c>
      <c r="B86" t="s">
        <v>1034</v>
      </c>
    </row>
    <row r="87" spans="1:2" x14ac:dyDescent="0.25">
      <c r="A87" t="s">
        <v>610</v>
      </c>
      <c r="B87" t="s">
        <v>1035</v>
      </c>
    </row>
    <row r="88" spans="1:2" x14ac:dyDescent="0.25">
      <c r="A88" t="s">
        <v>611</v>
      </c>
      <c r="B88" t="s">
        <v>1036</v>
      </c>
    </row>
    <row r="89" spans="1:2" x14ac:dyDescent="0.25">
      <c r="A89" t="s">
        <v>612</v>
      </c>
      <c r="B89" t="s">
        <v>1037</v>
      </c>
    </row>
    <row r="90" spans="1:2" x14ac:dyDescent="0.25">
      <c r="A90" t="s">
        <v>613</v>
      </c>
      <c r="B90" t="s">
        <v>1038</v>
      </c>
    </row>
    <row r="91" spans="1:2" x14ac:dyDescent="0.25">
      <c r="A91" t="s">
        <v>614</v>
      </c>
      <c r="B91" t="s">
        <v>1039</v>
      </c>
    </row>
    <row r="92" spans="1:2" x14ac:dyDescent="0.25">
      <c r="A92" t="s">
        <v>615</v>
      </c>
      <c r="B92" t="s">
        <v>1040</v>
      </c>
    </row>
    <row r="93" spans="1:2" x14ac:dyDescent="0.25">
      <c r="A93" t="s">
        <v>616</v>
      </c>
      <c r="B93" t="s">
        <v>1041</v>
      </c>
    </row>
    <row r="94" spans="1:2" x14ac:dyDescent="0.25">
      <c r="A94" t="s">
        <v>617</v>
      </c>
      <c r="B94" t="s">
        <v>1042</v>
      </c>
    </row>
    <row r="95" spans="1:2" x14ac:dyDescent="0.25">
      <c r="A95" t="s">
        <v>618</v>
      </c>
      <c r="B95" t="s">
        <v>1043</v>
      </c>
    </row>
    <row r="96" spans="1:2" x14ac:dyDescent="0.25">
      <c r="A96" t="s">
        <v>619</v>
      </c>
      <c r="B96" t="s">
        <v>1044</v>
      </c>
    </row>
    <row r="97" spans="1:2" x14ac:dyDescent="0.25">
      <c r="A97" t="s">
        <v>620</v>
      </c>
      <c r="B97" t="s">
        <v>1045</v>
      </c>
    </row>
    <row r="98" spans="1:2" x14ac:dyDescent="0.25">
      <c r="A98" t="s">
        <v>621</v>
      </c>
      <c r="B98" t="s">
        <v>1046</v>
      </c>
    </row>
    <row r="99" spans="1:2" x14ac:dyDescent="0.25">
      <c r="A99" t="s">
        <v>622</v>
      </c>
      <c r="B99" t="s">
        <v>1047</v>
      </c>
    </row>
    <row r="100" spans="1:2" x14ac:dyDescent="0.25">
      <c r="A100" t="s">
        <v>623</v>
      </c>
      <c r="B100" t="s">
        <v>1048</v>
      </c>
    </row>
    <row r="101" spans="1:2" x14ac:dyDescent="0.25">
      <c r="A101" t="s">
        <v>624</v>
      </c>
      <c r="B101" t="s">
        <v>1049</v>
      </c>
    </row>
    <row r="102" spans="1:2" x14ac:dyDescent="0.25">
      <c r="A102" t="s">
        <v>625</v>
      </c>
      <c r="B102" t="s">
        <v>1050</v>
      </c>
    </row>
    <row r="103" spans="1:2" x14ac:dyDescent="0.25">
      <c r="A103" t="s">
        <v>626</v>
      </c>
      <c r="B103" t="s">
        <v>1051</v>
      </c>
    </row>
    <row r="104" spans="1:2" x14ac:dyDescent="0.25">
      <c r="A104" t="s">
        <v>627</v>
      </c>
      <c r="B104" t="s">
        <v>1052</v>
      </c>
    </row>
    <row r="105" spans="1:2" x14ac:dyDescent="0.25">
      <c r="A105" t="s">
        <v>628</v>
      </c>
      <c r="B105" t="s">
        <v>1053</v>
      </c>
    </row>
    <row r="106" spans="1:2" x14ac:dyDescent="0.25">
      <c r="A106" t="s">
        <v>629</v>
      </c>
      <c r="B106" t="s">
        <v>1054</v>
      </c>
    </row>
    <row r="107" spans="1:2" x14ac:dyDescent="0.25">
      <c r="A107" t="s">
        <v>630</v>
      </c>
      <c r="B107" t="s">
        <v>1055</v>
      </c>
    </row>
    <row r="108" spans="1:2" x14ac:dyDescent="0.25">
      <c r="A108" t="s">
        <v>631</v>
      </c>
      <c r="B108" t="s">
        <v>1056</v>
      </c>
    </row>
    <row r="109" spans="1:2" x14ac:dyDescent="0.25">
      <c r="A109" t="s">
        <v>632</v>
      </c>
      <c r="B109" t="s">
        <v>1057</v>
      </c>
    </row>
    <row r="110" spans="1:2" x14ac:dyDescent="0.25">
      <c r="A110" t="s">
        <v>633</v>
      </c>
      <c r="B110" t="s">
        <v>1058</v>
      </c>
    </row>
    <row r="111" spans="1:2" x14ac:dyDescent="0.25">
      <c r="A111" t="s">
        <v>634</v>
      </c>
      <c r="B111" t="s">
        <v>1059</v>
      </c>
    </row>
    <row r="112" spans="1:2" x14ac:dyDescent="0.25">
      <c r="A112" t="s">
        <v>635</v>
      </c>
      <c r="B112" t="s">
        <v>1060</v>
      </c>
    </row>
    <row r="113" spans="1:2" x14ac:dyDescent="0.25">
      <c r="A113" t="s">
        <v>636</v>
      </c>
      <c r="B113" t="s">
        <v>1061</v>
      </c>
    </row>
    <row r="114" spans="1:2" x14ac:dyDescent="0.25">
      <c r="A114" t="s">
        <v>637</v>
      </c>
      <c r="B114" t="s">
        <v>1062</v>
      </c>
    </row>
    <row r="115" spans="1:2" x14ac:dyDescent="0.25">
      <c r="A115" t="s">
        <v>638</v>
      </c>
      <c r="B115" t="s">
        <v>1063</v>
      </c>
    </row>
    <row r="116" spans="1:2" x14ac:dyDescent="0.25">
      <c r="A116" t="s">
        <v>639</v>
      </c>
      <c r="B116" t="s">
        <v>1064</v>
      </c>
    </row>
    <row r="117" spans="1:2" x14ac:dyDescent="0.25">
      <c r="A117" t="s">
        <v>640</v>
      </c>
      <c r="B117" t="s">
        <v>1065</v>
      </c>
    </row>
    <row r="118" spans="1:2" x14ac:dyDescent="0.25">
      <c r="A118" t="s">
        <v>641</v>
      </c>
      <c r="B118" t="s">
        <v>1066</v>
      </c>
    </row>
    <row r="119" spans="1:2" x14ac:dyDescent="0.25">
      <c r="A119" t="s">
        <v>642</v>
      </c>
      <c r="B119" t="s">
        <v>1067</v>
      </c>
    </row>
    <row r="120" spans="1:2" x14ac:dyDescent="0.25">
      <c r="A120" t="s">
        <v>643</v>
      </c>
      <c r="B120" t="s">
        <v>1068</v>
      </c>
    </row>
    <row r="121" spans="1:2" x14ac:dyDescent="0.25">
      <c r="A121" t="s">
        <v>644</v>
      </c>
      <c r="B121" t="s">
        <v>1069</v>
      </c>
    </row>
    <row r="122" spans="1:2" x14ac:dyDescent="0.25">
      <c r="A122" t="s">
        <v>645</v>
      </c>
      <c r="B122" t="s">
        <v>1070</v>
      </c>
    </row>
    <row r="123" spans="1:2" x14ac:dyDescent="0.25">
      <c r="A123" t="s">
        <v>646</v>
      </c>
      <c r="B123" t="s">
        <v>1071</v>
      </c>
    </row>
    <row r="124" spans="1:2" x14ac:dyDescent="0.25">
      <c r="A124" t="s">
        <v>647</v>
      </c>
      <c r="B124" t="s">
        <v>1072</v>
      </c>
    </row>
    <row r="125" spans="1:2" x14ac:dyDescent="0.25">
      <c r="A125" t="s">
        <v>648</v>
      </c>
      <c r="B125" t="s">
        <v>1073</v>
      </c>
    </row>
    <row r="126" spans="1:2" x14ac:dyDescent="0.25">
      <c r="A126" t="s">
        <v>649</v>
      </c>
      <c r="B126" t="s">
        <v>1074</v>
      </c>
    </row>
    <row r="127" spans="1:2" x14ac:dyDescent="0.25">
      <c r="A127" t="s">
        <v>650</v>
      </c>
      <c r="B127" t="s">
        <v>1075</v>
      </c>
    </row>
    <row r="128" spans="1:2" x14ac:dyDescent="0.25">
      <c r="A128" t="s">
        <v>651</v>
      </c>
      <c r="B128" t="s">
        <v>1076</v>
      </c>
    </row>
    <row r="129" spans="1:2" x14ac:dyDescent="0.25">
      <c r="A129" t="s">
        <v>652</v>
      </c>
      <c r="B129" t="s">
        <v>1077</v>
      </c>
    </row>
    <row r="130" spans="1:2" x14ac:dyDescent="0.25">
      <c r="A130" t="s">
        <v>653</v>
      </c>
      <c r="B130" t="s">
        <v>1078</v>
      </c>
    </row>
    <row r="131" spans="1:2" x14ac:dyDescent="0.25">
      <c r="A131" t="s">
        <v>654</v>
      </c>
      <c r="B131" t="s">
        <v>1079</v>
      </c>
    </row>
    <row r="132" spans="1:2" x14ac:dyDescent="0.25">
      <c r="A132" t="s">
        <v>655</v>
      </c>
      <c r="B132" t="s">
        <v>1080</v>
      </c>
    </row>
    <row r="133" spans="1:2" x14ac:dyDescent="0.25">
      <c r="A133" t="s">
        <v>656</v>
      </c>
      <c r="B133" t="s">
        <v>1081</v>
      </c>
    </row>
    <row r="134" spans="1:2" x14ac:dyDescent="0.25">
      <c r="A134" t="s">
        <v>657</v>
      </c>
      <c r="B134" t="s">
        <v>1082</v>
      </c>
    </row>
    <row r="135" spans="1:2" x14ac:dyDescent="0.25">
      <c r="A135" t="s">
        <v>658</v>
      </c>
      <c r="B135" t="s">
        <v>1083</v>
      </c>
    </row>
    <row r="136" spans="1:2" x14ac:dyDescent="0.25">
      <c r="A136" t="s">
        <v>659</v>
      </c>
      <c r="B136" t="s">
        <v>1084</v>
      </c>
    </row>
    <row r="137" spans="1:2" x14ac:dyDescent="0.25">
      <c r="A137" t="s">
        <v>660</v>
      </c>
      <c r="B137" t="s">
        <v>1085</v>
      </c>
    </row>
    <row r="138" spans="1:2" x14ac:dyDescent="0.25">
      <c r="A138" t="s">
        <v>661</v>
      </c>
      <c r="B138" t="s">
        <v>1086</v>
      </c>
    </row>
    <row r="139" spans="1:2" x14ac:dyDescent="0.25">
      <c r="A139" t="s">
        <v>662</v>
      </c>
      <c r="B139" t="s">
        <v>1087</v>
      </c>
    </row>
    <row r="140" spans="1:2" x14ac:dyDescent="0.25">
      <c r="A140" t="s">
        <v>663</v>
      </c>
      <c r="B140" t="s">
        <v>1088</v>
      </c>
    </row>
    <row r="141" spans="1:2" x14ac:dyDescent="0.25">
      <c r="A141" t="s">
        <v>664</v>
      </c>
      <c r="B141" t="s">
        <v>1089</v>
      </c>
    </row>
    <row r="142" spans="1:2" x14ac:dyDescent="0.25">
      <c r="A142" t="s">
        <v>665</v>
      </c>
      <c r="B142" t="s">
        <v>1090</v>
      </c>
    </row>
    <row r="143" spans="1:2" x14ac:dyDescent="0.25">
      <c r="A143" t="s">
        <v>666</v>
      </c>
      <c r="B143" t="s">
        <v>1091</v>
      </c>
    </row>
    <row r="144" spans="1:2" x14ac:dyDescent="0.25">
      <c r="A144" t="s">
        <v>667</v>
      </c>
      <c r="B144" t="s">
        <v>1092</v>
      </c>
    </row>
    <row r="145" spans="1:2" x14ac:dyDescent="0.25">
      <c r="A145" t="s">
        <v>668</v>
      </c>
      <c r="B145" t="s">
        <v>1093</v>
      </c>
    </row>
    <row r="146" spans="1:2" x14ac:dyDescent="0.25">
      <c r="A146" t="s">
        <v>669</v>
      </c>
      <c r="B146" t="s">
        <v>1094</v>
      </c>
    </row>
    <row r="147" spans="1:2" x14ac:dyDescent="0.25">
      <c r="A147" t="s">
        <v>670</v>
      </c>
      <c r="B147" t="s">
        <v>1095</v>
      </c>
    </row>
    <row r="148" spans="1:2" x14ac:dyDescent="0.25">
      <c r="A148" t="s">
        <v>671</v>
      </c>
      <c r="B148" t="s">
        <v>1096</v>
      </c>
    </row>
    <row r="149" spans="1:2" x14ac:dyDescent="0.25">
      <c r="A149" t="s">
        <v>672</v>
      </c>
      <c r="B149" t="s">
        <v>1097</v>
      </c>
    </row>
    <row r="150" spans="1:2" x14ac:dyDescent="0.25">
      <c r="A150" t="s">
        <v>673</v>
      </c>
      <c r="B150" t="s">
        <v>1098</v>
      </c>
    </row>
    <row r="151" spans="1:2" x14ac:dyDescent="0.25">
      <c r="A151" t="s">
        <v>674</v>
      </c>
      <c r="B151" t="s">
        <v>1099</v>
      </c>
    </row>
    <row r="152" spans="1:2" x14ac:dyDescent="0.25">
      <c r="A152" t="s">
        <v>675</v>
      </c>
      <c r="B152" t="s">
        <v>1100</v>
      </c>
    </row>
    <row r="153" spans="1:2" x14ac:dyDescent="0.25">
      <c r="A153" t="s">
        <v>676</v>
      </c>
      <c r="B153" t="s">
        <v>1101</v>
      </c>
    </row>
    <row r="154" spans="1:2" x14ac:dyDescent="0.25">
      <c r="A154" t="s">
        <v>677</v>
      </c>
      <c r="B154" t="s">
        <v>1102</v>
      </c>
    </row>
    <row r="155" spans="1:2" x14ac:dyDescent="0.25">
      <c r="A155" t="s">
        <v>678</v>
      </c>
      <c r="B155" t="s">
        <v>1103</v>
      </c>
    </row>
    <row r="156" spans="1:2" x14ac:dyDescent="0.25">
      <c r="A156" t="s">
        <v>679</v>
      </c>
      <c r="B156" t="s">
        <v>1104</v>
      </c>
    </row>
    <row r="157" spans="1:2" x14ac:dyDescent="0.25">
      <c r="A157" t="s">
        <v>680</v>
      </c>
      <c r="B157" t="s">
        <v>1105</v>
      </c>
    </row>
    <row r="158" spans="1:2" x14ac:dyDescent="0.25">
      <c r="A158" t="s">
        <v>681</v>
      </c>
      <c r="B158" t="s">
        <v>1106</v>
      </c>
    </row>
    <row r="159" spans="1:2" x14ac:dyDescent="0.25">
      <c r="A159" t="s">
        <v>682</v>
      </c>
      <c r="B159" t="s">
        <v>1107</v>
      </c>
    </row>
    <row r="160" spans="1:2" x14ac:dyDescent="0.25">
      <c r="A160" t="s">
        <v>683</v>
      </c>
      <c r="B160" t="s">
        <v>1108</v>
      </c>
    </row>
    <row r="161" spans="1:2" x14ac:dyDescent="0.25">
      <c r="A161" t="s">
        <v>684</v>
      </c>
      <c r="B161" t="s">
        <v>1109</v>
      </c>
    </row>
    <row r="162" spans="1:2" x14ac:dyDescent="0.25">
      <c r="A162" t="s">
        <v>685</v>
      </c>
      <c r="B162" t="s">
        <v>1110</v>
      </c>
    </row>
    <row r="163" spans="1:2" x14ac:dyDescent="0.25">
      <c r="A163" t="s">
        <v>686</v>
      </c>
      <c r="B163" t="s">
        <v>1111</v>
      </c>
    </row>
    <row r="164" spans="1:2" x14ac:dyDescent="0.25">
      <c r="A164" t="s">
        <v>687</v>
      </c>
      <c r="B164" t="s">
        <v>1112</v>
      </c>
    </row>
    <row r="165" spans="1:2" x14ac:dyDescent="0.25">
      <c r="A165" t="s">
        <v>688</v>
      </c>
      <c r="B165" t="s">
        <v>1113</v>
      </c>
    </row>
    <row r="166" spans="1:2" x14ac:dyDescent="0.25">
      <c r="A166" t="s">
        <v>689</v>
      </c>
      <c r="B166" t="s">
        <v>1114</v>
      </c>
    </row>
    <row r="167" spans="1:2" x14ac:dyDescent="0.25">
      <c r="A167" t="s">
        <v>690</v>
      </c>
      <c r="B167" t="s">
        <v>1115</v>
      </c>
    </row>
    <row r="168" spans="1:2" x14ac:dyDescent="0.25">
      <c r="A168" t="s">
        <v>691</v>
      </c>
      <c r="B168" t="s">
        <v>1116</v>
      </c>
    </row>
    <row r="169" spans="1:2" x14ac:dyDescent="0.25">
      <c r="A169" t="s">
        <v>692</v>
      </c>
      <c r="B169" t="s">
        <v>1117</v>
      </c>
    </row>
    <row r="170" spans="1:2" x14ac:dyDescent="0.25">
      <c r="A170" t="s">
        <v>693</v>
      </c>
      <c r="B170" t="s">
        <v>1118</v>
      </c>
    </row>
    <row r="171" spans="1:2" x14ac:dyDescent="0.25">
      <c r="A171" t="s">
        <v>694</v>
      </c>
      <c r="B171" t="s">
        <v>1119</v>
      </c>
    </row>
    <row r="172" spans="1:2" x14ac:dyDescent="0.25">
      <c r="A172" t="s">
        <v>695</v>
      </c>
      <c r="B172" t="s">
        <v>1120</v>
      </c>
    </row>
    <row r="173" spans="1:2" x14ac:dyDescent="0.25">
      <c r="A173" t="s">
        <v>696</v>
      </c>
      <c r="B173" t="s">
        <v>1121</v>
      </c>
    </row>
    <row r="174" spans="1:2" x14ac:dyDescent="0.25">
      <c r="A174" t="s">
        <v>697</v>
      </c>
      <c r="B174" t="s">
        <v>1122</v>
      </c>
    </row>
    <row r="175" spans="1:2" x14ac:dyDescent="0.25">
      <c r="A175" t="s">
        <v>698</v>
      </c>
      <c r="B175" t="s">
        <v>1123</v>
      </c>
    </row>
    <row r="176" spans="1:2" x14ac:dyDescent="0.25">
      <c r="A176" t="s">
        <v>699</v>
      </c>
      <c r="B176" t="s">
        <v>1124</v>
      </c>
    </row>
    <row r="177" spans="1:2" x14ac:dyDescent="0.25">
      <c r="A177" t="s">
        <v>700</v>
      </c>
      <c r="B177" t="s">
        <v>1125</v>
      </c>
    </row>
    <row r="178" spans="1:2" x14ac:dyDescent="0.25">
      <c r="A178" t="s">
        <v>701</v>
      </c>
      <c r="B178" t="s">
        <v>1126</v>
      </c>
    </row>
    <row r="179" spans="1:2" x14ac:dyDescent="0.25">
      <c r="A179" t="s">
        <v>702</v>
      </c>
      <c r="B179" t="s">
        <v>1127</v>
      </c>
    </row>
    <row r="180" spans="1:2" x14ac:dyDescent="0.25">
      <c r="A180" t="s">
        <v>703</v>
      </c>
      <c r="B180" t="s">
        <v>1128</v>
      </c>
    </row>
    <row r="181" spans="1:2" x14ac:dyDescent="0.25">
      <c r="A181" t="s">
        <v>704</v>
      </c>
      <c r="B181" t="s">
        <v>1129</v>
      </c>
    </row>
    <row r="182" spans="1:2" x14ac:dyDescent="0.25">
      <c r="A182" t="s">
        <v>705</v>
      </c>
      <c r="B182" t="s">
        <v>1130</v>
      </c>
    </row>
    <row r="183" spans="1:2" x14ac:dyDescent="0.25">
      <c r="A183" t="s">
        <v>706</v>
      </c>
      <c r="B183" t="s">
        <v>1131</v>
      </c>
    </row>
    <row r="184" spans="1:2" x14ac:dyDescent="0.25">
      <c r="A184" t="s">
        <v>707</v>
      </c>
      <c r="B184" t="s">
        <v>1132</v>
      </c>
    </row>
    <row r="185" spans="1:2" x14ac:dyDescent="0.25">
      <c r="A185" t="s">
        <v>708</v>
      </c>
      <c r="B185" t="s">
        <v>1133</v>
      </c>
    </row>
    <row r="186" spans="1:2" x14ac:dyDescent="0.25">
      <c r="A186" t="s">
        <v>709</v>
      </c>
      <c r="B186" t="s">
        <v>1134</v>
      </c>
    </row>
    <row r="187" spans="1:2" x14ac:dyDescent="0.25">
      <c r="A187" t="s">
        <v>710</v>
      </c>
      <c r="B187" t="s">
        <v>1135</v>
      </c>
    </row>
    <row r="188" spans="1:2" x14ac:dyDescent="0.25">
      <c r="A188" t="s">
        <v>711</v>
      </c>
      <c r="B188" t="s">
        <v>1136</v>
      </c>
    </row>
    <row r="189" spans="1:2" x14ac:dyDescent="0.25">
      <c r="A189" t="s">
        <v>712</v>
      </c>
      <c r="B189" t="s">
        <v>1137</v>
      </c>
    </row>
    <row r="190" spans="1:2" x14ac:dyDescent="0.25">
      <c r="A190" t="s">
        <v>713</v>
      </c>
      <c r="B190" t="s">
        <v>1138</v>
      </c>
    </row>
    <row r="191" spans="1:2" x14ac:dyDescent="0.25">
      <c r="A191" t="s">
        <v>714</v>
      </c>
      <c r="B191" t="s">
        <v>1139</v>
      </c>
    </row>
    <row r="192" spans="1:2" x14ac:dyDescent="0.25">
      <c r="A192" t="s">
        <v>715</v>
      </c>
      <c r="B192" t="s">
        <v>1140</v>
      </c>
    </row>
    <row r="193" spans="1:2" x14ac:dyDescent="0.25">
      <c r="A193" t="s">
        <v>716</v>
      </c>
      <c r="B193" t="s">
        <v>1141</v>
      </c>
    </row>
    <row r="194" spans="1:2" x14ac:dyDescent="0.25">
      <c r="A194" t="s">
        <v>717</v>
      </c>
      <c r="B194" t="s">
        <v>1142</v>
      </c>
    </row>
    <row r="195" spans="1:2" x14ac:dyDescent="0.25">
      <c r="A195" t="s">
        <v>718</v>
      </c>
      <c r="B195" t="s">
        <v>1143</v>
      </c>
    </row>
    <row r="196" spans="1:2" x14ac:dyDescent="0.25">
      <c r="A196" t="s">
        <v>719</v>
      </c>
      <c r="B196" t="s">
        <v>1144</v>
      </c>
    </row>
    <row r="197" spans="1:2" x14ac:dyDescent="0.25">
      <c r="A197" t="s">
        <v>720</v>
      </c>
      <c r="B197" t="s">
        <v>1145</v>
      </c>
    </row>
    <row r="198" spans="1:2" x14ac:dyDescent="0.25">
      <c r="A198" t="s">
        <v>721</v>
      </c>
      <c r="B198" t="s">
        <v>1146</v>
      </c>
    </row>
    <row r="199" spans="1:2" x14ac:dyDescent="0.25">
      <c r="A199" t="s">
        <v>722</v>
      </c>
      <c r="B199" t="s">
        <v>1147</v>
      </c>
    </row>
    <row r="200" spans="1:2" x14ac:dyDescent="0.25">
      <c r="A200" t="s">
        <v>723</v>
      </c>
      <c r="B200" t="s">
        <v>1148</v>
      </c>
    </row>
    <row r="201" spans="1:2" x14ac:dyDescent="0.25">
      <c r="A201" t="s">
        <v>724</v>
      </c>
      <c r="B201" t="s">
        <v>1149</v>
      </c>
    </row>
    <row r="202" spans="1:2" x14ac:dyDescent="0.25">
      <c r="A202" t="s">
        <v>725</v>
      </c>
      <c r="B202" t="s">
        <v>1150</v>
      </c>
    </row>
    <row r="203" spans="1:2" x14ac:dyDescent="0.25">
      <c r="A203" t="s">
        <v>726</v>
      </c>
      <c r="B203" t="s">
        <v>1151</v>
      </c>
    </row>
    <row r="204" spans="1:2" x14ac:dyDescent="0.25">
      <c r="A204" t="s">
        <v>727</v>
      </c>
      <c r="B204" t="s">
        <v>1152</v>
      </c>
    </row>
    <row r="205" spans="1:2" x14ac:dyDescent="0.25">
      <c r="A205" t="s">
        <v>728</v>
      </c>
      <c r="B205" t="s">
        <v>1153</v>
      </c>
    </row>
    <row r="206" spans="1:2" x14ac:dyDescent="0.25">
      <c r="A206" t="s">
        <v>729</v>
      </c>
      <c r="B206" t="s">
        <v>1154</v>
      </c>
    </row>
    <row r="207" spans="1:2" x14ac:dyDescent="0.25">
      <c r="A207" t="s">
        <v>730</v>
      </c>
      <c r="B207" t="s">
        <v>1155</v>
      </c>
    </row>
    <row r="208" spans="1:2" x14ac:dyDescent="0.25">
      <c r="A208" t="s">
        <v>731</v>
      </c>
      <c r="B208" t="s">
        <v>1156</v>
      </c>
    </row>
    <row r="209" spans="1:2" x14ac:dyDescent="0.25">
      <c r="A209" t="s">
        <v>732</v>
      </c>
      <c r="B209" t="s">
        <v>1157</v>
      </c>
    </row>
    <row r="210" spans="1:2" x14ac:dyDescent="0.25">
      <c r="A210" t="s">
        <v>733</v>
      </c>
      <c r="B210" t="s">
        <v>1158</v>
      </c>
    </row>
    <row r="211" spans="1:2" x14ac:dyDescent="0.25">
      <c r="A211" t="s">
        <v>734</v>
      </c>
      <c r="B211" t="s">
        <v>1159</v>
      </c>
    </row>
    <row r="212" spans="1:2" x14ac:dyDescent="0.25">
      <c r="A212" t="s">
        <v>735</v>
      </c>
      <c r="B212" t="s">
        <v>1160</v>
      </c>
    </row>
    <row r="213" spans="1:2" x14ac:dyDescent="0.25">
      <c r="A213" t="s">
        <v>736</v>
      </c>
      <c r="B213" t="s">
        <v>1161</v>
      </c>
    </row>
    <row r="214" spans="1:2" x14ac:dyDescent="0.25">
      <c r="A214" t="s">
        <v>737</v>
      </c>
      <c r="B214" t="s">
        <v>1162</v>
      </c>
    </row>
    <row r="215" spans="1:2" x14ac:dyDescent="0.25">
      <c r="A215" t="s">
        <v>738</v>
      </c>
      <c r="B215" t="s">
        <v>1163</v>
      </c>
    </row>
    <row r="216" spans="1:2" x14ac:dyDescent="0.25">
      <c r="A216" t="s">
        <v>739</v>
      </c>
      <c r="B216" t="s">
        <v>1164</v>
      </c>
    </row>
    <row r="217" spans="1:2" x14ac:dyDescent="0.25">
      <c r="A217" t="s">
        <v>740</v>
      </c>
      <c r="B217" t="s">
        <v>1165</v>
      </c>
    </row>
    <row r="218" spans="1:2" x14ac:dyDescent="0.25">
      <c r="A218" t="s">
        <v>741</v>
      </c>
      <c r="B218" t="s">
        <v>1166</v>
      </c>
    </row>
    <row r="219" spans="1:2" x14ac:dyDescent="0.25">
      <c r="A219" t="s">
        <v>742</v>
      </c>
      <c r="B219" t="s">
        <v>1167</v>
      </c>
    </row>
    <row r="220" spans="1:2" x14ac:dyDescent="0.25">
      <c r="A220" t="s">
        <v>743</v>
      </c>
      <c r="B220" t="s">
        <v>1168</v>
      </c>
    </row>
    <row r="221" spans="1:2" x14ac:dyDescent="0.25">
      <c r="A221" t="s">
        <v>744</v>
      </c>
      <c r="B221" t="s">
        <v>1169</v>
      </c>
    </row>
    <row r="222" spans="1:2" x14ac:dyDescent="0.25">
      <c r="A222" t="s">
        <v>745</v>
      </c>
      <c r="B222" t="s">
        <v>1170</v>
      </c>
    </row>
    <row r="223" spans="1:2" x14ac:dyDescent="0.25">
      <c r="A223" t="s">
        <v>746</v>
      </c>
      <c r="B223" t="s">
        <v>1171</v>
      </c>
    </row>
    <row r="224" spans="1:2" x14ac:dyDescent="0.25">
      <c r="A224" t="s">
        <v>747</v>
      </c>
      <c r="B224" t="s">
        <v>1172</v>
      </c>
    </row>
    <row r="225" spans="1:2" x14ac:dyDescent="0.25">
      <c r="A225" t="s">
        <v>748</v>
      </c>
      <c r="B225" t="s">
        <v>1173</v>
      </c>
    </row>
    <row r="226" spans="1:2" x14ac:dyDescent="0.25">
      <c r="A226" t="s">
        <v>749</v>
      </c>
      <c r="B226" t="s">
        <v>1174</v>
      </c>
    </row>
    <row r="227" spans="1:2" x14ac:dyDescent="0.25">
      <c r="A227" t="s">
        <v>750</v>
      </c>
      <c r="B227" t="s">
        <v>1175</v>
      </c>
    </row>
    <row r="228" spans="1:2" x14ac:dyDescent="0.25">
      <c r="A228" t="s">
        <v>751</v>
      </c>
      <c r="B228" t="s">
        <v>1176</v>
      </c>
    </row>
    <row r="229" spans="1:2" x14ac:dyDescent="0.25">
      <c r="A229" t="s">
        <v>752</v>
      </c>
      <c r="B229" t="s">
        <v>1177</v>
      </c>
    </row>
    <row r="230" spans="1:2" x14ac:dyDescent="0.25">
      <c r="A230" t="s">
        <v>753</v>
      </c>
      <c r="B230" t="s">
        <v>1178</v>
      </c>
    </row>
    <row r="231" spans="1:2" x14ac:dyDescent="0.25">
      <c r="A231" t="s">
        <v>754</v>
      </c>
      <c r="B231" t="s">
        <v>1179</v>
      </c>
    </row>
    <row r="232" spans="1:2" x14ac:dyDescent="0.25">
      <c r="A232" t="s">
        <v>755</v>
      </c>
      <c r="B232" t="s">
        <v>1180</v>
      </c>
    </row>
    <row r="233" spans="1:2" x14ac:dyDescent="0.25">
      <c r="A233" t="s">
        <v>756</v>
      </c>
      <c r="B233" t="s">
        <v>1181</v>
      </c>
    </row>
    <row r="234" spans="1:2" x14ac:dyDescent="0.25">
      <c r="A234" t="s">
        <v>757</v>
      </c>
      <c r="B234" t="s">
        <v>1182</v>
      </c>
    </row>
    <row r="235" spans="1:2" x14ac:dyDescent="0.25">
      <c r="A235" t="s">
        <v>758</v>
      </c>
      <c r="B235" t="s">
        <v>1183</v>
      </c>
    </row>
    <row r="236" spans="1:2" x14ac:dyDescent="0.25">
      <c r="A236" t="s">
        <v>759</v>
      </c>
      <c r="B236" t="s">
        <v>1184</v>
      </c>
    </row>
    <row r="237" spans="1:2" x14ac:dyDescent="0.25">
      <c r="A237" t="s">
        <v>760</v>
      </c>
      <c r="B237" t="s">
        <v>1185</v>
      </c>
    </row>
    <row r="238" spans="1:2" x14ac:dyDescent="0.25">
      <c r="A238" t="s">
        <v>761</v>
      </c>
      <c r="B238" t="s">
        <v>1186</v>
      </c>
    </row>
    <row r="239" spans="1:2" x14ac:dyDescent="0.25">
      <c r="A239" t="s">
        <v>762</v>
      </c>
      <c r="B239" t="s">
        <v>1187</v>
      </c>
    </row>
    <row r="240" spans="1:2" x14ac:dyDescent="0.25">
      <c r="A240" t="s">
        <v>763</v>
      </c>
      <c r="B240" t="s">
        <v>1188</v>
      </c>
    </row>
    <row r="241" spans="1:2" x14ac:dyDescent="0.25">
      <c r="A241" t="s">
        <v>764</v>
      </c>
      <c r="B241" t="s">
        <v>1189</v>
      </c>
    </row>
    <row r="242" spans="1:2" x14ac:dyDescent="0.25">
      <c r="A242" t="s">
        <v>765</v>
      </c>
      <c r="B242" t="s">
        <v>1190</v>
      </c>
    </row>
    <row r="243" spans="1:2" x14ac:dyDescent="0.25">
      <c r="A243" t="s">
        <v>766</v>
      </c>
      <c r="B243" t="s">
        <v>1191</v>
      </c>
    </row>
    <row r="244" spans="1:2" x14ac:dyDescent="0.25">
      <c r="A244" t="s">
        <v>767</v>
      </c>
      <c r="B244" t="s">
        <v>1192</v>
      </c>
    </row>
    <row r="245" spans="1:2" x14ac:dyDescent="0.25">
      <c r="A245" t="s">
        <v>768</v>
      </c>
      <c r="B245" t="s">
        <v>1193</v>
      </c>
    </row>
    <row r="246" spans="1:2" x14ac:dyDescent="0.25">
      <c r="A246" t="s">
        <v>769</v>
      </c>
      <c r="B246" t="s">
        <v>1194</v>
      </c>
    </row>
    <row r="247" spans="1:2" x14ac:dyDescent="0.25">
      <c r="A247" t="s">
        <v>770</v>
      </c>
      <c r="B247" t="s">
        <v>1195</v>
      </c>
    </row>
    <row r="248" spans="1:2" x14ac:dyDescent="0.25">
      <c r="A248" t="s">
        <v>771</v>
      </c>
      <c r="B248" t="s">
        <v>1196</v>
      </c>
    </row>
    <row r="249" spans="1:2" x14ac:dyDescent="0.25">
      <c r="A249" t="s">
        <v>772</v>
      </c>
      <c r="B249" t="s">
        <v>1197</v>
      </c>
    </row>
    <row r="250" spans="1:2" x14ac:dyDescent="0.25">
      <c r="A250" t="s">
        <v>773</v>
      </c>
      <c r="B250" t="s">
        <v>1198</v>
      </c>
    </row>
    <row r="251" spans="1:2" x14ac:dyDescent="0.25">
      <c r="A251" t="s">
        <v>774</v>
      </c>
      <c r="B251" t="s">
        <v>1199</v>
      </c>
    </row>
    <row r="252" spans="1:2" x14ac:dyDescent="0.25">
      <c r="A252" t="s">
        <v>775</v>
      </c>
      <c r="B252" t="s">
        <v>1200</v>
      </c>
    </row>
    <row r="253" spans="1:2" x14ac:dyDescent="0.25">
      <c r="A253" t="s">
        <v>776</v>
      </c>
      <c r="B253" t="s">
        <v>1201</v>
      </c>
    </row>
    <row r="254" spans="1:2" x14ac:dyDescent="0.25">
      <c r="A254" t="s">
        <v>777</v>
      </c>
      <c r="B254" t="s">
        <v>1202</v>
      </c>
    </row>
    <row r="255" spans="1:2" x14ac:dyDescent="0.25">
      <c r="A255" t="s">
        <v>778</v>
      </c>
      <c r="B255" t="s">
        <v>1203</v>
      </c>
    </row>
    <row r="256" spans="1:2" x14ac:dyDescent="0.25">
      <c r="A256" t="s">
        <v>779</v>
      </c>
      <c r="B256" t="s">
        <v>1204</v>
      </c>
    </row>
    <row r="257" spans="1:2" x14ac:dyDescent="0.25">
      <c r="A257" t="s">
        <v>780</v>
      </c>
      <c r="B257" t="s">
        <v>1205</v>
      </c>
    </row>
    <row r="258" spans="1:2" x14ac:dyDescent="0.25">
      <c r="A258" t="s">
        <v>781</v>
      </c>
      <c r="B258" t="s">
        <v>1206</v>
      </c>
    </row>
    <row r="259" spans="1:2" x14ac:dyDescent="0.25">
      <c r="A259" t="s">
        <v>782</v>
      </c>
      <c r="B259" t="s">
        <v>1207</v>
      </c>
    </row>
    <row r="260" spans="1:2" x14ac:dyDescent="0.25">
      <c r="A260" t="s">
        <v>783</v>
      </c>
      <c r="B260" t="s">
        <v>1208</v>
      </c>
    </row>
    <row r="261" spans="1:2" x14ac:dyDescent="0.25">
      <c r="A261" t="s">
        <v>784</v>
      </c>
      <c r="B261" t="s">
        <v>1209</v>
      </c>
    </row>
    <row r="262" spans="1:2" x14ac:dyDescent="0.25">
      <c r="A262" t="s">
        <v>785</v>
      </c>
      <c r="B262" t="s">
        <v>1210</v>
      </c>
    </row>
    <row r="263" spans="1:2" x14ac:dyDescent="0.25">
      <c r="A263" t="s">
        <v>786</v>
      </c>
      <c r="B263" t="s">
        <v>1211</v>
      </c>
    </row>
    <row r="264" spans="1:2" x14ac:dyDescent="0.25">
      <c r="A264" t="s">
        <v>787</v>
      </c>
      <c r="B264" t="s">
        <v>1212</v>
      </c>
    </row>
    <row r="265" spans="1:2" x14ac:dyDescent="0.25">
      <c r="A265" t="s">
        <v>788</v>
      </c>
      <c r="B265" t="s">
        <v>1213</v>
      </c>
    </row>
    <row r="266" spans="1:2" x14ac:dyDescent="0.25">
      <c r="A266" t="s">
        <v>789</v>
      </c>
      <c r="B266" t="s">
        <v>1214</v>
      </c>
    </row>
    <row r="267" spans="1:2" x14ac:dyDescent="0.25">
      <c r="A267" t="s">
        <v>790</v>
      </c>
      <c r="B267" t="s">
        <v>1215</v>
      </c>
    </row>
    <row r="268" spans="1:2" x14ac:dyDescent="0.25">
      <c r="A268" t="s">
        <v>791</v>
      </c>
      <c r="B268" t="s">
        <v>1216</v>
      </c>
    </row>
    <row r="269" spans="1:2" x14ac:dyDescent="0.25">
      <c r="A269" t="s">
        <v>792</v>
      </c>
      <c r="B269" t="s">
        <v>1217</v>
      </c>
    </row>
    <row r="270" spans="1:2" x14ac:dyDescent="0.25">
      <c r="A270" t="s">
        <v>793</v>
      </c>
      <c r="B270" t="s">
        <v>1218</v>
      </c>
    </row>
    <row r="271" spans="1:2" x14ac:dyDescent="0.25">
      <c r="A271" t="s">
        <v>794</v>
      </c>
      <c r="B271" t="s">
        <v>1219</v>
      </c>
    </row>
    <row r="272" spans="1:2" x14ac:dyDescent="0.25">
      <c r="A272" t="s">
        <v>795</v>
      </c>
      <c r="B272" t="s">
        <v>1220</v>
      </c>
    </row>
    <row r="273" spans="1:2" x14ac:dyDescent="0.25">
      <c r="A273" t="s">
        <v>796</v>
      </c>
      <c r="B273" t="s">
        <v>1221</v>
      </c>
    </row>
    <row r="274" spans="1:2" x14ac:dyDescent="0.25">
      <c r="A274" t="s">
        <v>797</v>
      </c>
      <c r="B274" t="s">
        <v>1222</v>
      </c>
    </row>
    <row r="275" spans="1:2" x14ac:dyDescent="0.25">
      <c r="A275" t="s">
        <v>798</v>
      </c>
      <c r="B275" t="s">
        <v>1223</v>
      </c>
    </row>
    <row r="276" spans="1:2" x14ac:dyDescent="0.25">
      <c r="A276" t="s">
        <v>799</v>
      </c>
      <c r="B276" t="s">
        <v>1224</v>
      </c>
    </row>
    <row r="277" spans="1:2" x14ac:dyDescent="0.25">
      <c r="A277" t="s">
        <v>800</v>
      </c>
      <c r="B277" t="s">
        <v>1225</v>
      </c>
    </row>
    <row r="278" spans="1:2" x14ac:dyDescent="0.25">
      <c r="A278" t="s">
        <v>801</v>
      </c>
      <c r="B278" t="s">
        <v>1226</v>
      </c>
    </row>
    <row r="279" spans="1:2" x14ac:dyDescent="0.25">
      <c r="A279" t="s">
        <v>802</v>
      </c>
      <c r="B279" t="s">
        <v>1227</v>
      </c>
    </row>
    <row r="280" spans="1:2" x14ac:dyDescent="0.25">
      <c r="A280" t="s">
        <v>803</v>
      </c>
      <c r="B280" t="s">
        <v>1228</v>
      </c>
    </row>
    <row r="281" spans="1:2" x14ac:dyDescent="0.25">
      <c r="A281" t="s">
        <v>804</v>
      </c>
      <c r="B281" t="s">
        <v>1229</v>
      </c>
    </row>
    <row r="282" spans="1:2" x14ac:dyDescent="0.25">
      <c r="A282" t="s">
        <v>805</v>
      </c>
      <c r="B282" t="s">
        <v>1230</v>
      </c>
    </row>
    <row r="283" spans="1:2" x14ac:dyDescent="0.25">
      <c r="A283" t="s">
        <v>806</v>
      </c>
      <c r="B283" t="s">
        <v>1231</v>
      </c>
    </row>
    <row r="284" spans="1:2" x14ac:dyDescent="0.25">
      <c r="A284" t="s">
        <v>807</v>
      </c>
      <c r="B284" t="s">
        <v>1232</v>
      </c>
    </row>
    <row r="285" spans="1:2" x14ac:dyDescent="0.25">
      <c r="A285" t="s">
        <v>808</v>
      </c>
      <c r="B285" t="s">
        <v>1233</v>
      </c>
    </row>
    <row r="286" spans="1:2" x14ac:dyDescent="0.25">
      <c r="A286" t="s">
        <v>809</v>
      </c>
      <c r="B286" t="s">
        <v>1234</v>
      </c>
    </row>
    <row r="287" spans="1:2" x14ac:dyDescent="0.25">
      <c r="A287" t="s">
        <v>810</v>
      </c>
      <c r="B287" t="s">
        <v>1235</v>
      </c>
    </row>
    <row r="288" spans="1:2" x14ac:dyDescent="0.25">
      <c r="A288" t="s">
        <v>811</v>
      </c>
      <c r="B288" t="s">
        <v>1236</v>
      </c>
    </row>
    <row r="289" spans="1:2" x14ac:dyDescent="0.25">
      <c r="A289" t="s">
        <v>812</v>
      </c>
      <c r="B289" t="s">
        <v>1237</v>
      </c>
    </row>
    <row r="290" spans="1:2" x14ac:dyDescent="0.25">
      <c r="A290" t="s">
        <v>813</v>
      </c>
      <c r="B290" t="s">
        <v>1238</v>
      </c>
    </row>
    <row r="291" spans="1:2" x14ac:dyDescent="0.25">
      <c r="A291" t="s">
        <v>814</v>
      </c>
      <c r="B291" t="s">
        <v>1239</v>
      </c>
    </row>
    <row r="292" spans="1:2" x14ac:dyDescent="0.25">
      <c r="A292" t="s">
        <v>815</v>
      </c>
      <c r="B292" t="s">
        <v>1240</v>
      </c>
    </row>
    <row r="293" spans="1:2" x14ac:dyDescent="0.25">
      <c r="A293" t="s">
        <v>816</v>
      </c>
      <c r="B293" t="s">
        <v>1241</v>
      </c>
    </row>
    <row r="294" spans="1:2" x14ac:dyDescent="0.25">
      <c r="A294" t="s">
        <v>817</v>
      </c>
      <c r="B294" t="s">
        <v>1242</v>
      </c>
    </row>
    <row r="295" spans="1:2" x14ac:dyDescent="0.25">
      <c r="A295" t="s">
        <v>818</v>
      </c>
      <c r="B295" t="s">
        <v>1243</v>
      </c>
    </row>
    <row r="296" spans="1:2" x14ac:dyDescent="0.25">
      <c r="A296" t="s">
        <v>819</v>
      </c>
      <c r="B296" t="s">
        <v>1244</v>
      </c>
    </row>
    <row r="297" spans="1:2" x14ac:dyDescent="0.25">
      <c r="A297" t="s">
        <v>820</v>
      </c>
      <c r="B297" t="s">
        <v>1245</v>
      </c>
    </row>
    <row r="298" spans="1:2" x14ac:dyDescent="0.25">
      <c r="A298" t="s">
        <v>821</v>
      </c>
      <c r="B298" t="s">
        <v>1246</v>
      </c>
    </row>
    <row r="299" spans="1:2" x14ac:dyDescent="0.25">
      <c r="A299" t="s">
        <v>822</v>
      </c>
      <c r="B299" t="s">
        <v>1247</v>
      </c>
    </row>
    <row r="300" spans="1:2" x14ac:dyDescent="0.25">
      <c r="A300" t="s">
        <v>823</v>
      </c>
      <c r="B300" t="s">
        <v>1248</v>
      </c>
    </row>
    <row r="301" spans="1:2" x14ac:dyDescent="0.25">
      <c r="A301" t="s">
        <v>824</v>
      </c>
      <c r="B301" t="s">
        <v>1249</v>
      </c>
    </row>
    <row r="302" spans="1:2" x14ac:dyDescent="0.25">
      <c r="A302" t="s">
        <v>825</v>
      </c>
      <c r="B302" t="s">
        <v>1250</v>
      </c>
    </row>
    <row r="303" spans="1:2" x14ac:dyDescent="0.25">
      <c r="A303" t="s">
        <v>826</v>
      </c>
      <c r="B303" t="s">
        <v>1251</v>
      </c>
    </row>
    <row r="304" spans="1:2" x14ac:dyDescent="0.25">
      <c r="A304" t="s">
        <v>827</v>
      </c>
      <c r="B304" t="s">
        <v>1252</v>
      </c>
    </row>
    <row r="305" spans="1:2" x14ac:dyDescent="0.25">
      <c r="A305" t="s">
        <v>828</v>
      </c>
      <c r="B305" t="s">
        <v>1253</v>
      </c>
    </row>
    <row r="306" spans="1:2" x14ac:dyDescent="0.25">
      <c r="A306" t="s">
        <v>829</v>
      </c>
      <c r="B306" t="s">
        <v>1254</v>
      </c>
    </row>
    <row r="307" spans="1:2" x14ac:dyDescent="0.25">
      <c r="A307" t="s">
        <v>830</v>
      </c>
      <c r="B307" t="s">
        <v>1255</v>
      </c>
    </row>
    <row r="308" spans="1:2" x14ac:dyDescent="0.25">
      <c r="A308" t="s">
        <v>831</v>
      </c>
      <c r="B308" t="s">
        <v>1256</v>
      </c>
    </row>
    <row r="309" spans="1:2" x14ac:dyDescent="0.25">
      <c r="A309" t="s">
        <v>832</v>
      </c>
      <c r="B309" t="s">
        <v>1257</v>
      </c>
    </row>
    <row r="310" spans="1:2" x14ac:dyDescent="0.25">
      <c r="A310" t="s">
        <v>833</v>
      </c>
      <c r="B310" t="s">
        <v>1258</v>
      </c>
    </row>
    <row r="311" spans="1:2" x14ac:dyDescent="0.25">
      <c r="A311" t="s">
        <v>834</v>
      </c>
      <c r="B311" t="s">
        <v>1259</v>
      </c>
    </row>
    <row r="312" spans="1:2" x14ac:dyDescent="0.25">
      <c r="A312" t="s">
        <v>835</v>
      </c>
      <c r="B312" t="s">
        <v>1260</v>
      </c>
    </row>
    <row r="313" spans="1:2" x14ac:dyDescent="0.25">
      <c r="A313" t="s">
        <v>836</v>
      </c>
      <c r="B313" t="s">
        <v>1261</v>
      </c>
    </row>
    <row r="314" spans="1:2" x14ac:dyDescent="0.25">
      <c r="A314" t="s">
        <v>837</v>
      </c>
      <c r="B314" t="s">
        <v>1262</v>
      </c>
    </row>
    <row r="315" spans="1:2" x14ac:dyDescent="0.25">
      <c r="A315" t="s">
        <v>838</v>
      </c>
      <c r="B315" t="s">
        <v>1263</v>
      </c>
    </row>
    <row r="316" spans="1:2" x14ac:dyDescent="0.25">
      <c r="A316" t="s">
        <v>839</v>
      </c>
      <c r="B316" t="s">
        <v>1264</v>
      </c>
    </row>
    <row r="317" spans="1:2" x14ac:dyDescent="0.25">
      <c r="A317" t="s">
        <v>840</v>
      </c>
      <c r="B317" t="s">
        <v>1265</v>
      </c>
    </row>
    <row r="318" spans="1:2" x14ac:dyDescent="0.25">
      <c r="A318" t="s">
        <v>841</v>
      </c>
      <c r="B318" t="s">
        <v>1266</v>
      </c>
    </row>
    <row r="319" spans="1:2" x14ac:dyDescent="0.25">
      <c r="A319" t="s">
        <v>842</v>
      </c>
      <c r="B319" t="s">
        <v>1267</v>
      </c>
    </row>
    <row r="320" spans="1:2" x14ac:dyDescent="0.25">
      <c r="A320" t="s">
        <v>843</v>
      </c>
      <c r="B320" t="s">
        <v>1268</v>
      </c>
    </row>
    <row r="321" spans="1:2" x14ac:dyDescent="0.25">
      <c r="A321" t="s">
        <v>844</v>
      </c>
      <c r="B321" t="s">
        <v>1269</v>
      </c>
    </row>
    <row r="322" spans="1:2" x14ac:dyDescent="0.25">
      <c r="A322" t="s">
        <v>845</v>
      </c>
      <c r="B322" t="s">
        <v>1270</v>
      </c>
    </row>
    <row r="323" spans="1:2" x14ac:dyDescent="0.25">
      <c r="A323" t="s">
        <v>846</v>
      </c>
      <c r="B323" t="s">
        <v>1271</v>
      </c>
    </row>
    <row r="324" spans="1:2" x14ac:dyDescent="0.25">
      <c r="A324" t="s">
        <v>847</v>
      </c>
      <c r="B324" t="s">
        <v>1272</v>
      </c>
    </row>
    <row r="325" spans="1:2" x14ac:dyDescent="0.25">
      <c r="A325" t="s">
        <v>848</v>
      </c>
      <c r="B325" t="s">
        <v>1273</v>
      </c>
    </row>
    <row r="326" spans="1:2" x14ac:dyDescent="0.25">
      <c r="A326" t="s">
        <v>849</v>
      </c>
      <c r="B326" t="s">
        <v>1274</v>
      </c>
    </row>
    <row r="327" spans="1:2" x14ac:dyDescent="0.25">
      <c r="A327" t="s">
        <v>850</v>
      </c>
      <c r="B327" t="s">
        <v>1275</v>
      </c>
    </row>
    <row r="328" spans="1:2" x14ac:dyDescent="0.25">
      <c r="A328" t="s">
        <v>851</v>
      </c>
      <c r="B328" t="s">
        <v>1276</v>
      </c>
    </row>
    <row r="329" spans="1:2" x14ac:dyDescent="0.25">
      <c r="A329" t="s">
        <v>852</v>
      </c>
      <c r="B329" t="s">
        <v>1277</v>
      </c>
    </row>
    <row r="330" spans="1:2" x14ac:dyDescent="0.25">
      <c r="A330" t="s">
        <v>853</v>
      </c>
      <c r="B330" t="s">
        <v>1278</v>
      </c>
    </row>
    <row r="331" spans="1:2" x14ac:dyDescent="0.25">
      <c r="A331" t="s">
        <v>854</v>
      </c>
      <c r="B331" t="s">
        <v>1279</v>
      </c>
    </row>
    <row r="332" spans="1:2" x14ac:dyDescent="0.25">
      <c r="A332" t="s">
        <v>855</v>
      </c>
      <c r="B332" t="s">
        <v>1280</v>
      </c>
    </row>
    <row r="333" spans="1:2" x14ac:dyDescent="0.25">
      <c r="A333" t="s">
        <v>856</v>
      </c>
      <c r="B333" t="s">
        <v>1281</v>
      </c>
    </row>
    <row r="334" spans="1:2" x14ac:dyDescent="0.25">
      <c r="A334" t="s">
        <v>857</v>
      </c>
      <c r="B334" t="s">
        <v>1282</v>
      </c>
    </row>
    <row r="335" spans="1:2" x14ac:dyDescent="0.25">
      <c r="A335" t="s">
        <v>858</v>
      </c>
      <c r="B335" t="s">
        <v>1283</v>
      </c>
    </row>
    <row r="336" spans="1:2" x14ac:dyDescent="0.25">
      <c r="A336" t="s">
        <v>859</v>
      </c>
      <c r="B336" t="s">
        <v>1284</v>
      </c>
    </row>
    <row r="337" spans="1:2" x14ac:dyDescent="0.25">
      <c r="A337" t="s">
        <v>860</v>
      </c>
      <c r="B337" t="s">
        <v>1285</v>
      </c>
    </row>
    <row r="338" spans="1:2" x14ac:dyDescent="0.25">
      <c r="A338" t="s">
        <v>861</v>
      </c>
      <c r="B338" t="s">
        <v>1286</v>
      </c>
    </row>
    <row r="339" spans="1:2" x14ac:dyDescent="0.25">
      <c r="A339" t="s">
        <v>862</v>
      </c>
      <c r="B339" t="s">
        <v>1287</v>
      </c>
    </row>
    <row r="340" spans="1:2" x14ac:dyDescent="0.25">
      <c r="A340" t="s">
        <v>863</v>
      </c>
      <c r="B340" t="s">
        <v>1288</v>
      </c>
    </row>
    <row r="341" spans="1:2" x14ac:dyDescent="0.25">
      <c r="A341" t="s">
        <v>864</v>
      </c>
      <c r="B341" t="s">
        <v>1289</v>
      </c>
    </row>
    <row r="342" spans="1:2" x14ac:dyDescent="0.25">
      <c r="A342" t="s">
        <v>865</v>
      </c>
      <c r="B342" t="s">
        <v>1290</v>
      </c>
    </row>
    <row r="343" spans="1:2" x14ac:dyDescent="0.25">
      <c r="A343" t="s">
        <v>866</v>
      </c>
      <c r="B343" t="s">
        <v>1291</v>
      </c>
    </row>
    <row r="344" spans="1:2" x14ac:dyDescent="0.25">
      <c r="A344" t="s">
        <v>867</v>
      </c>
      <c r="B344" t="s">
        <v>1292</v>
      </c>
    </row>
    <row r="345" spans="1:2" x14ac:dyDescent="0.25">
      <c r="A345" t="s">
        <v>868</v>
      </c>
      <c r="B345" t="s">
        <v>1293</v>
      </c>
    </row>
    <row r="346" spans="1:2" x14ac:dyDescent="0.25">
      <c r="A346" t="s">
        <v>869</v>
      </c>
      <c r="B346" t="s">
        <v>1294</v>
      </c>
    </row>
    <row r="347" spans="1:2" x14ac:dyDescent="0.25">
      <c r="A347" t="s">
        <v>870</v>
      </c>
      <c r="B347" t="s">
        <v>1295</v>
      </c>
    </row>
    <row r="348" spans="1:2" x14ac:dyDescent="0.25">
      <c r="A348" t="s">
        <v>871</v>
      </c>
      <c r="B348" t="s">
        <v>1296</v>
      </c>
    </row>
    <row r="349" spans="1:2" x14ac:dyDescent="0.25">
      <c r="A349" t="s">
        <v>872</v>
      </c>
      <c r="B349" t="s">
        <v>1297</v>
      </c>
    </row>
    <row r="350" spans="1:2" x14ac:dyDescent="0.25">
      <c r="A350" t="s">
        <v>873</v>
      </c>
      <c r="B350" t="s">
        <v>1298</v>
      </c>
    </row>
    <row r="351" spans="1:2" x14ac:dyDescent="0.25">
      <c r="A351" t="s">
        <v>874</v>
      </c>
      <c r="B351" t="s">
        <v>1299</v>
      </c>
    </row>
    <row r="352" spans="1:2" x14ac:dyDescent="0.25">
      <c r="A352" t="s">
        <v>875</v>
      </c>
      <c r="B352" t="s">
        <v>1300</v>
      </c>
    </row>
    <row r="353" spans="1:2" x14ac:dyDescent="0.25">
      <c r="A353" t="s">
        <v>876</v>
      </c>
      <c r="B353" t="s">
        <v>1301</v>
      </c>
    </row>
    <row r="354" spans="1:2" x14ac:dyDescent="0.25">
      <c r="A354" t="s">
        <v>877</v>
      </c>
      <c r="B354" t="s">
        <v>1302</v>
      </c>
    </row>
    <row r="355" spans="1:2" x14ac:dyDescent="0.25">
      <c r="A355" t="s">
        <v>878</v>
      </c>
      <c r="B355" t="s">
        <v>1303</v>
      </c>
    </row>
    <row r="356" spans="1:2" x14ac:dyDescent="0.25">
      <c r="A356" t="s">
        <v>879</v>
      </c>
      <c r="B356" t="s">
        <v>1304</v>
      </c>
    </row>
    <row r="357" spans="1:2" x14ac:dyDescent="0.25">
      <c r="A357" t="s">
        <v>880</v>
      </c>
      <c r="B357" t="s">
        <v>1305</v>
      </c>
    </row>
    <row r="358" spans="1:2" x14ac:dyDescent="0.25">
      <c r="A358" t="s">
        <v>881</v>
      </c>
      <c r="B358" t="s">
        <v>1306</v>
      </c>
    </row>
    <row r="359" spans="1:2" x14ac:dyDescent="0.25">
      <c r="A359" t="s">
        <v>882</v>
      </c>
      <c r="B359" t="s">
        <v>1307</v>
      </c>
    </row>
    <row r="360" spans="1:2" x14ac:dyDescent="0.25">
      <c r="A360" t="s">
        <v>883</v>
      </c>
      <c r="B360" t="s">
        <v>1308</v>
      </c>
    </row>
    <row r="361" spans="1:2" x14ac:dyDescent="0.25">
      <c r="A361" t="s">
        <v>884</v>
      </c>
      <c r="B361" t="s">
        <v>1309</v>
      </c>
    </row>
    <row r="362" spans="1:2" x14ac:dyDescent="0.25">
      <c r="A362" t="s">
        <v>885</v>
      </c>
      <c r="B362" t="s">
        <v>387</v>
      </c>
    </row>
    <row r="363" spans="1:2" x14ac:dyDescent="0.25">
      <c r="A363" t="s">
        <v>886</v>
      </c>
      <c r="B363" t="s">
        <v>393</v>
      </c>
    </row>
    <row r="364" spans="1:2" x14ac:dyDescent="0.25">
      <c r="A364" t="s">
        <v>887</v>
      </c>
      <c r="B364" t="s">
        <v>398</v>
      </c>
    </row>
    <row r="365" spans="1:2" x14ac:dyDescent="0.25">
      <c r="A365" t="s">
        <v>888</v>
      </c>
      <c r="B365" t="s">
        <v>403</v>
      </c>
    </row>
    <row r="366" spans="1:2" x14ac:dyDescent="0.25">
      <c r="A366" t="s">
        <v>889</v>
      </c>
      <c r="B366" t="s">
        <v>408</v>
      </c>
    </row>
    <row r="367" spans="1:2" x14ac:dyDescent="0.25">
      <c r="A367" t="s">
        <v>890</v>
      </c>
      <c r="B367" t="s">
        <v>413</v>
      </c>
    </row>
    <row r="368" spans="1:2" x14ac:dyDescent="0.25">
      <c r="A368" t="s">
        <v>891</v>
      </c>
      <c r="B368" t="s">
        <v>418</v>
      </c>
    </row>
    <row r="369" spans="1:2" x14ac:dyDescent="0.25">
      <c r="A369" t="s">
        <v>892</v>
      </c>
      <c r="B369" t="s">
        <v>428</v>
      </c>
    </row>
    <row r="370" spans="1:2" x14ac:dyDescent="0.25">
      <c r="A370" t="s">
        <v>893</v>
      </c>
      <c r="B370" t="s">
        <v>423</v>
      </c>
    </row>
    <row r="371" spans="1:2" x14ac:dyDescent="0.25">
      <c r="A371" t="s">
        <v>894</v>
      </c>
      <c r="B371" t="s">
        <v>433</v>
      </c>
    </row>
    <row r="372" spans="1:2" x14ac:dyDescent="0.25">
      <c r="A372" t="s">
        <v>895</v>
      </c>
      <c r="B372" t="s">
        <v>443</v>
      </c>
    </row>
    <row r="373" spans="1:2" x14ac:dyDescent="0.25">
      <c r="A373" t="s">
        <v>896</v>
      </c>
      <c r="B373" t="s">
        <v>438</v>
      </c>
    </row>
    <row r="374" spans="1:2" x14ac:dyDescent="0.25">
      <c r="A374" t="s">
        <v>897</v>
      </c>
      <c r="B374" t="s">
        <v>448</v>
      </c>
    </row>
    <row r="375" spans="1:2" x14ac:dyDescent="0.25">
      <c r="A375" t="s">
        <v>898</v>
      </c>
      <c r="B375" t="s">
        <v>453</v>
      </c>
    </row>
    <row r="376" spans="1:2" x14ac:dyDescent="0.25">
      <c r="A376" t="s">
        <v>899</v>
      </c>
      <c r="B376" t="s">
        <v>458</v>
      </c>
    </row>
    <row r="377" spans="1:2" x14ac:dyDescent="0.25">
      <c r="A377" t="s">
        <v>900</v>
      </c>
      <c r="B377" t="s">
        <v>463</v>
      </c>
    </row>
    <row r="378" spans="1:2" x14ac:dyDescent="0.25">
      <c r="A378" t="s">
        <v>901</v>
      </c>
      <c r="B378" t="s">
        <v>468</v>
      </c>
    </row>
    <row r="379" spans="1:2" x14ac:dyDescent="0.25">
      <c r="A379" t="s">
        <v>902</v>
      </c>
      <c r="B379" t="s">
        <v>473</v>
      </c>
    </row>
    <row r="380" spans="1:2" x14ac:dyDescent="0.25">
      <c r="A380" t="s">
        <v>903</v>
      </c>
      <c r="B380" t="s">
        <v>478</v>
      </c>
    </row>
    <row r="381" spans="1:2" x14ac:dyDescent="0.25">
      <c r="A381" t="s">
        <v>904</v>
      </c>
      <c r="B381" t="s">
        <v>483</v>
      </c>
    </row>
    <row r="382" spans="1:2" x14ac:dyDescent="0.25">
      <c r="A382" t="s">
        <v>905</v>
      </c>
      <c r="B382" t="s">
        <v>488</v>
      </c>
    </row>
    <row r="383" spans="1:2" x14ac:dyDescent="0.25">
      <c r="A383" t="s">
        <v>906</v>
      </c>
      <c r="B383" t="s">
        <v>503</v>
      </c>
    </row>
    <row r="384" spans="1:2" x14ac:dyDescent="0.25">
      <c r="A384" t="s">
        <v>907</v>
      </c>
      <c r="B384" t="s">
        <v>493</v>
      </c>
    </row>
    <row r="385" spans="1:2" x14ac:dyDescent="0.25">
      <c r="A385" t="s">
        <v>908</v>
      </c>
      <c r="B385" t="s">
        <v>498</v>
      </c>
    </row>
    <row r="386" spans="1:2" x14ac:dyDescent="0.25">
      <c r="A386" t="s">
        <v>909</v>
      </c>
      <c r="B386" t="s">
        <v>513</v>
      </c>
    </row>
    <row r="387" spans="1:2" x14ac:dyDescent="0.25">
      <c r="A387" t="s">
        <v>910</v>
      </c>
      <c r="B387" t="s">
        <v>508</v>
      </c>
    </row>
    <row r="388" spans="1:2" x14ac:dyDescent="0.25">
      <c r="A388" t="s">
        <v>911</v>
      </c>
      <c r="B388" t="s">
        <v>1310</v>
      </c>
    </row>
    <row r="389" spans="1:2" x14ac:dyDescent="0.25">
      <c r="A389" t="s">
        <v>912</v>
      </c>
      <c r="B389" t="s">
        <v>1311</v>
      </c>
    </row>
    <row r="390" spans="1:2" x14ac:dyDescent="0.25">
      <c r="A390" t="s">
        <v>913</v>
      </c>
      <c r="B390" t="s">
        <v>1312</v>
      </c>
    </row>
    <row r="391" spans="1:2" x14ac:dyDescent="0.25">
      <c r="A391" t="s">
        <v>914</v>
      </c>
      <c r="B391" t="s">
        <v>1313</v>
      </c>
    </row>
    <row r="392" spans="1:2" x14ac:dyDescent="0.25">
      <c r="A392" t="s">
        <v>915</v>
      </c>
      <c r="B392" t="s">
        <v>1314</v>
      </c>
    </row>
    <row r="393" spans="1:2" x14ac:dyDescent="0.25">
      <c r="A393" t="s">
        <v>916</v>
      </c>
      <c r="B393" t="s">
        <v>1315</v>
      </c>
    </row>
    <row r="394" spans="1:2" x14ac:dyDescent="0.25">
      <c r="A394" t="s">
        <v>917</v>
      </c>
      <c r="B394" t="s">
        <v>1316</v>
      </c>
    </row>
    <row r="395" spans="1:2" x14ac:dyDescent="0.25">
      <c r="A395" t="s">
        <v>918</v>
      </c>
      <c r="B395" t="s">
        <v>1317</v>
      </c>
    </row>
    <row r="396" spans="1:2" x14ac:dyDescent="0.25">
      <c r="A396" t="s">
        <v>919</v>
      </c>
      <c r="B396" t="s">
        <v>1318</v>
      </c>
    </row>
    <row r="397" spans="1:2" x14ac:dyDescent="0.25">
      <c r="A397" t="s">
        <v>920</v>
      </c>
      <c r="B397" t="s">
        <v>1319</v>
      </c>
    </row>
    <row r="398" spans="1:2" x14ac:dyDescent="0.25">
      <c r="A398" t="s">
        <v>921</v>
      </c>
      <c r="B398" t="s">
        <v>1320</v>
      </c>
    </row>
    <row r="399" spans="1:2" x14ac:dyDescent="0.25">
      <c r="A399" t="s">
        <v>922</v>
      </c>
      <c r="B399" t="s">
        <v>1321</v>
      </c>
    </row>
    <row r="400" spans="1:2" x14ac:dyDescent="0.25">
      <c r="A400" t="s">
        <v>923</v>
      </c>
      <c r="B400" t="s">
        <v>1322</v>
      </c>
    </row>
    <row r="401" spans="1:2" x14ac:dyDescent="0.25">
      <c r="A401" t="s">
        <v>924</v>
      </c>
      <c r="B401" t="s">
        <v>1323</v>
      </c>
    </row>
    <row r="402" spans="1:2" x14ac:dyDescent="0.25">
      <c r="A402" t="s">
        <v>925</v>
      </c>
      <c r="B402" t="s">
        <v>1324</v>
      </c>
    </row>
    <row r="403" spans="1:2" x14ac:dyDescent="0.25">
      <c r="A403" t="s">
        <v>926</v>
      </c>
      <c r="B403" t="s">
        <v>1325</v>
      </c>
    </row>
    <row r="404" spans="1:2" x14ac:dyDescent="0.25">
      <c r="A404" t="s">
        <v>927</v>
      </c>
      <c r="B404" t="s">
        <v>1326</v>
      </c>
    </row>
    <row r="405" spans="1:2" x14ac:dyDescent="0.25">
      <c r="A405" t="s">
        <v>928</v>
      </c>
      <c r="B405" t="s">
        <v>1327</v>
      </c>
    </row>
    <row r="406" spans="1:2" x14ac:dyDescent="0.25">
      <c r="A406" t="s">
        <v>929</v>
      </c>
      <c r="B406" t="s">
        <v>1328</v>
      </c>
    </row>
    <row r="407" spans="1:2" x14ac:dyDescent="0.25">
      <c r="A407" t="s">
        <v>930</v>
      </c>
      <c r="B407" t="s">
        <v>1329</v>
      </c>
    </row>
    <row r="408" spans="1:2" x14ac:dyDescent="0.25">
      <c r="A408" t="s">
        <v>931</v>
      </c>
      <c r="B408" t="s">
        <v>1330</v>
      </c>
    </row>
    <row r="409" spans="1:2" x14ac:dyDescent="0.25">
      <c r="A409" t="s">
        <v>932</v>
      </c>
      <c r="B409" t="s">
        <v>1331</v>
      </c>
    </row>
    <row r="410" spans="1:2" x14ac:dyDescent="0.25">
      <c r="A410" t="s">
        <v>933</v>
      </c>
      <c r="B410" t="s">
        <v>1332</v>
      </c>
    </row>
    <row r="411" spans="1:2" x14ac:dyDescent="0.25">
      <c r="A411" t="s">
        <v>934</v>
      </c>
      <c r="B411" t="s">
        <v>1333</v>
      </c>
    </row>
    <row r="412" spans="1:2" x14ac:dyDescent="0.25">
      <c r="A412" t="s">
        <v>935</v>
      </c>
      <c r="B412" t="s">
        <v>1334</v>
      </c>
    </row>
    <row r="413" spans="1:2" x14ac:dyDescent="0.25">
      <c r="A413" t="s">
        <v>936</v>
      </c>
      <c r="B413" t="s">
        <v>1335</v>
      </c>
    </row>
    <row r="414" spans="1:2" x14ac:dyDescent="0.25">
      <c r="A414" t="s">
        <v>937</v>
      </c>
      <c r="B414" t="s">
        <v>1336</v>
      </c>
    </row>
    <row r="415" spans="1:2" x14ac:dyDescent="0.25">
      <c r="A415" t="s">
        <v>938</v>
      </c>
      <c r="B415" t="s">
        <v>1337</v>
      </c>
    </row>
    <row r="416" spans="1:2" x14ac:dyDescent="0.25">
      <c r="A416" t="s">
        <v>939</v>
      </c>
      <c r="B416" t="s">
        <v>1338</v>
      </c>
    </row>
    <row r="417" spans="1:2" x14ac:dyDescent="0.25">
      <c r="A417" t="s">
        <v>940</v>
      </c>
      <c r="B417" t="s">
        <v>1339</v>
      </c>
    </row>
    <row r="418" spans="1:2" x14ac:dyDescent="0.25">
      <c r="A418" t="s">
        <v>941</v>
      </c>
      <c r="B418" t="s">
        <v>1340</v>
      </c>
    </row>
    <row r="419" spans="1:2" x14ac:dyDescent="0.25">
      <c r="A419" t="s">
        <v>942</v>
      </c>
      <c r="B419" t="s">
        <v>1341</v>
      </c>
    </row>
    <row r="420" spans="1:2" x14ac:dyDescent="0.25">
      <c r="A420" t="s">
        <v>943</v>
      </c>
      <c r="B420" t="s">
        <v>1342</v>
      </c>
    </row>
    <row r="421" spans="1:2" x14ac:dyDescent="0.25">
      <c r="A421" t="s">
        <v>944</v>
      </c>
      <c r="B421" t="s">
        <v>1343</v>
      </c>
    </row>
    <row r="422" spans="1:2" x14ac:dyDescent="0.25">
      <c r="A422" t="s">
        <v>945</v>
      </c>
      <c r="B422" t="s">
        <v>1344</v>
      </c>
    </row>
    <row r="423" spans="1:2" x14ac:dyDescent="0.25">
      <c r="A423" t="s">
        <v>946</v>
      </c>
      <c r="B423" t="s">
        <v>1345</v>
      </c>
    </row>
    <row r="424" spans="1:2" x14ac:dyDescent="0.25">
      <c r="A424" t="s">
        <v>947</v>
      </c>
      <c r="B424" t="s">
        <v>1346</v>
      </c>
    </row>
    <row r="425" spans="1:2" x14ac:dyDescent="0.25">
      <c r="A425" t="s">
        <v>948</v>
      </c>
      <c r="B425" t="s">
        <v>1347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11"/>
  <sheetViews>
    <sheetView workbookViewId="0"/>
  </sheetViews>
  <sheetFormatPr defaultRowHeight="15" x14ac:dyDescent="0.25"/>
  <sheetData>
    <row r="1" spans="1:1" x14ac:dyDescent="0.25">
      <c r="A1" t="s">
        <v>1348</v>
      </c>
    </row>
    <row r="2" spans="1:1" x14ac:dyDescent="0.25">
      <c r="A2" t="s">
        <v>1349</v>
      </c>
    </row>
    <row r="3" spans="1:1" x14ac:dyDescent="0.25">
      <c r="A3" t="s">
        <v>1350</v>
      </c>
    </row>
    <row r="4" spans="1:1" x14ac:dyDescent="0.25">
      <c r="A4" t="s">
        <v>1351</v>
      </c>
    </row>
    <row r="5" spans="1:1" x14ac:dyDescent="0.25">
      <c r="A5" t="s">
        <v>1352</v>
      </c>
    </row>
    <row r="6" spans="1:1" x14ac:dyDescent="0.25">
      <c r="A6" t="s">
        <v>1353</v>
      </c>
    </row>
    <row r="7" spans="1:1" x14ac:dyDescent="0.25">
      <c r="A7" t="s">
        <v>1354</v>
      </c>
    </row>
    <row r="8" spans="1:1" x14ac:dyDescent="0.25">
      <c r="A8" t="s">
        <v>1355</v>
      </c>
    </row>
    <row r="9" spans="1:1" x14ac:dyDescent="0.25">
      <c r="A9" t="s">
        <v>1356</v>
      </c>
    </row>
    <row r="10" spans="1:1" x14ac:dyDescent="0.25">
      <c r="A10" t="s">
        <v>1357</v>
      </c>
    </row>
    <row r="11" spans="1:1" x14ac:dyDescent="0.25">
      <c r="A11" t="s">
        <v>1358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26"/>
  <sheetViews>
    <sheetView workbookViewId="0"/>
  </sheetViews>
  <sheetFormatPr defaultRowHeight="15" x14ac:dyDescent="0.25"/>
  <sheetData>
    <row r="1" spans="1:19" x14ac:dyDescent="0.25">
      <c r="A1" t="s">
        <v>233</v>
      </c>
      <c r="B1" t="s">
        <v>235</v>
      </c>
      <c r="C1" t="s">
        <v>237</v>
      </c>
      <c r="D1" t="s">
        <v>239</v>
      </c>
      <c r="E1" t="s">
        <v>241</v>
      </c>
      <c r="F1" t="s">
        <v>243</v>
      </c>
      <c r="G1" t="s">
        <v>245</v>
      </c>
      <c r="H1" t="s">
        <v>247</v>
      </c>
      <c r="I1" t="s">
        <v>249</v>
      </c>
      <c r="J1" t="s">
        <v>251</v>
      </c>
      <c r="K1" t="s">
        <v>253</v>
      </c>
      <c r="L1" t="s">
        <v>255</v>
      </c>
      <c r="M1" t="s">
        <v>257</v>
      </c>
      <c r="N1" t="s">
        <v>259</v>
      </c>
      <c r="O1" t="s">
        <v>261</v>
      </c>
      <c r="P1" t="s">
        <v>263</v>
      </c>
      <c r="Q1" t="s">
        <v>265</v>
      </c>
      <c r="R1" t="s">
        <v>267</v>
      </c>
      <c r="S1" t="s">
        <v>269</v>
      </c>
    </row>
    <row r="2" spans="1:19" x14ac:dyDescent="0.25">
      <c r="A2" t="s">
        <v>524</v>
      </c>
      <c r="B2" t="s">
        <v>526</v>
      </c>
      <c r="C2" t="s">
        <v>527</v>
      </c>
      <c r="D2" t="s">
        <v>525</v>
      </c>
      <c r="E2" t="s">
        <v>528</v>
      </c>
      <c r="F2" t="s">
        <v>529</v>
      </c>
      <c r="G2" t="s">
        <v>530</v>
      </c>
      <c r="H2" t="s">
        <v>531</v>
      </c>
      <c r="I2" t="s">
        <v>532</v>
      </c>
      <c r="J2" t="s">
        <v>534</v>
      </c>
      <c r="K2" t="s">
        <v>536</v>
      </c>
      <c r="L2" t="s">
        <v>535</v>
      </c>
      <c r="M2" t="s">
        <v>537</v>
      </c>
      <c r="N2" t="s">
        <v>538</v>
      </c>
      <c r="O2" t="s">
        <v>539</v>
      </c>
      <c r="P2" t="s">
        <v>541</v>
      </c>
      <c r="Q2" t="s">
        <v>540</v>
      </c>
      <c r="R2" t="s">
        <v>533</v>
      </c>
      <c r="S2" t="s">
        <v>542</v>
      </c>
    </row>
    <row r="3" spans="1:19" x14ac:dyDescent="0.25">
      <c r="A3" t="s">
        <v>543</v>
      </c>
      <c r="B3" t="s">
        <v>545</v>
      </c>
      <c r="C3" t="s">
        <v>546</v>
      </c>
      <c r="D3" t="s">
        <v>544</v>
      </c>
      <c r="E3" t="s">
        <v>547</v>
      </c>
      <c r="F3" t="s">
        <v>548</v>
      </c>
      <c r="G3" t="s">
        <v>549</v>
      </c>
      <c r="H3" t="s">
        <v>550</v>
      </c>
      <c r="I3" t="s">
        <v>551</v>
      </c>
      <c r="J3" t="s">
        <v>553</v>
      </c>
      <c r="K3" t="s">
        <v>555</v>
      </c>
      <c r="L3" t="s">
        <v>554</v>
      </c>
      <c r="M3" t="s">
        <v>556</v>
      </c>
      <c r="N3" t="s">
        <v>557</v>
      </c>
      <c r="O3" t="s">
        <v>558</v>
      </c>
      <c r="P3" t="s">
        <v>560</v>
      </c>
      <c r="Q3" t="s">
        <v>559</v>
      </c>
      <c r="R3" t="s">
        <v>552</v>
      </c>
      <c r="S3" t="s">
        <v>561</v>
      </c>
    </row>
    <row r="4" spans="1:19" x14ac:dyDescent="0.25">
      <c r="A4" t="s">
        <v>562</v>
      </c>
      <c r="B4" t="s">
        <v>564</v>
      </c>
      <c r="C4" t="s">
        <v>565</v>
      </c>
      <c r="D4" t="s">
        <v>563</v>
      </c>
      <c r="E4" t="s">
        <v>566</v>
      </c>
      <c r="F4" t="s">
        <v>567</v>
      </c>
      <c r="G4" t="s">
        <v>568</v>
      </c>
      <c r="H4" t="s">
        <v>569</v>
      </c>
      <c r="I4" t="s">
        <v>570</v>
      </c>
      <c r="J4" t="s">
        <v>572</v>
      </c>
      <c r="K4" t="s">
        <v>574</v>
      </c>
      <c r="L4" t="s">
        <v>573</v>
      </c>
      <c r="M4" t="s">
        <v>575</v>
      </c>
      <c r="N4" t="s">
        <v>576</v>
      </c>
      <c r="O4" t="s">
        <v>577</v>
      </c>
      <c r="P4" t="s">
        <v>579</v>
      </c>
      <c r="Q4" t="s">
        <v>578</v>
      </c>
      <c r="R4" t="s">
        <v>571</v>
      </c>
      <c r="S4" t="s">
        <v>580</v>
      </c>
    </row>
    <row r="5" spans="1:19" x14ac:dyDescent="0.25">
      <c r="A5" t="s">
        <v>581</v>
      </c>
      <c r="B5" t="s">
        <v>583</v>
      </c>
      <c r="C5" t="s">
        <v>584</v>
      </c>
      <c r="D5" t="s">
        <v>582</v>
      </c>
      <c r="E5" t="s">
        <v>585</v>
      </c>
      <c r="F5" t="s">
        <v>586</v>
      </c>
      <c r="G5" t="s">
        <v>587</v>
      </c>
      <c r="H5" t="s">
        <v>588</v>
      </c>
      <c r="I5" t="s">
        <v>589</v>
      </c>
      <c r="J5" t="s">
        <v>591</v>
      </c>
      <c r="K5" t="s">
        <v>593</v>
      </c>
      <c r="L5" t="s">
        <v>592</v>
      </c>
      <c r="M5" t="s">
        <v>594</v>
      </c>
      <c r="N5" t="s">
        <v>595</v>
      </c>
      <c r="O5" t="s">
        <v>596</v>
      </c>
      <c r="P5" t="s">
        <v>598</v>
      </c>
      <c r="Q5" t="s">
        <v>597</v>
      </c>
      <c r="R5" t="s">
        <v>590</v>
      </c>
      <c r="S5" t="s">
        <v>599</v>
      </c>
    </row>
    <row r="6" spans="1:19" x14ac:dyDescent="0.25">
      <c r="A6" t="s">
        <v>600</v>
      </c>
      <c r="B6" t="s">
        <v>602</v>
      </c>
      <c r="C6" t="s">
        <v>603</v>
      </c>
      <c r="D6" t="s">
        <v>601</v>
      </c>
      <c r="E6" t="s">
        <v>604</v>
      </c>
      <c r="F6" t="s">
        <v>605</v>
      </c>
      <c r="G6" t="s">
        <v>606</v>
      </c>
      <c r="H6" t="s">
        <v>607</v>
      </c>
      <c r="I6" t="s">
        <v>608</v>
      </c>
      <c r="J6" t="s">
        <v>610</v>
      </c>
      <c r="K6" t="s">
        <v>612</v>
      </c>
      <c r="L6" t="s">
        <v>611</v>
      </c>
      <c r="M6" t="s">
        <v>613</v>
      </c>
      <c r="N6" t="s">
        <v>614</v>
      </c>
      <c r="O6" t="s">
        <v>615</v>
      </c>
      <c r="P6" t="s">
        <v>617</v>
      </c>
      <c r="Q6" t="s">
        <v>616</v>
      </c>
      <c r="R6" t="s">
        <v>609</v>
      </c>
      <c r="S6" t="s">
        <v>618</v>
      </c>
    </row>
    <row r="7" spans="1:19" x14ac:dyDescent="0.25">
      <c r="A7" t="s">
        <v>619</v>
      </c>
      <c r="B7" t="s">
        <v>621</v>
      </c>
      <c r="C7" t="s">
        <v>622</v>
      </c>
      <c r="D7" t="s">
        <v>620</v>
      </c>
      <c r="E7" t="s">
        <v>623</v>
      </c>
      <c r="F7" t="s">
        <v>624</v>
      </c>
      <c r="G7" t="s">
        <v>625</v>
      </c>
      <c r="H7" t="s">
        <v>626</v>
      </c>
      <c r="I7" t="s">
        <v>627</v>
      </c>
      <c r="J7" t="s">
        <v>629</v>
      </c>
      <c r="K7" t="s">
        <v>631</v>
      </c>
      <c r="L7" t="s">
        <v>630</v>
      </c>
      <c r="M7" t="s">
        <v>632</v>
      </c>
      <c r="N7" t="s">
        <v>633</v>
      </c>
      <c r="O7" t="s">
        <v>634</v>
      </c>
      <c r="P7" t="s">
        <v>636</v>
      </c>
      <c r="Q7" t="s">
        <v>635</v>
      </c>
      <c r="R7" t="s">
        <v>628</v>
      </c>
      <c r="S7" t="s">
        <v>637</v>
      </c>
    </row>
    <row r="8" spans="1:19" x14ac:dyDescent="0.25">
      <c r="A8" t="s">
        <v>657</v>
      </c>
      <c r="B8" t="s">
        <v>659</v>
      </c>
      <c r="C8" t="s">
        <v>660</v>
      </c>
      <c r="D8" t="s">
        <v>658</v>
      </c>
      <c r="E8" t="s">
        <v>661</v>
      </c>
      <c r="F8" t="s">
        <v>662</v>
      </c>
      <c r="G8" t="s">
        <v>663</v>
      </c>
      <c r="H8" t="s">
        <v>664</v>
      </c>
      <c r="I8" t="s">
        <v>665</v>
      </c>
      <c r="J8" t="s">
        <v>667</v>
      </c>
      <c r="K8" t="s">
        <v>669</v>
      </c>
      <c r="L8" t="s">
        <v>668</v>
      </c>
      <c r="M8" t="s">
        <v>670</v>
      </c>
      <c r="N8" t="s">
        <v>671</v>
      </c>
      <c r="O8" t="s">
        <v>672</v>
      </c>
      <c r="P8" t="s">
        <v>674</v>
      </c>
      <c r="Q8" t="s">
        <v>673</v>
      </c>
      <c r="R8" t="s">
        <v>666</v>
      </c>
      <c r="S8" t="s">
        <v>675</v>
      </c>
    </row>
    <row r="9" spans="1:19" x14ac:dyDescent="0.25">
      <c r="A9" t="s">
        <v>676</v>
      </c>
      <c r="B9" t="s">
        <v>678</v>
      </c>
      <c r="C9" t="s">
        <v>679</v>
      </c>
      <c r="D9" t="s">
        <v>677</v>
      </c>
      <c r="E9" t="s">
        <v>680</v>
      </c>
      <c r="F9" t="s">
        <v>681</v>
      </c>
      <c r="G9" t="s">
        <v>682</v>
      </c>
      <c r="H9" t="s">
        <v>683</v>
      </c>
      <c r="I9" t="s">
        <v>684</v>
      </c>
      <c r="J9" t="s">
        <v>686</v>
      </c>
      <c r="K9" t="s">
        <v>688</v>
      </c>
      <c r="L9" t="s">
        <v>687</v>
      </c>
      <c r="M9" t="s">
        <v>689</v>
      </c>
      <c r="N9" t="s">
        <v>690</v>
      </c>
      <c r="O9" t="s">
        <v>691</v>
      </c>
      <c r="P9" t="s">
        <v>693</v>
      </c>
      <c r="Q9" t="s">
        <v>692</v>
      </c>
      <c r="R9" t="s">
        <v>685</v>
      </c>
      <c r="S9" t="s">
        <v>694</v>
      </c>
    </row>
    <row r="10" spans="1:19" x14ac:dyDescent="0.25">
      <c r="A10" t="s">
        <v>695</v>
      </c>
      <c r="B10" t="s">
        <v>697</v>
      </c>
      <c r="C10" t="s">
        <v>698</v>
      </c>
      <c r="D10" t="s">
        <v>696</v>
      </c>
      <c r="E10" t="s">
        <v>699</v>
      </c>
      <c r="F10" t="s">
        <v>700</v>
      </c>
      <c r="G10" t="s">
        <v>701</v>
      </c>
      <c r="H10" t="s">
        <v>702</v>
      </c>
      <c r="I10" t="s">
        <v>703</v>
      </c>
      <c r="J10" t="s">
        <v>705</v>
      </c>
      <c r="K10" t="s">
        <v>707</v>
      </c>
      <c r="L10" t="s">
        <v>706</v>
      </c>
      <c r="M10" t="s">
        <v>708</v>
      </c>
      <c r="N10" t="s">
        <v>709</v>
      </c>
      <c r="O10" t="s">
        <v>710</v>
      </c>
      <c r="P10" t="s">
        <v>712</v>
      </c>
      <c r="Q10" t="s">
        <v>711</v>
      </c>
      <c r="R10" t="s">
        <v>704</v>
      </c>
      <c r="S10" t="s">
        <v>713</v>
      </c>
    </row>
    <row r="11" spans="1:19" x14ac:dyDescent="0.25">
      <c r="A11" t="s">
        <v>714</v>
      </c>
      <c r="B11" t="s">
        <v>716</v>
      </c>
      <c r="C11" t="s">
        <v>717</v>
      </c>
      <c r="D11" t="s">
        <v>715</v>
      </c>
      <c r="E11" t="s">
        <v>718</v>
      </c>
      <c r="F11" t="s">
        <v>719</v>
      </c>
      <c r="G11" t="s">
        <v>720</v>
      </c>
      <c r="H11" t="s">
        <v>721</v>
      </c>
      <c r="I11" t="s">
        <v>722</v>
      </c>
      <c r="J11" t="s">
        <v>724</v>
      </c>
      <c r="K11" t="s">
        <v>726</v>
      </c>
      <c r="L11" t="s">
        <v>725</v>
      </c>
      <c r="M11" t="s">
        <v>727</v>
      </c>
      <c r="N11" t="s">
        <v>728</v>
      </c>
      <c r="O11" t="s">
        <v>729</v>
      </c>
      <c r="P11" t="s">
        <v>731</v>
      </c>
      <c r="Q11" t="s">
        <v>730</v>
      </c>
      <c r="R11" t="s">
        <v>723</v>
      </c>
      <c r="S11" t="s">
        <v>732</v>
      </c>
    </row>
    <row r="12" spans="1:19" x14ac:dyDescent="0.25">
      <c r="A12" t="s">
        <v>733</v>
      </c>
      <c r="B12" t="s">
        <v>735</v>
      </c>
      <c r="C12" t="s">
        <v>736</v>
      </c>
      <c r="D12" t="s">
        <v>734</v>
      </c>
      <c r="E12" t="s">
        <v>737</v>
      </c>
      <c r="F12" t="s">
        <v>738</v>
      </c>
      <c r="G12" t="s">
        <v>739</v>
      </c>
      <c r="H12" t="s">
        <v>740</v>
      </c>
      <c r="I12" t="s">
        <v>741</v>
      </c>
      <c r="J12" t="s">
        <v>743</v>
      </c>
      <c r="K12" t="s">
        <v>745</v>
      </c>
      <c r="L12" t="s">
        <v>744</v>
      </c>
      <c r="M12" t="s">
        <v>746</v>
      </c>
      <c r="N12" t="s">
        <v>747</v>
      </c>
      <c r="O12" t="s">
        <v>748</v>
      </c>
      <c r="P12" t="s">
        <v>750</v>
      </c>
      <c r="Q12" t="s">
        <v>749</v>
      </c>
      <c r="R12" t="s">
        <v>742</v>
      </c>
      <c r="S12" t="s">
        <v>751</v>
      </c>
    </row>
    <row r="13" spans="1:19" x14ac:dyDescent="0.25">
      <c r="A13" t="s">
        <v>752</v>
      </c>
      <c r="B13" t="s">
        <v>754</v>
      </c>
      <c r="C13" t="s">
        <v>755</v>
      </c>
      <c r="D13" t="s">
        <v>753</v>
      </c>
      <c r="E13" t="s">
        <v>756</v>
      </c>
      <c r="F13" t="s">
        <v>757</v>
      </c>
      <c r="G13" t="s">
        <v>758</v>
      </c>
      <c r="H13" t="s">
        <v>759</v>
      </c>
      <c r="I13" t="s">
        <v>760</v>
      </c>
      <c r="J13" t="s">
        <v>762</v>
      </c>
      <c r="K13" t="s">
        <v>764</v>
      </c>
      <c r="L13" t="s">
        <v>763</v>
      </c>
      <c r="M13" t="s">
        <v>765</v>
      </c>
      <c r="N13" t="s">
        <v>766</v>
      </c>
      <c r="O13" t="s">
        <v>767</v>
      </c>
      <c r="P13" t="s">
        <v>769</v>
      </c>
      <c r="Q13" t="s">
        <v>768</v>
      </c>
      <c r="R13" t="s">
        <v>761</v>
      </c>
      <c r="S13" t="s">
        <v>770</v>
      </c>
    </row>
    <row r="14" spans="1:19" x14ac:dyDescent="0.25">
      <c r="A14" t="s">
        <v>771</v>
      </c>
      <c r="B14" t="s">
        <v>773</v>
      </c>
      <c r="C14" t="s">
        <v>774</v>
      </c>
      <c r="D14" t="s">
        <v>772</v>
      </c>
      <c r="E14" t="s">
        <v>775</v>
      </c>
      <c r="F14" t="s">
        <v>776</v>
      </c>
      <c r="G14" t="s">
        <v>777</v>
      </c>
      <c r="H14" t="s">
        <v>778</v>
      </c>
      <c r="I14" t="s">
        <v>779</v>
      </c>
      <c r="J14" t="s">
        <v>781</v>
      </c>
      <c r="K14" t="s">
        <v>783</v>
      </c>
      <c r="L14" t="s">
        <v>782</v>
      </c>
      <c r="M14" t="s">
        <v>784</v>
      </c>
      <c r="N14" t="s">
        <v>785</v>
      </c>
      <c r="O14" t="s">
        <v>786</v>
      </c>
      <c r="P14" t="s">
        <v>788</v>
      </c>
      <c r="Q14" t="s">
        <v>787</v>
      </c>
      <c r="R14" t="s">
        <v>780</v>
      </c>
      <c r="S14" t="s">
        <v>789</v>
      </c>
    </row>
    <row r="15" spans="1:19" x14ac:dyDescent="0.25">
      <c r="A15" t="s">
        <v>790</v>
      </c>
      <c r="B15" t="s">
        <v>792</v>
      </c>
      <c r="C15" t="s">
        <v>793</v>
      </c>
      <c r="D15" t="s">
        <v>791</v>
      </c>
      <c r="E15" t="s">
        <v>794</v>
      </c>
      <c r="F15" t="s">
        <v>795</v>
      </c>
      <c r="G15" t="s">
        <v>796</v>
      </c>
      <c r="H15" t="s">
        <v>797</v>
      </c>
      <c r="I15" t="s">
        <v>798</v>
      </c>
      <c r="J15" t="s">
        <v>800</v>
      </c>
      <c r="K15" t="s">
        <v>802</v>
      </c>
      <c r="L15" t="s">
        <v>801</v>
      </c>
      <c r="M15" t="s">
        <v>803</v>
      </c>
      <c r="N15" t="s">
        <v>804</v>
      </c>
      <c r="O15" t="s">
        <v>805</v>
      </c>
      <c r="P15" t="s">
        <v>807</v>
      </c>
      <c r="Q15" t="s">
        <v>806</v>
      </c>
      <c r="R15" t="s">
        <v>799</v>
      </c>
      <c r="S15" t="s">
        <v>808</v>
      </c>
    </row>
    <row r="16" spans="1:19" x14ac:dyDescent="0.25">
      <c r="A16" t="s">
        <v>809</v>
      </c>
      <c r="B16" t="s">
        <v>811</v>
      </c>
      <c r="C16" t="s">
        <v>812</v>
      </c>
      <c r="D16" t="s">
        <v>810</v>
      </c>
      <c r="E16" t="s">
        <v>813</v>
      </c>
      <c r="F16" t="s">
        <v>814</v>
      </c>
      <c r="G16" t="s">
        <v>815</v>
      </c>
      <c r="H16" t="s">
        <v>816</v>
      </c>
      <c r="I16" t="s">
        <v>817</v>
      </c>
      <c r="J16" t="s">
        <v>819</v>
      </c>
      <c r="K16" t="s">
        <v>821</v>
      </c>
      <c r="L16" t="s">
        <v>820</v>
      </c>
      <c r="M16" t="s">
        <v>822</v>
      </c>
      <c r="N16" t="s">
        <v>823</v>
      </c>
      <c r="O16" t="s">
        <v>824</v>
      </c>
      <c r="P16" t="s">
        <v>826</v>
      </c>
      <c r="Q16" t="s">
        <v>825</v>
      </c>
      <c r="R16" t="s">
        <v>818</v>
      </c>
      <c r="S16" t="s">
        <v>827</v>
      </c>
    </row>
    <row r="17" spans="1:19" x14ac:dyDescent="0.25">
      <c r="A17" t="s">
        <v>828</v>
      </c>
      <c r="B17" t="s">
        <v>830</v>
      </c>
      <c r="C17" t="s">
        <v>831</v>
      </c>
      <c r="D17" t="s">
        <v>829</v>
      </c>
      <c r="E17" t="s">
        <v>832</v>
      </c>
      <c r="F17" t="s">
        <v>833</v>
      </c>
      <c r="G17" t="s">
        <v>834</v>
      </c>
      <c r="H17" t="s">
        <v>835</v>
      </c>
      <c r="I17" t="s">
        <v>836</v>
      </c>
      <c r="J17" t="s">
        <v>838</v>
      </c>
      <c r="K17" t="s">
        <v>840</v>
      </c>
      <c r="L17" t="s">
        <v>839</v>
      </c>
      <c r="M17" t="s">
        <v>841</v>
      </c>
      <c r="N17" t="s">
        <v>842</v>
      </c>
      <c r="O17" t="s">
        <v>843</v>
      </c>
      <c r="P17" t="s">
        <v>845</v>
      </c>
      <c r="Q17" t="s">
        <v>844</v>
      </c>
      <c r="R17" t="s">
        <v>837</v>
      </c>
      <c r="S17" t="s">
        <v>846</v>
      </c>
    </row>
    <row r="18" spans="1:19" x14ac:dyDescent="0.25">
      <c r="A18" t="s">
        <v>847</v>
      </c>
      <c r="B18" t="s">
        <v>849</v>
      </c>
      <c r="C18" t="s">
        <v>850</v>
      </c>
      <c r="D18" t="s">
        <v>848</v>
      </c>
      <c r="E18" t="s">
        <v>851</v>
      </c>
      <c r="F18" t="s">
        <v>852</v>
      </c>
      <c r="G18" t="s">
        <v>853</v>
      </c>
      <c r="H18" t="s">
        <v>854</v>
      </c>
      <c r="I18" t="s">
        <v>855</v>
      </c>
      <c r="J18" t="s">
        <v>857</v>
      </c>
      <c r="K18" t="s">
        <v>859</v>
      </c>
      <c r="L18" t="s">
        <v>858</v>
      </c>
      <c r="M18" t="s">
        <v>860</v>
      </c>
      <c r="N18" t="s">
        <v>861</v>
      </c>
      <c r="O18" t="s">
        <v>862</v>
      </c>
      <c r="P18" t="s">
        <v>864</v>
      </c>
      <c r="Q18" t="s">
        <v>863</v>
      </c>
      <c r="R18" t="s">
        <v>856</v>
      </c>
      <c r="S18" t="s">
        <v>865</v>
      </c>
    </row>
    <row r="19" spans="1:19" x14ac:dyDescent="0.25">
      <c r="A19" t="s">
        <v>866</v>
      </c>
      <c r="B19" t="s">
        <v>868</v>
      </c>
      <c r="C19" t="s">
        <v>869</v>
      </c>
      <c r="D19" t="s">
        <v>867</v>
      </c>
      <c r="E19" t="s">
        <v>870</v>
      </c>
      <c r="F19" t="s">
        <v>871</v>
      </c>
      <c r="G19" t="s">
        <v>872</v>
      </c>
      <c r="H19" t="s">
        <v>873</v>
      </c>
      <c r="I19" t="s">
        <v>874</v>
      </c>
      <c r="J19" t="s">
        <v>876</v>
      </c>
      <c r="K19" t="s">
        <v>878</v>
      </c>
      <c r="L19" t="s">
        <v>877</v>
      </c>
      <c r="M19" t="s">
        <v>879</v>
      </c>
      <c r="N19" t="s">
        <v>880</v>
      </c>
      <c r="O19" t="s">
        <v>881</v>
      </c>
      <c r="P19" t="s">
        <v>883</v>
      </c>
      <c r="Q19" t="s">
        <v>882</v>
      </c>
      <c r="R19" t="s">
        <v>875</v>
      </c>
      <c r="S19" t="s">
        <v>884</v>
      </c>
    </row>
    <row r="20" spans="1:19" x14ac:dyDescent="0.25">
      <c r="A20" t="s">
        <v>885</v>
      </c>
      <c r="B20" t="s">
        <v>890</v>
      </c>
      <c r="C20" t="s">
        <v>894</v>
      </c>
      <c r="D20" t="s">
        <v>912</v>
      </c>
      <c r="E20" t="s">
        <v>898</v>
      </c>
      <c r="F20" t="s">
        <v>899</v>
      </c>
      <c r="G20" t="s">
        <v>902</v>
      </c>
      <c r="H20" t="s">
        <v>904</v>
      </c>
      <c r="I20" t="s">
        <v>905</v>
      </c>
      <c r="J20" t="s">
        <v>906</v>
      </c>
      <c r="K20" t="s">
        <v>909</v>
      </c>
      <c r="L20" t="s">
        <v>922</v>
      </c>
      <c r="M20" t="s">
        <v>924</v>
      </c>
      <c r="N20" t="s">
        <v>925</v>
      </c>
      <c r="O20" t="s">
        <v>926</v>
      </c>
      <c r="P20" t="s">
        <v>928</v>
      </c>
      <c r="Q20" t="s">
        <v>927</v>
      </c>
      <c r="R20" t="s">
        <v>920</v>
      </c>
      <c r="S20" t="s">
        <v>929</v>
      </c>
    </row>
    <row r="21" spans="1:19" x14ac:dyDescent="0.25">
      <c r="A21" t="s">
        <v>886</v>
      </c>
      <c r="B21" t="s">
        <v>891</v>
      </c>
      <c r="C21" t="s">
        <v>895</v>
      </c>
      <c r="D21" t="s">
        <v>931</v>
      </c>
      <c r="E21" t="s">
        <v>915</v>
      </c>
      <c r="F21" t="s">
        <v>900</v>
      </c>
      <c r="G21" t="s">
        <v>903</v>
      </c>
      <c r="H21" t="s">
        <v>918</v>
      </c>
      <c r="I21" t="s">
        <v>919</v>
      </c>
      <c r="J21" t="s">
        <v>907</v>
      </c>
      <c r="K21" t="s">
        <v>910</v>
      </c>
      <c r="L21" t="s">
        <v>941</v>
      </c>
      <c r="M21" t="s">
        <v>943</v>
      </c>
      <c r="N21" t="s">
        <v>944</v>
      </c>
      <c r="O21" t="s">
        <v>945</v>
      </c>
      <c r="P21" t="s">
        <v>947</v>
      </c>
      <c r="Q21" t="s">
        <v>946</v>
      </c>
      <c r="R21" t="s">
        <v>939</v>
      </c>
      <c r="S21" t="s">
        <v>948</v>
      </c>
    </row>
    <row r="22" spans="1:19" x14ac:dyDescent="0.25">
      <c r="A22" t="s">
        <v>887</v>
      </c>
      <c r="B22" t="s">
        <v>892</v>
      </c>
      <c r="C22" t="s">
        <v>896</v>
      </c>
      <c r="E22" t="s">
        <v>934</v>
      </c>
      <c r="F22" t="s">
        <v>901</v>
      </c>
      <c r="G22" t="s">
        <v>917</v>
      </c>
      <c r="H22" t="s">
        <v>937</v>
      </c>
      <c r="I22" t="s">
        <v>938</v>
      </c>
      <c r="J22" t="s">
        <v>908</v>
      </c>
      <c r="K22" t="s">
        <v>923</v>
      </c>
    </row>
    <row r="23" spans="1:19" x14ac:dyDescent="0.25">
      <c r="A23" t="s">
        <v>888</v>
      </c>
      <c r="B23" t="s">
        <v>893</v>
      </c>
      <c r="C23" t="s">
        <v>897</v>
      </c>
      <c r="F23" t="s">
        <v>916</v>
      </c>
      <c r="G23" t="s">
        <v>936</v>
      </c>
      <c r="J23" t="s">
        <v>921</v>
      </c>
      <c r="K23" t="s">
        <v>942</v>
      </c>
    </row>
    <row r="24" spans="1:19" x14ac:dyDescent="0.25">
      <c r="A24" t="s">
        <v>889</v>
      </c>
      <c r="B24" t="s">
        <v>913</v>
      </c>
      <c r="C24" t="s">
        <v>914</v>
      </c>
      <c r="F24" t="s">
        <v>935</v>
      </c>
      <c r="J24" t="s">
        <v>940</v>
      </c>
    </row>
    <row r="25" spans="1:19" x14ac:dyDescent="0.25">
      <c r="A25" t="s">
        <v>911</v>
      </c>
      <c r="B25" t="s">
        <v>932</v>
      </c>
      <c r="C25" t="s">
        <v>933</v>
      </c>
    </row>
    <row r="26" spans="1:19" x14ac:dyDescent="0.25">
      <c r="A26" t="s">
        <v>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19</vt:i4>
      </vt:variant>
    </vt:vector>
  </HeadingPairs>
  <TitlesOfParts>
    <vt:vector size="34" baseType="lpstr">
      <vt:lpstr>Instructions</vt:lpstr>
      <vt:lpstr>Documentation</vt:lpstr>
      <vt:lpstr>OLADE_Config</vt:lpstr>
      <vt:lpstr>Demand_Growth</vt:lpstr>
      <vt:lpstr>Scenarios_Demand_Growth</vt:lpstr>
      <vt:lpstr>Renewability_Targets</vt:lpstr>
      <vt:lpstr>Technology_Weights</vt:lpstr>
      <vt:lpstr>Editor</vt:lpstr>
      <vt:lpstr>Interconnections</vt:lpstr>
      <vt:lpstr>_Scenarios</vt:lpstr>
      <vt:lpstr>_Countries</vt:lpstr>
      <vt:lpstr>_TechNames</vt:lpstr>
      <vt:lpstr>_TechMapping</vt:lpstr>
      <vt:lpstr>_Parameters</vt:lpstr>
      <vt:lpstr>_TechByCountry</vt:lpstr>
      <vt:lpstr>Tech_ARG</vt:lpstr>
      <vt:lpstr>Tech_BOL</vt:lpstr>
      <vt:lpstr>Tech_BRA</vt:lpstr>
      <vt:lpstr>Tech_BRB</vt:lpstr>
      <vt:lpstr>Tech_CHL</vt:lpstr>
      <vt:lpstr>Tech_COL</vt:lpstr>
      <vt:lpstr>Tech_CRI</vt:lpstr>
      <vt:lpstr>Tech_DOM</vt:lpstr>
      <vt:lpstr>Tech_ECU</vt:lpstr>
      <vt:lpstr>Tech_GTM</vt:lpstr>
      <vt:lpstr>Tech_HND</vt:lpstr>
      <vt:lpstr>Tech_HTI</vt:lpstr>
      <vt:lpstr>Tech_MEX</vt:lpstr>
      <vt:lpstr>Tech_NIC</vt:lpstr>
      <vt:lpstr>Tech_PAN</vt:lpstr>
      <vt:lpstr>Tech_PER</vt:lpstr>
      <vt:lpstr>Tech_PRY</vt:lpstr>
      <vt:lpstr>Tech_SLV</vt:lpstr>
      <vt:lpstr>Tech_URY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Andrey Salazar-Vargas</cp:lastModifiedBy>
  <dcterms:created xsi:type="dcterms:W3CDTF">2026-04-08T20:09:53Z</dcterms:created>
  <dcterms:modified xsi:type="dcterms:W3CDTF">2026-04-08T20:12:44Z</dcterms:modified>
</cp:coreProperties>
</file>