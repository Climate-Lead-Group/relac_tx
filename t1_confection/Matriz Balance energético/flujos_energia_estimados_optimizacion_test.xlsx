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relac_tx\t1_confection\Matriz Balance energético\"/>
    </mc:Choice>
  </mc:AlternateContent>
  <xr:revisionPtr revIDLastSave="0" documentId="8_{2BB483E0-347F-4B5D-991B-7118EC479696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Flujos Bilaterales" sheetId="1" r:id="rId1"/>
    <sheet name="Flujos por Interconexión" sheetId="2" r:id="rId2"/>
    <sheet name="Imp-Exp por País" sheetId="3" r:id="rId3"/>
  </sheets>
  <definedNames>
    <definedName name="_xlnm._FilterDatabase" localSheetId="1" hidden="1">'Flujos por Interconexión'!$A$1:$G$157</definedName>
    <definedName name="_xlnm._FilterDatabase" localSheetId="2" hidden="1">'Imp-Exp por País'!$A$1:$F$109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3" l="1"/>
  <c r="J13" i="3"/>
  <c r="J11" i="3"/>
  <c r="I12" i="3"/>
  <c r="I13" i="3"/>
  <c r="I11" i="3"/>
</calcChain>
</file>

<file path=xl/sharedStrings.xml><?xml version="1.0" encoding="utf-8"?>
<sst xmlns="http://schemas.openxmlformats.org/spreadsheetml/2006/main" count="965" uniqueCount="40">
  <si>
    <t>Año</t>
  </si>
  <si>
    <t>País 1</t>
  </si>
  <si>
    <t>País 2</t>
  </si>
  <si>
    <t>Importaciones País 1 (GWh)</t>
  </si>
  <si>
    <t>Exportaciones País 1 (GWh)</t>
  </si>
  <si>
    <t>Flujo Neto (GWh)</t>
  </si>
  <si>
    <t>Flujo Total (GWh)</t>
  </si>
  <si>
    <t>Notas</t>
  </si>
  <si>
    <t>Fuente</t>
  </si>
  <si>
    <t>Argentina</t>
  </si>
  <si>
    <t>Bolivia</t>
  </si>
  <si>
    <t>Optimización con prior gravitacional (solo datos OLADE)</t>
  </si>
  <si>
    <t>OLADE</t>
  </si>
  <si>
    <t>Brasil</t>
  </si>
  <si>
    <t>Chile</t>
  </si>
  <si>
    <t>Paraguay</t>
  </si>
  <si>
    <t>Uruguay</t>
  </si>
  <si>
    <t>Perú</t>
  </si>
  <si>
    <t>Colombia</t>
  </si>
  <si>
    <t>Ecuador</t>
  </si>
  <si>
    <t>Costa Rica</t>
  </si>
  <si>
    <t>El Salvador</t>
  </si>
  <si>
    <t>Guatemala</t>
  </si>
  <si>
    <t>Honduras</t>
  </si>
  <si>
    <t>Nicaragua</t>
  </si>
  <si>
    <t>Panamá</t>
  </si>
  <si>
    <t>México</t>
  </si>
  <si>
    <t>País A</t>
  </si>
  <si>
    <t>País B</t>
  </si>
  <si>
    <t>Flujo A→B (GWh)</t>
  </si>
  <si>
    <t>Flujo B→A (GWh)</t>
  </si>
  <si>
    <t>Flujo Neto A→B (GWh)</t>
  </si>
  <si>
    <t>República Dominicana</t>
  </si>
  <si>
    <t>Haití</t>
  </si>
  <si>
    <t>País</t>
  </si>
  <si>
    <t>Exportaciones (GWh)</t>
  </si>
  <si>
    <t>Importaciones (GWh)</t>
  </si>
  <si>
    <t>Generación (PJ)</t>
  </si>
  <si>
    <t>Generación (GWh)</t>
  </si>
  <si>
    <t>Demanda 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</si>
</sst>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1"/>
  <sheetViews>
    <sheetView workbookViewId="0"/>
  </sheetViews>
  <sheetFormatPr defaultRowHeight="15" x14ac:dyDescent="0.25"/>
  <cols>
    <col min="1" max="1" width="8" customWidth="1"/>
    <col min="2" max="3" width="18" customWidth="1"/>
    <col min="4" max="5" width="22" customWidth="1"/>
    <col min="6" max="7" width="18" customWidth="1"/>
    <col min="8" max="8" width="55" customWidth="1"/>
    <col min="9" max="9" width="1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2020</v>
      </c>
      <c r="B2" t="s">
        <v>9</v>
      </c>
      <c r="C2" t="s">
        <v>10</v>
      </c>
      <c r="D2">
        <v>0</v>
      </c>
      <c r="E2">
        <v>0</v>
      </c>
      <c r="F2">
        <v>0</v>
      </c>
      <c r="G2">
        <v>0</v>
      </c>
      <c r="H2" t="s">
        <v>11</v>
      </c>
      <c r="I2" t="s">
        <v>12</v>
      </c>
    </row>
    <row r="3" spans="1:9" x14ac:dyDescent="0.25">
      <c r="A3">
        <v>2020</v>
      </c>
      <c r="B3" t="s">
        <v>9</v>
      </c>
      <c r="C3" t="s">
        <v>13</v>
      </c>
      <c r="D3">
        <v>0</v>
      </c>
      <c r="E3">
        <v>2790.2629999999999</v>
      </c>
      <c r="F3">
        <v>2790.2629999999999</v>
      </c>
      <c r="G3">
        <v>2790.2629999999999</v>
      </c>
      <c r="H3" t="s">
        <v>11</v>
      </c>
      <c r="I3" t="s">
        <v>12</v>
      </c>
    </row>
    <row r="4" spans="1:9" x14ac:dyDescent="0.25">
      <c r="A4">
        <v>2020</v>
      </c>
      <c r="B4" t="s">
        <v>9</v>
      </c>
      <c r="C4" t="s">
        <v>14</v>
      </c>
      <c r="D4">
        <v>0</v>
      </c>
      <c r="E4">
        <v>0</v>
      </c>
      <c r="F4">
        <v>0</v>
      </c>
      <c r="G4">
        <v>0</v>
      </c>
      <c r="H4" t="s">
        <v>11</v>
      </c>
      <c r="I4" t="s">
        <v>12</v>
      </c>
    </row>
    <row r="5" spans="1:9" x14ac:dyDescent="0.25">
      <c r="A5">
        <v>2020</v>
      </c>
      <c r="B5" t="s">
        <v>9</v>
      </c>
      <c r="C5" t="s">
        <v>15</v>
      </c>
      <c r="D5">
        <v>7800.2</v>
      </c>
      <c r="E5">
        <v>0</v>
      </c>
      <c r="F5">
        <v>-7800.2</v>
      </c>
      <c r="G5">
        <v>7800.2</v>
      </c>
      <c r="H5" t="s">
        <v>11</v>
      </c>
      <c r="I5" t="s">
        <v>12</v>
      </c>
    </row>
    <row r="6" spans="1:9" x14ac:dyDescent="0.25">
      <c r="A6">
        <v>2020</v>
      </c>
      <c r="B6" t="s">
        <v>9</v>
      </c>
      <c r="C6" t="s">
        <v>16</v>
      </c>
      <c r="D6">
        <v>0</v>
      </c>
      <c r="E6">
        <v>297.93700000000001</v>
      </c>
      <c r="F6">
        <v>297.93700000000001</v>
      </c>
      <c r="G6">
        <v>297.93700000000001</v>
      </c>
      <c r="H6" t="s">
        <v>11</v>
      </c>
      <c r="I6" t="s">
        <v>12</v>
      </c>
    </row>
    <row r="7" spans="1:9" x14ac:dyDescent="0.25">
      <c r="A7">
        <v>2020</v>
      </c>
      <c r="B7" t="s">
        <v>13</v>
      </c>
      <c r="C7" t="s">
        <v>15</v>
      </c>
      <c r="D7">
        <v>20204.598000000002</v>
      </c>
      <c r="E7">
        <v>0</v>
      </c>
      <c r="F7">
        <v>-20204.598000000002</v>
      </c>
      <c r="G7">
        <v>20204.598000000002</v>
      </c>
      <c r="H7" t="s">
        <v>11</v>
      </c>
      <c r="I7" t="s">
        <v>12</v>
      </c>
    </row>
    <row r="8" spans="1:9" x14ac:dyDescent="0.25">
      <c r="A8">
        <v>2020</v>
      </c>
      <c r="B8" t="s">
        <v>13</v>
      </c>
      <c r="C8" t="s">
        <v>16</v>
      </c>
      <c r="D8">
        <v>1147.8330000000001</v>
      </c>
      <c r="E8">
        <v>216.08799999999999</v>
      </c>
      <c r="F8">
        <v>-931.745</v>
      </c>
      <c r="G8">
        <v>1363.921</v>
      </c>
      <c r="H8" t="s">
        <v>11</v>
      </c>
      <c r="I8" t="s">
        <v>12</v>
      </c>
    </row>
    <row r="9" spans="1:9" x14ac:dyDescent="0.25">
      <c r="A9">
        <v>2020</v>
      </c>
      <c r="B9" t="s">
        <v>14</v>
      </c>
      <c r="C9" t="s">
        <v>17</v>
      </c>
      <c r="D9">
        <v>0</v>
      </c>
      <c r="E9">
        <v>0</v>
      </c>
      <c r="F9">
        <v>0</v>
      </c>
      <c r="G9">
        <v>0</v>
      </c>
      <c r="H9" t="s">
        <v>11</v>
      </c>
      <c r="I9" t="s">
        <v>12</v>
      </c>
    </row>
    <row r="10" spans="1:9" x14ac:dyDescent="0.25">
      <c r="A10">
        <v>2020</v>
      </c>
      <c r="B10" t="s">
        <v>18</v>
      </c>
      <c r="C10" t="s">
        <v>19</v>
      </c>
      <c r="D10">
        <v>1314.6020000000001</v>
      </c>
      <c r="E10">
        <v>250.79499999999999</v>
      </c>
      <c r="F10">
        <v>-1063.807</v>
      </c>
      <c r="G10">
        <v>1565.3969999999999</v>
      </c>
      <c r="H10" t="s">
        <v>11</v>
      </c>
      <c r="I10" t="s">
        <v>12</v>
      </c>
    </row>
    <row r="11" spans="1:9" x14ac:dyDescent="0.25">
      <c r="A11">
        <v>2020</v>
      </c>
      <c r="B11" t="s">
        <v>19</v>
      </c>
      <c r="C11" t="s">
        <v>17</v>
      </c>
      <c r="D11">
        <v>0</v>
      </c>
      <c r="E11">
        <v>13.012</v>
      </c>
      <c r="F11">
        <v>13.012</v>
      </c>
      <c r="G11">
        <v>13.012</v>
      </c>
      <c r="H11" t="s">
        <v>11</v>
      </c>
      <c r="I11" t="s">
        <v>12</v>
      </c>
    </row>
    <row r="12" spans="1:9" x14ac:dyDescent="0.25">
      <c r="A12">
        <v>2020</v>
      </c>
      <c r="B12" t="s">
        <v>20</v>
      </c>
      <c r="C12" t="s">
        <v>21</v>
      </c>
      <c r="D12">
        <v>0</v>
      </c>
      <c r="E12">
        <v>181.52799999999999</v>
      </c>
      <c r="F12">
        <v>181.52799999999999</v>
      </c>
      <c r="G12">
        <v>181.52799999999999</v>
      </c>
      <c r="H12" t="s">
        <v>11</v>
      </c>
      <c r="I12" t="s">
        <v>12</v>
      </c>
    </row>
    <row r="13" spans="1:9" x14ac:dyDescent="0.25">
      <c r="A13">
        <v>2020</v>
      </c>
      <c r="B13" t="s">
        <v>20</v>
      </c>
      <c r="C13" t="s">
        <v>22</v>
      </c>
      <c r="D13">
        <v>117.691</v>
      </c>
      <c r="E13">
        <v>0</v>
      </c>
      <c r="F13">
        <v>-117.691</v>
      </c>
      <c r="G13">
        <v>117.691</v>
      </c>
      <c r="H13" t="s">
        <v>11</v>
      </c>
      <c r="I13" t="s">
        <v>12</v>
      </c>
    </row>
    <row r="14" spans="1:9" x14ac:dyDescent="0.25">
      <c r="A14">
        <v>2020</v>
      </c>
      <c r="B14" t="s">
        <v>20</v>
      </c>
      <c r="C14" t="s">
        <v>23</v>
      </c>
      <c r="D14">
        <v>0</v>
      </c>
      <c r="E14">
        <v>187.12200000000001</v>
      </c>
      <c r="F14">
        <v>187.12200000000001</v>
      </c>
      <c r="G14">
        <v>187.12200000000001</v>
      </c>
      <c r="H14" t="s">
        <v>11</v>
      </c>
      <c r="I14" t="s">
        <v>12</v>
      </c>
    </row>
    <row r="15" spans="1:9" x14ac:dyDescent="0.25">
      <c r="A15">
        <v>2020</v>
      </c>
      <c r="B15" t="s">
        <v>20</v>
      </c>
      <c r="C15" t="s">
        <v>24</v>
      </c>
      <c r="D15">
        <v>0</v>
      </c>
      <c r="E15">
        <v>255.227</v>
      </c>
      <c r="F15">
        <v>255.227</v>
      </c>
      <c r="G15">
        <v>255.227</v>
      </c>
      <c r="H15" t="s">
        <v>11</v>
      </c>
      <c r="I15" t="s">
        <v>12</v>
      </c>
    </row>
    <row r="16" spans="1:9" x14ac:dyDescent="0.25">
      <c r="A16">
        <v>2020</v>
      </c>
      <c r="B16" t="s">
        <v>20</v>
      </c>
      <c r="C16" t="s">
        <v>25</v>
      </c>
      <c r="D16">
        <v>0</v>
      </c>
      <c r="E16">
        <v>0</v>
      </c>
      <c r="F16">
        <v>0</v>
      </c>
      <c r="G16">
        <v>0</v>
      </c>
      <c r="H16" t="s">
        <v>11</v>
      </c>
      <c r="I16" t="s">
        <v>12</v>
      </c>
    </row>
    <row r="17" spans="1:9" x14ac:dyDescent="0.25">
      <c r="A17">
        <v>2020</v>
      </c>
      <c r="B17" t="s">
        <v>21</v>
      </c>
      <c r="C17" t="s">
        <v>22</v>
      </c>
      <c r="D17">
        <v>250.857</v>
      </c>
      <c r="E17">
        <v>0</v>
      </c>
      <c r="F17">
        <v>-250.857</v>
      </c>
      <c r="G17">
        <v>250.857</v>
      </c>
      <c r="H17" t="s">
        <v>11</v>
      </c>
      <c r="I17" t="s">
        <v>12</v>
      </c>
    </row>
    <row r="18" spans="1:9" x14ac:dyDescent="0.25">
      <c r="A18">
        <v>2020</v>
      </c>
      <c r="B18" t="s">
        <v>21</v>
      </c>
      <c r="C18" t="s">
        <v>23</v>
      </c>
      <c r="D18">
        <v>179.05600000000001</v>
      </c>
      <c r="E18">
        <v>131.41900000000001</v>
      </c>
      <c r="F18">
        <v>-47.637</v>
      </c>
      <c r="G18">
        <v>310.47500000000002</v>
      </c>
      <c r="H18" t="s">
        <v>11</v>
      </c>
      <c r="I18" t="s">
        <v>12</v>
      </c>
    </row>
    <row r="19" spans="1:9" x14ac:dyDescent="0.25">
      <c r="A19">
        <v>2020</v>
      </c>
      <c r="B19" t="s">
        <v>21</v>
      </c>
      <c r="C19" t="s">
        <v>24</v>
      </c>
      <c r="D19">
        <v>0</v>
      </c>
      <c r="E19">
        <v>0</v>
      </c>
      <c r="F19">
        <v>0</v>
      </c>
      <c r="G19">
        <v>0</v>
      </c>
      <c r="H19" t="s">
        <v>11</v>
      </c>
      <c r="I19" t="s">
        <v>12</v>
      </c>
    </row>
    <row r="20" spans="1:9" x14ac:dyDescent="0.25">
      <c r="A20">
        <v>2020</v>
      </c>
      <c r="B20" t="s">
        <v>21</v>
      </c>
      <c r="C20" t="s">
        <v>25</v>
      </c>
      <c r="D20">
        <v>162.58600000000001</v>
      </c>
      <c r="E20">
        <v>0</v>
      </c>
      <c r="F20">
        <v>-162.58600000000001</v>
      </c>
      <c r="G20">
        <v>162.58600000000001</v>
      </c>
      <c r="H20" t="s">
        <v>11</v>
      </c>
      <c r="I20" t="s">
        <v>12</v>
      </c>
    </row>
    <row r="21" spans="1:9" x14ac:dyDescent="0.25">
      <c r="A21">
        <v>2020</v>
      </c>
      <c r="B21" t="s">
        <v>22</v>
      </c>
      <c r="C21" t="s">
        <v>23</v>
      </c>
      <c r="D21">
        <v>0</v>
      </c>
      <c r="E21">
        <v>256.11099999999999</v>
      </c>
      <c r="F21">
        <v>256.11099999999999</v>
      </c>
      <c r="G21">
        <v>256.11099999999999</v>
      </c>
      <c r="H21" t="s">
        <v>11</v>
      </c>
      <c r="I21" t="s">
        <v>12</v>
      </c>
    </row>
    <row r="22" spans="1:9" x14ac:dyDescent="0.25">
      <c r="A22">
        <v>2020</v>
      </c>
      <c r="B22" t="s">
        <v>22</v>
      </c>
      <c r="C22" t="s">
        <v>24</v>
      </c>
      <c r="D22">
        <v>0</v>
      </c>
      <c r="E22">
        <v>327.78699999999998</v>
      </c>
      <c r="F22">
        <v>327.78699999999998</v>
      </c>
      <c r="G22">
        <v>327.78699999999998</v>
      </c>
      <c r="H22" t="s">
        <v>11</v>
      </c>
      <c r="I22" t="s">
        <v>12</v>
      </c>
    </row>
    <row r="23" spans="1:9" x14ac:dyDescent="0.25">
      <c r="A23">
        <v>2020</v>
      </c>
      <c r="B23" t="s">
        <v>22</v>
      </c>
      <c r="C23" t="s">
        <v>25</v>
      </c>
      <c r="D23">
        <v>0</v>
      </c>
      <c r="E23">
        <v>89.641000000000005</v>
      </c>
      <c r="F23">
        <v>89.641000000000005</v>
      </c>
      <c r="G23">
        <v>89.641000000000005</v>
      </c>
      <c r="H23" t="s">
        <v>11</v>
      </c>
      <c r="I23" t="s">
        <v>12</v>
      </c>
    </row>
    <row r="24" spans="1:9" x14ac:dyDescent="0.25">
      <c r="A24">
        <v>2020</v>
      </c>
      <c r="B24" t="s">
        <v>23</v>
      </c>
      <c r="C24" t="s">
        <v>24</v>
      </c>
      <c r="D24">
        <v>0</v>
      </c>
      <c r="E24">
        <v>251.74799999999999</v>
      </c>
      <c r="F24">
        <v>251.74799999999999</v>
      </c>
      <c r="G24">
        <v>251.74799999999999</v>
      </c>
      <c r="H24" t="s">
        <v>11</v>
      </c>
      <c r="I24" t="s">
        <v>12</v>
      </c>
    </row>
    <row r="25" spans="1:9" x14ac:dyDescent="0.25">
      <c r="A25">
        <v>2020</v>
      </c>
      <c r="B25" t="s">
        <v>23</v>
      </c>
      <c r="C25" t="s">
        <v>25</v>
      </c>
      <c r="D25">
        <v>168.21600000000001</v>
      </c>
      <c r="E25">
        <v>27.228999999999999</v>
      </c>
      <c r="F25">
        <v>-140.98699999999999</v>
      </c>
      <c r="G25">
        <v>195.44399999999999</v>
      </c>
      <c r="H25" t="s">
        <v>11</v>
      </c>
      <c r="I25" t="s">
        <v>12</v>
      </c>
    </row>
    <row r="26" spans="1:9" x14ac:dyDescent="0.25">
      <c r="A26">
        <v>2020</v>
      </c>
      <c r="B26" t="s">
        <v>24</v>
      </c>
      <c r="C26" t="s">
        <v>25</v>
      </c>
      <c r="D26">
        <v>235.93799999999999</v>
      </c>
      <c r="E26">
        <v>0</v>
      </c>
      <c r="F26">
        <v>-235.93799999999999</v>
      </c>
      <c r="G26">
        <v>235.93799999999999</v>
      </c>
      <c r="H26" t="s">
        <v>11</v>
      </c>
      <c r="I26" t="s">
        <v>12</v>
      </c>
    </row>
    <row r="27" spans="1:9" x14ac:dyDescent="0.25">
      <c r="A27">
        <v>2020</v>
      </c>
      <c r="B27" t="s">
        <v>22</v>
      </c>
      <c r="C27" t="s">
        <v>26</v>
      </c>
      <c r="D27">
        <v>1084.6030000000001</v>
      </c>
      <c r="E27">
        <v>113.943</v>
      </c>
      <c r="F27">
        <v>-970.66</v>
      </c>
      <c r="G27">
        <v>1198.546</v>
      </c>
      <c r="H27" t="s">
        <v>11</v>
      </c>
      <c r="I27" t="s">
        <v>12</v>
      </c>
    </row>
    <row r="28" spans="1:9" x14ac:dyDescent="0.25">
      <c r="A28">
        <v>2021</v>
      </c>
      <c r="B28" t="s">
        <v>9</v>
      </c>
      <c r="C28" t="s">
        <v>10</v>
      </c>
      <c r="D28">
        <v>0</v>
      </c>
      <c r="E28">
        <v>0</v>
      </c>
      <c r="F28">
        <v>0</v>
      </c>
      <c r="G28">
        <v>0</v>
      </c>
      <c r="H28" t="s">
        <v>11</v>
      </c>
      <c r="I28" t="s">
        <v>12</v>
      </c>
    </row>
    <row r="29" spans="1:9" x14ac:dyDescent="0.25">
      <c r="A29">
        <v>2021</v>
      </c>
      <c r="B29" t="s">
        <v>9</v>
      </c>
      <c r="C29" t="s">
        <v>13</v>
      </c>
      <c r="D29">
        <v>44.174999999999997</v>
      </c>
      <c r="E29">
        <v>3795.181</v>
      </c>
      <c r="F29">
        <v>3751.0059999999999</v>
      </c>
      <c r="G29">
        <v>3839.3560000000002</v>
      </c>
      <c r="H29" t="s">
        <v>11</v>
      </c>
      <c r="I29" t="s">
        <v>12</v>
      </c>
    </row>
    <row r="30" spans="1:9" x14ac:dyDescent="0.25">
      <c r="A30">
        <v>2021</v>
      </c>
      <c r="B30" t="s">
        <v>9</v>
      </c>
      <c r="C30" t="s">
        <v>14</v>
      </c>
      <c r="D30">
        <v>0</v>
      </c>
      <c r="E30">
        <v>0</v>
      </c>
      <c r="F30">
        <v>0</v>
      </c>
      <c r="G30">
        <v>0</v>
      </c>
      <c r="H30" t="s">
        <v>11</v>
      </c>
      <c r="I30" t="s">
        <v>12</v>
      </c>
    </row>
    <row r="31" spans="1:9" x14ac:dyDescent="0.25">
      <c r="A31">
        <v>2021</v>
      </c>
      <c r="B31" t="s">
        <v>9</v>
      </c>
      <c r="C31" t="s">
        <v>15</v>
      </c>
      <c r="D31">
        <v>5663.33</v>
      </c>
      <c r="E31">
        <v>0</v>
      </c>
      <c r="F31">
        <v>-5663.33</v>
      </c>
      <c r="G31">
        <v>5663.33</v>
      </c>
      <c r="H31" t="s">
        <v>11</v>
      </c>
      <c r="I31" t="s">
        <v>12</v>
      </c>
    </row>
    <row r="32" spans="1:9" x14ac:dyDescent="0.25">
      <c r="A32">
        <v>2021</v>
      </c>
      <c r="B32" t="s">
        <v>9</v>
      </c>
      <c r="C32" t="s">
        <v>16</v>
      </c>
      <c r="D32">
        <v>640.77200000000005</v>
      </c>
      <c r="E32">
        <v>54.658999999999999</v>
      </c>
      <c r="F32">
        <v>-586.11400000000003</v>
      </c>
      <c r="G32">
        <v>695.43100000000004</v>
      </c>
      <c r="H32" t="s">
        <v>11</v>
      </c>
      <c r="I32" t="s">
        <v>12</v>
      </c>
    </row>
    <row r="33" spans="1:9" x14ac:dyDescent="0.25">
      <c r="A33">
        <v>2021</v>
      </c>
      <c r="B33" t="s">
        <v>13</v>
      </c>
      <c r="C33" t="s">
        <v>15</v>
      </c>
      <c r="D33">
        <v>16055.856</v>
      </c>
      <c r="E33">
        <v>0</v>
      </c>
      <c r="F33">
        <v>-16055.856</v>
      </c>
      <c r="G33">
        <v>16055.856</v>
      </c>
      <c r="H33" t="s">
        <v>11</v>
      </c>
      <c r="I33" t="s">
        <v>12</v>
      </c>
    </row>
    <row r="34" spans="1:9" x14ac:dyDescent="0.25">
      <c r="A34">
        <v>2021</v>
      </c>
      <c r="B34" t="s">
        <v>13</v>
      </c>
      <c r="C34" t="s">
        <v>16</v>
      </c>
      <c r="D34">
        <v>2203.808</v>
      </c>
      <c r="E34">
        <v>0</v>
      </c>
      <c r="F34">
        <v>-2203.808</v>
      </c>
      <c r="G34">
        <v>2203.808</v>
      </c>
      <c r="H34" t="s">
        <v>11</v>
      </c>
      <c r="I34" t="s">
        <v>12</v>
      </c>
    </row>
    <row r="35" spans="1:9" x14ac:dyDescent="0.25">
      <c r="A35">
        <v>2021</v>
      </c>
      <c r="B35" t="s">
        <v>14</v>
      </c>
      <c r="C35" t="s">
        <v>17</v>
      </c>
      <c r="D35">
        <v>0</v>
      </c>
      <c r="E35">
        <v>0</v>
      </c>
      <c r="F35">
        <v>0</v>
      </c>
      <c r="G35">
        <v>0</v>
      </c>
      <c r="H35" t="s">
        <v>11</v>
      </c>
      <c r="I35" t="s">
        <v>12</v>
      </c>
    </row>
    <row r="36" spans="1:9" x14ac:dyDescent="0.25">
      <c r="A36">
        <v>2021</v>
      </c>
      <c r="B36" t="s">
        <v>18</v>
      </c>
      <c r="C36" t="s">
        <v>19</v>
      </c>
      <c r="D36">
        <v>479.988</v>
      </c>
      <c r="E36">
        <v>363.803</v>
      </c>
      <c r="F36">
        <v>-116.185</v>
      </c>
      <c r="G36">
        <v>843.79</v>
      </c>
      <c r="H36" t="s">
        <v>11</v>
      </c>
      <c r="I36" t="s">
        <v>12</v>
      </c>
    </row>
    <row r="37" spans="1:9" x14ac:dyDescent="0.25">
      <c r="A37">
        <v>2021</v>
      </c>
      <c r="B37" t="s">
        <v>19</v>
      </c>
      <c r="C37" t="s">
        <v>17</v>
      </c>
      <c r="D37">
        <v>0</v>
      </c>
      <c r="E37">
        <v>43.576000000000001</v>
      </c>
      <c r="F37">
        <v>43.576000000000001</v>
      </c>
      <c r="G37">
        <v>43.576000000000001</v>
      </c>
      <c r="H37" t="s">
        <v>11</v>
      </c>
      <c r="I37" t="s">
        <v>12</v>
      </c>
    </row>
    <row r="38" spans="1:9" x14ac:dyDescent="0.25">
      <c r="A38">
        <v>2021</v>
      </c>
      <c r="B38" t="s">
        <v>20</v>
      </c>
      <c r="C38" t="s">
        <v>21</v>
      </c>
      <c r="D38">
        <v>0</v>
      </c>
      <c r="E38">
        <v>487.12</v>
      </c>
      <c r="F38">
        <v>487.12</v>
      </c>
      <c r="G38">
        <v>487.12</v>
      </c>
      <c r="H38" t="s">
        <v>11</v>
      </c>
      <c r="I38" t="s">
        <v>12</v>
      </c>
    </row>
    <row r="39" spans="1:9" x14ac:dyDescent="0.25">
      <c r="A39">
        <v>2021</v>
      </c>
      <c r="B39" t="s">
        <v>20</v>
      </c>
      <c r="C39" t="s">
        <v>22</v>
      </c>
      <c r="D39">
        <v>6.2939999999999996</v>
      </c>
      <c r="E39">
        <v>0</v>
      </c>
      <c r="F39">
        <v>-6.2939999999999996</v>
      </c>
      <c r="G39">
        <v>6.2939999999999996</v>
      </c>
      <c r="H39" t="s">
        <v>11</v>
      </c>
      <c r="I39" t="s">
        <v>12</v>
      </c>
    </row>
    <row r="40" spans="1:9" x14ac:dyDescent="0.25">
      <c r="A40">
        <v>2021</v>
      </c>
      <c r="B40" t="s">
        <v>20</v>
      </c>
      <c r="C40" t="s">
        <v>23</v>
      </c>
      <c r="D40">
        <v>0</v>
      </c>
      <c r="E40">
        <v>87.12</v>
      </c>
      <c r="F40">
        <v>87.12</v>
      </c>
      <c r="G40">
        <v>87.12</v>
      </c>
      <c r="H40" t="s">
        <v>11</v>
      </c>
      <c r="I40" t="s">
        <v>12</v>
      </c>
    </row>
    <row r="41" spans="1:9" x14ac:dyDescent="0.25">
      <c r="A41">
        <v>2021</v>
      </c>
      <c r="B41" t="s">
        <v>20</v>
      </c>
      <c r="C41" t="s">
        <v>24</v>
      </c>
      <c r="D41">
        <v>0</v>
      </c>
      <c r="E41">
        <v>371.70299999999997</v>
      </c>
      <c r="F41">
        <v>371.70299999999997</v>
      </c>
      <c r="G41">
        <v>371.70299999999997</v>
      </c>
      <c r="H41" t="s">
        <v>11</v>
      </c>
      <c r="I41" t="s">
        <v>12</v>
      </c>
    </row>
    <row r="42" spans="1:9" x14ac:dyDescent="0.25">
      <c r="A42">
        <v>2021</v>
      </c>
      <c r="B42" t="s">
        <v>20</v>
      </c>
      <c r="C42" t="s">
        <v>25</v>
      </c>
      <c r="D42">
        <v>0</v>
      </c>
      <c r="E42">
        <v>63.1</v>
      </c>
      <c r="F42">
        <v>63.1</v>
      </c>
      <c r="G42">
        <v>63.1</v>
      </c>
      <c r="H42" t="s">
        <v>11</v>
      </c>
      <c r="I42" t="s">
        <v>12</v>
      </c>
    </row>
    <row r="43" spans="1:9" x14ac:dyDescent="0.25">
      <c r="A43">
        <v>2021</v>
      </c>
      <c r="B43" t="s">
        <v>21</v>
      </c>
      <c r="C43" t="s">
        <v>22</v>
      </c>
      <c r="D43">
        <v>520.66800000000001</v>
      </c>
      <c r="E43">
        <v>0</v>
      </c>
      <c r="F43">
        <v>-520.66800000000001</v>
      </c>
      <c r="G43">
        <v>520.66800000000001</v>
      </c>
      <c r="H43" t="s">
        <v>11</v>
      </c>
      <c r="I43" t="s">
        <v>12</v>
      </c>
    </row>
    <row r="44" spans="1:9" x14ac:dyDescent="0.25">
      <c r="A44">
        <v>2021</v>
      </c>
      <c r="B44" t="s">
        <v>21</v>
      </c>
      <c r="C44" t="s">
        <v>23</v>
      </c>
      <c r="D44">
        <v>2.5489999999999999</v>
      </c>
      <c r="E44">
        <v>0</v>
      </c>
      <c r="F44">
        <v>-2.5489999999999999</v>
      </c>
      <c r="G44">
        <v>2.5489999999999999</v>
      </c>
      <c r="H44" t="s">
        <v>11</v>
      </c>
      <c r="I44" t="s">
        <v>12</v>
      </c>
    </row>
    <row r="45" spans="1:9" x14ac:dyDescent="0.25">
      <c r="A45">
        <v>2021</v>
      </c>
      <c r="B45" t="s">
        <v>21</v>
      </c>
      <c r="C45" t="s">
        <v>24</v>
      </c>
      <c r="D45">
        <v>0</v>
      </c>
      <c r="E45">
        <v>33.78</v>
      </c>
      <c r="F45">
        <v>33.78</v>
      </c>
      <c r="G45">
        <v>33.78</v>
      </c>
      <c r="H45" t="s">
        <v>11</v>
      </c>
      <c r="I45" t="s">
        <v>12</v>
      </c>
    </row>
    <row r="46" spans="1:9" x14ac:dyDescent="0.25">
      <c r="A46">
        <v>2021</v>
      </c>
      <c r="B46" t="s">
        <v>21</v>
      </c>
      <c r="C46" t="s">
        <v>25</v>
      </c>
      <c r="D46">
        <v>306.40800000000002</v>
      </c>
      <c r="E46">
        <v>0</v>
      </c>
      <c r="F46">
        <v>-306.40800000000002</v>
      </c>
      <c r="G46">
        <v>306.40800000000002</v>
      </c>
      <c r="H46" t="s">
        <v>11</v>
      </c>
      <c r="I46" t="s">
        <v>12</v>
      </c>
    </row>
    <row r="47" spans="1:9" x14ac:dyDescent="0.25">
      <c r="A47">
        <v>2021</v>
      </c>
      <c r="B47" t="s">
        <v>22</v>
      </c>
      <c r="C47" t="s">
        <v>23</v>
      </c>
      <c r="D47">
        <v>0</v>
      </c>
      <c r="E47">
        <v>117.363</v>
      </c>
      <c r="F47">
        <v>117.363</v>
      </c>
      <c r="G47">
        <v>117.363</v>
      </c>
      <c r="H47" t="s">
        <v>11</v>
      </c>
      <c r="I47" t="s">
        <v>12</v>
      </c>
    </row>
    <row r="48" spans="1:9" x14ac:dyDescent="0.25">
      <c r="A48">
        <v>2021</v>
      </c>
      <c r="B48" t="s">
        <v>22</v>
      </c>
      <c r="C48" t="s">
        <v>24</v>
      </c>
      <c r="D48">
        <v>0</v>
      </c>
      <c r="E48">
        <v>404.32499999999999</v>
      </c>
      <c r="F48">
        <v>404.32499999999999</v>
      </c>
      <c r="G48">
        <v>404.32499999999999</v>
      </c>
      <c r="H48" t="s">
        <v>11</v>
      </c>
      <c r="I48" t="s">
        <v>12</v>
      </c>
    </row>
    <row r="49" spans="1:9" x14ac:dyDescent="0.25">
      <c r="A49">
        <v>2021</v>
      </c>
      <c r="B49" t="s">
        <v>22</v>
      </c>
      <c r="C49" t="s">
        <v>25</v>
      </c>
      <c r="D49">
        <v>0</v>
      </c>
      <c r="E49">
        <v>0</v>
      </c>
      <c r="F49">
        <v>0</v>
      </c>
      <c r="G49">
        <v>0</v>
      </c>
      <c r="H49" t="s">
        <v>11</v>
      </c>
      <c r="I49" t="s">
        <v>12</v>
      </c>
    </row>
    <row r="50" spans="1:9" x14ac:dyDescent="0.25">
      <c r="A50">
        <v>2021</v>
      </c>
      <c r="B50" t="s">
        <v>23</v>
      </c>
      <c r="C50" t="s">
        <v>24</v>
      </c>
      <c r="D50">
        <v>0</v>
      </c>
      <c r="E50">
        <v>0</v>
      </c>
      <c r="F50">
        <v>0</v>
      </c>
      <c r="G50">
        <v>0</v>
      </c>
      <c r="H50" t="s">
        <v>11</v>
      </c>
      <c r="I50" t="s">
        <v>12</v>
      </c>
    </row>
    <row r="51" spans="1:9" x14ac:dyDescent="0.25">
      <c r="A51">
        <v>2021</v>
      </c>
      <c r="B51" t="s">
        <v>23</v>
      </c>
      <c r="C51" t="s">
        <v>25</v>
      </c>
      <c r="D51">
        <v>0</v>
      </c>
      <c r="E51">
        <v>0</v>
      </c>
      <c r="F51">
        <v>0</v>
      </c>
      <c r="G51">
        <v>0</v>
      </c>
      <c r="H51" t="s">
        <v>11</v>
      </c>
      <c r="I51" t="s">
        <v>12</v>
      </c>
    </row>
    <row r="52" spans="1:9" x14ac:dyDescent="0.25">
      <c r="A52">
        <v>2021</v>
      </c>
      <c r="B52" t="s">
        <v>24</v>
      </c>
      <c r="C52" t="s">
        <v>25</v>
      </c>
      <c r="D52">
        <v>195.392</v>
      </c>
      <c r="E52">
        <v>0</v>
      </c>
      <c r="F52">
        <v>-195.392</v>
      </c>
      <c r="G52">
        <v>195.392</v>
      </c>
      <c r="H52" t="s">
        <v>11</v>
      </c>
      <c r="I52" t="s">
        <v>12</v>
      </c>
    </row>
    <row r="53" spans="1:9" x14ac:dyDescent="0.25">
      <c r="A53">
        <v>2021</v>
      </c>
      <c r="B53" t="s">
        <v>22</v>
      </c>
      <c r="C53" t="s">
        <v>26</v>
      </c>
      <c r="D53">
        <v>1140.9390000000001</v>
      </c>
      <c r="E53">
        <v>67.102999999999994</v>
      </c>
      <c r="F53">
        <v>-1073.836</v>
      </c>
      <c r="G53">
        <v>1208.0419999999999</v>
      </c>
      <c r="H53" t="s">
        <v>11</v>
      </c>
      <c r="I53" t="s">
        <v>12</v>
      </c>
    </row>
    <row r="54" spans="1:9" x14ac:dyDescent="0.25">
      <c r="A54">
        <v>2022</v>
      </c>
      <c r="B54" t="s">
        <v>9</v>
      </c>
      <c r="C54" t="s">
        <v>10</v>
      </c>
      <c r="D54">
        <v>0</v>
      </c>
      <c r="E54">
        <v>0</v>
      </c>
      <c r="F54">
        <v>0</v>
      </c>
      <c r="G54">
        <v>0</v>
      </c>
      <c r="H54" t="s">
        <v>11</v>
      </c>
      <c r="I54" t="s">
        <v>12</v>
      </c>
    </row>
    <row r="55" spans="1:9" x14ac:dyDescent="0.25">
      <c r="A55">
        <v>2022</v>
      </c>
      <c r="B55" t="s">
        <v>9</v>
      </c>
      <c r="C55" t="s">
        <v>13</v>
      </c>
      <c r="D55">
        <v>3404.1060000000002</v>
      </c>
      <c r="E55">
        <v>31.181999999999999</v>
      </c>
      <c r="F55">
        <v>-3372.924</v>
      </c>
      <c r="G55">
        <v>3435.288</v>
      </c>
      <c r="H55" t="s">
        <v>11</v>
      </c>
      <c r="I55" t="s">
        <v>12</v>
      </c>
    </row>
    <row r="56" spans="1:9" x14ac:dyDescent="0.25">
      <c r="A56">
        <v>2022</v>
      </c>
      <c r="B56" t="s">
        <v>9</v>
      </c>
      <c r="C56" t="s">
        <v>14</v>
      </c>
      <c r="D56">
        <v>9.5850000000000009</v>
      </c>
      <c r="E56">
        <v>0</v>
      </c>
      <c r="F56">
        <v>-9.5850000000000009</v>
      </c>
      <c r="G56">
        <v>9.5850000000000009</v>
      </c>
      <c r="H56" t="s">
        <v>11</v>
      </c>
      <c r="I56" t="s">
        <v>12</v>
      </c>
    </row>
    <row r="57" spans="1:9" x14ac:dyDescent="0.25">
      <c r="A57">
        <v>2022</v>
      </c>
      <c r="B57" t="s">
        <v>9</v>
      </c>
      <c r="C57" t="s">
        <v>15</v>
      </c>
      <c r="D57">
        <v>9492.7649999999994</v>
      </c>
      <c r="E57">
        <v>0</v>
      </c>
      <c r="F57">
        <v>-9492.7649999999994</v>
      </c>
      <c r="G57">
        <v>9492.7649999999994</v>
      </c>
      <c r="H57" t="s">
        <v>11</v>
      </c>
      <c r="I57" t="s">
        <v>12</v>
      </c>
    </row>
    <row r="58" spans="1:9" x14ac:dyDescent="0.25">
      <c r="A58">
        <v>2022</v>
      </c>
      <c r="B58" t="s">
        <v>9</v>
      </c>
      <c r="C58" t="s">
        <v>16</v>
      </c>
      <c r="D58">
        <v>0</v>
      </c>
      <c r="E58">
        <v>0</v>
      </c>
      <c r="F58">
        <v>0</v>
      </c>
      <c r="G58">
        <v>0</v>
      </c>
      <c r="H58" t="s">
        <v>11</v>
      </c>
      <c r="I58" t="s">
        <v>12</v>
      </c>
    </row>
    <row r="59" spans="1:9" x14ac:dyDescent="0.25">
      <c r="A59">
        <v>2022</v>
      </c>
      <c r="B59" t="s">
        <v>13</v>
      </c>
      <c r="C59" t="s">
        <v>15</v>
      </c>
      <c r="D59">
        <v>14462.326999999999</v>
      </c>
      <c r="E59">
        <v>0</v>
      </c>
      <c r="F59">
        <v>-14462.326999999999</v>
      </c>
      <c r="G59">
        <v>14462.326999999999</v>
      </c>
      <c r="H59" t="s">
        <v>11</v>
      </c>
      <c r="I59" t="s">
        <v>12</v>
      </c>
    </row>
    <row r="60" spans="1:9" x14ac:dyDescent="0.25">
      <c r="A60">
        <v>2022</v>
      </c>
      <c r="B60" t="s">
        <v>13</v>
      </c>
      <c r="C60" t="s">
        <v>16</v>
      </c>
      <c r="D60">
        <v>1416.4749999999999</v>
      </c>
      <c r="E60">
        <v>83.733000000000004</v>
      </c>
      <c r="F60">
        <v>-1332.7429999999999</v>
      </c>
      <c r="G60">
        <v>1500.2080000000001</v>
      </c>
      <c r="H60" t="s">
        <v>11</v>
      </c>
      <c r="I60" t="s">
        <v>12</v>
      </c>
    </row>
    <row r="61" spans="1:9" x14ac:dyDescent="0.25">
      <c r="A61">
        <v>2022</v>
      </c>
      <c r="B61" t="s">
        <v>14</v>
      </c>
      <c r="C61" t="s">
        <v>17</v>
      </c>
      <c r="D61">
        <v>0.99299999999999999</v>
      </c>
      <c r="E61">
        <v>0</v>
      </c>
      <c r="F61">
        <v>-0.99299999999999999</v>
      </c>
      <c r="G61">
        <v>0.99299999999999999</v>
      </c>
      <c r="H61" t="s">
        <v>11</v>
      </c>
      <c r="I61" t="s">
        <v>12</v>
      </c>
    </row>
    <row r="62" spans="1:9" x14ac:dyDescent="0.25">
      <c r="A62">
        <v>2022</v>
      </c>
      <c r="B62" t="s">
        <v>18</v>
      </c>
      <c r="C62" t="s">
        <v>19</v>
      </c>
      <c r="D62">
        <v>159.44399999999999</v>
      </c>
      <c r="E62">
        <v>464.29700000000003</v>
      </c>
      <c r="F62">
        <v>304.85199999999998</v>
      </c>
      <c r="G62">
        <v>623.74099999999999</v>
      </c>
      <c r="H62" t="s">
        <v>11</v>
      </c>
      <c r="I62" t="s">
        <v>12</v>
      </c>
    </row>
    <row r="63" spans="1:9" x14ac:dyDescent="0.25">
      <c r="A63">
        <v>2022</v>
      </c>
      <c r="B63" t="s">
        <v>19</v>
      </c>
      <c r="C63" t="s">
        <v>17</v>
      </c>
      <c r="D63">
        <v>1.9950000000000001</v>
      </c>
      <c r="E63">
        <v>32.399000000000001</v>
      </c>
      <c r="F63">
        <v>30.402999999999999</v>
      </c>
      <c r="G63">
        <v>34.393999999999998</v>
      </c>
      <c r="H63" t="s">
        <v>11</v>
      </c>
      <c r="I63" t="s">
        <v>12</v>
      </c>
    </row>
    <row r="64" spans="1:9" x14ac:dyDescent="0.25">
      <c r="A64">
        <v>2022</v>
      </c>
      <c r="B64" t="s">
        <v>20</v>
      </c>
      <c r="C64" t="s">
        <v>21</v>
      </c>
      <c r="D64">
        <v>11.778</v>
      </c>
      <c r="E64">
        <v>272.10000000000002</v>
      </c>
      <c r="F64">
        <v>260.322</v>
      </c>
      <c r="G64">
        <v>283.87799999999999</v>
      </c>
      <c r="H64" t="s">
        <v>11</v>
      </c>
      <c r="I64" t="s">
        <v>12</v>
      </c>
    </row>
    <row r="65" spans="1:9" x14ac:dyDescent="0.25">
      <c r="A65">
        <v>2022</v>
      </c>
      <c r="B65" t="s">
        <v>20</v>
      </c>
      <c r="C65" t="s">
        <v>22</v>
      </c>
      <c r="D65">
        <v>42.454999999999998</v>
      </c>
      <c r="E65">
        <v>0</v>
      </c>
      <c r="F65">
        <v>-42.454999999999998</v>
      </c>
      <c r="G65">
        <v>42.454999999999998</v>
      </c>
      <c r="H65" t="s">
        <v>11</v>
      </c>
      <c r="I65" t="s">
        <v>12</v>
      </c>
    </row>
    <row r="66" spans="1:9" x14ac:dyDescent="0.25">
      <c r="A66">
        <v>2022</v>
      </c>
      <c r="B66" t="s">
        <v>20</v>
      </c>
      <c r="C66" t="s">
        <v>23</v>
      </c>
      <c r="D66">
        <v>0</v>
      </c>
      <c r="E66">
        <v>89.936000000000007</v>
      </c>
      <c r="F66">
        <v>89.936000000000007</v>
      </c>
      <c r="G66">
        <v>89.936000000000007</v>
      </c>
      <c r="H66" t="s">
        <v>11</v>
      </c>
      <c r="I66" t="s">
        <v>12</v>
      </c>
    </row>
    <row r="67" spans="1:9" x14ac:dyDescent="0.25">
      <c r="A67">
        <v>2022</v>
      </c>
      <c r="B67" t="s">
        <v>20</v>
      </c>
      <c r="C67" t="s">
        <v>24</v>
      </c>
      <c r="D67">
        <v>0</v>
      </c>
      <c r="E67">
        <v>308.26600000000002</v>
      </c>
      <c r="F67">
        <v>308.26600000000002</v>
      </c>
      <c r="G67">
        <v>308.26600000000002</v>
      </c>
      <c r="H67" t="s">
        <v>11</v>
      </c>
      <c r="I67" t="s">
        <v>12</v>
      </c>
    </row>
    <row r="68" spans="1:9" x14ac:dyDescent="0.25">
      <c r="A68">
        <v>2022</v>
      </c>
      <c r="B68" t="s">
        <v>20</v>
      </c>
      <c r="C68" t="s">
        <v>25</v>
      </c>
      <c r="D68">
        <v>0</v>
      </c>
      <c r="E68">
        <v>103.684</v>
      </c>
      <c r="F68">
        <v>103.684</v>
      </c>
      <c r="G68">
        <v>103.684</v>
      </c>
      <c r="H68" t="s">
        <v>11</v>
      </c>
      <c r="I68" t="s">
        <v>12</v>
      </c>
    </row>
    <row r="69" spans="1:9" x14ac:dyDescent="0.25">
      <c r="A69">
        <v>2022</v>
      </c>
      <c r="B69" t="s">
        <v>21</v>
      </c>
      <c r="C69" t="s">
        <v>22</v>
      </c>
      <c r="D69">
        <v>255.21600000000001</v>
      </c>
      <c r="E69">
        <v>0</v>
      </c>
      <c r="F69">
        <v>-255.21600000000001</v>
      </c>
      <c r="G69">
        <v>255.21600000000001</v>
      </c>
      <c r="H69" t="s">
        <v>11</v>
      </c>
      <c r="I69" t="s">
        <v>12</v>
      </c>
    </row>
    <row r="70" spans="1:9" x14ac:dyDescent="0.25">
      <c r="A70">
        <v>2022</v>
      </c>
      <c r="B70" t="s">
        <v>21</v>
      </c>
      <c r="C70" t="s">
        <v>23</v>
      </c>
      <c r="D70">
        <v>0</v>
      </c>
      <c r="E70">
        <v>34.985999999999997</v>
      </c>
      <c r="F70">
        <v>34.985999999999997</v>
      </c>
      <c r="G70">
        <v>34.985999999999997</v>
      </c>
      <c r="H70" t="s">
        <v>11</v>
      </c>
      <c r="I70" t="s">
        <v>12</v>
      </c>
    </row>
    <row r="71" spans="1:9" x14ac:dyDescent="0.25">
      <c r="A71">
        <v>2022</v>
      </c>
      <c r="B71" t="s">
        <v>21</v>
      </c>
      <c r="C71" t="s">
        <v>24</v>
      </c>
      <c r="D71">
        <v>0</v>
      </c>
      <c r="E71">
        <v>243.21799999999999</v>
      </c>
      <c r="F71">
        <v>243.21799999999999</v>
      </c>
      <c r="G71">
        <v>243.21799999999999</v>
      </c>
      <c r="H71" t="s">
        <v>11</v>
      </c>
      <c r="I71" t="s">
        <v>12</v>
      </c>
    </row>
    <row r="72" spans="1:9" x14ac:dyDescent="0.25">
      <c r="A72">
        <v>2022</v>
      </c>
      <c r="B72" t="s">
        <v>21</v>
      </c>
      <c r="C72" t="s">
        <v>25</v>
      </c>
      <c r="D72">
        <v>178.673</v>
      </c>
      <c r="E72">
        <v>48.274000000000001</v>
      </c>
      <c r="F72">
        <v>-130.399</v>
      </c>
      <c r="G72">
        <v>226.947</v>
      </c>
      <c r="H72" t="s">
        <v>11</v>
      </c>
      <c r="I72" t="s">
        <v>12</v>
      </c>
    </row>
    <row r="73" spans="1:9" x14ac:dyDescent="0.25">
      <c r="A73">
        <v>2022</v>
      </c>
      <c r="B73" t="s">
        <v>22</v>
      </c>
      <c r="C73" t="s">
        <v>23</v>
      </c>
      <c r="D73">
        <v>0</v>
      </c>
      <c r="E73">
        <v>68.546999999999997</v>
      </c>
      <c r="F73">
        <v>68.546999999999997</v>
      </c>
      <c r="G73">
        <v>68.546999999999997</v>
      </c>
      <c r="H73" t="s">
        <v>11</v>
      </c>
      <c r="I73" t="s">
        <v>12</v>
      </c>
    </row>
    <row r="74" spans="1:9" x14ac:dyDescent="0.25">
      <c r="A74">
        <v>2022</v>
      </c>
      <c r="B74" t="s">
        <v>22</v>
      </c>
      <c r="C74" t="s">
        <v>24</v>
      </c>
      <c r="D74">
        <v>0</v>
      </c>
      <c r="E74">
        <v>294.52300000000002</v>
      </c>
      <c r="F74">
        <v>294.52300000000002</v>
      </c>
      <c r="G74">
        <v>294.52300000000002</v>
      </c>
      <c r="H74" t="s">
        <v>11</v>
      </c>
      <c r="I74" t="s">
        <v>12</v>
      </c>
    </row>
    <row r="75" spans="1:9" x14ac:dyDescent="0.25">
      <c r="A75">
        <v>2022</v>
      </c>
      <c r="B75" t="s">
        <v>22</v>
      </c>
      <c r="C75" t="s">
        <v>25</v>
      </c>
      <c r="D75">
        <v>0</v>
      </c>
      <c r="E75">
        <v>82.641999999999996</v>
      </c>
      <c r="F75">
        <v>82.641999999999996</v>
      </c>
      <c r="G75">
        <v>82.641999999999996</v>
      </c>
      <c r="H75" t="s">
        <v>11</v>
      </c>
      <c r="I75" t="s">
        <v>12</v>
      </c>
    </row>
    <row r="76" spans="1:9" x14ac:dyDescent="0.25">
      <c r="A76">
        <v>2022</v>
      </c>
      <c r="B76" t="s">
        <v>23</v>
      </c>
      <c r="C76" t="s">
        <v>24</v>
      </c>
      <c r="D76">
        <v>0</v>
      </c>
      <c r="E76">
        <v>4.9950000000000001</v>
      </c>
      <c r="F76">
        <v>4.9950000000000001</v>
      </c>
      <c r="G76">
        <v>4.9950000000000001</v>
      </c>
      <c r="H76" t="s">
        <v>11</v>
      </c>
      <c r="I76" t="s">
        <v>12</v>
      </c>
    </row>
    <row r="77" spans="1:9" x14ac:dyDescent="0.25">
      <c r="A77">
        <v>2022</v>
      </c>
      <c r="B77" t="s">
        <v>23</v>
      </c>
      <c r="C77" t="s">
        <v>25</v>
      </c>
      <c r="D77">
        <v>1.7290000000000001</v>
      </c>
      <c r="E77">
        <v>0</v>
      </c>
      <c r="F77">
        <v>-1.7290000000000001</v>
      </c>
      <c r="G77">
        <v>1.7290000000000001</v>
      </c>
      <c r="H77" t="s">
        <v>11</v>
      </c>
      <c r="I77" t="s">
        <v>12</v>
      </c>
    </row>
    <row r="78" spans="1:9" x14ac:dyDescent="0.25">
      <c r="A78">
        <v>2022</v>
      </c>
      <c r="B78" t="s">
        <v>24</v>
      </c>
      <c r="C78" t="s">
        <v>25</v>
      </c>
      <c r="D78">
        <v>211.19800000000001</v>
      </c>
      <c r="E78">
        <v>0</v>
      </c>
      <c r="F78">
        <v>-211.19800000000001</v>
      </c>
      <c r="G78">
        <v>211.19800000000001</v>
      </c>
      <c r="H78" t="s">
        <v>11</v>
      </c>
      <c r="I78" t="s">
        <v>12</v>
      </c>
    </row>
    <row r="79" spans="1:9" x14ac:dyDescent="0.25">
      <c r="A79">
        <v>2022</v>
      </c>
      <c r="B79" t="s">
        <v>22</v>
      </c>
      <c r="C79" t="s">
        <v>26</v>
      </c>
      <c r="D79">
        <v>1480.7940000000001</v>
      </c>
      <c r="E79">
        <v>360.57100000000003</v>
      </c>
      <c r="F79">
        <v>-1120.223</v>
      </c>
      <c r="G79">
        <v>1841.365</v>
      </c>
      <c r="H79" t="s">
        <v>11</v>
      </c>
      <c r="I79" t="s">
        <v>12</v>
      </c>
    </row>
    <row r="80" spans="1:9" x14ac:dyDescent="0.25">
      <c r="A80">
        <v>2023</v>
      </c>
      <c r="B80" t="s">
        <v>9</v>
      </c>
      <c r="C80" t="s">
        <v>10</v>
      </c>
      <c r="D80">
        <v>74.334000000000003</v>
      </c>
      <c r="E80">
        <v>0</v>
      </c>
      <c r="F80">
        <v>-74.334000000000003</v>
      </c>
      <c r="G80">
        <v>74.334000000000003</v>
      </c>
      <c r="H80" t="s">
        <v>11</v>
      </c>
      <c r="I80" t="s">
        <v>12</v>
      </c>
    </row>
    <row r="81" spans="1:9" x14ac:dyDescent="0.25">
      <c r="A81">
        <v>2023</v>
      </c>
      <c r="B81" t="s">
        <v>9</v>
      </c>
      <c r="C81" t="s">
        <v>13</v>
      </c>
      <c r="D81">
        <v>3961.239</v>
      </c>
      <c r="E81">
        <v>83.474000000000004</v>
      </c>
      <c r="F81">
        <v>-3877.7649999999999</v>
      </c>
      <c r="G81">
        <v>4044.7130000000002</v>
      </c>
      <c r="H81" t="s">
        <v>11</v>
      </c>
      <c r="I81" t="s">
        <v>12</v>
      </c>
    </row>
    <row r="82" spans="1:9" x14ac:dyDescent="0.25">
      <c r="A82">
        <v>2023</v>
      </c>
      <c r="B82" t="s">
        <v>9</v>
      </c>
      <c r="C82" t="s">
        <v>14</v>
      </c>
      <c r="D82">
        <v>47.796999999999997</v>
      </c>
      <c r="E82">
        <v>9.5489999999999995</v>
      </c>
      <c r="F82">
        <v>-38.247999999999998</v>
      </c>
      <c r="G82">
        <v>57.345999999999997</v>
      </c>
      <c r="H82" t="s">
        <v>11</v>
      </c>
      <c r="I82" t="s">
        <v>12</v>
      </c>
    </row>
    <row r="83" spans="1:9" x14ac:dyDescent="0.25">
      <c r="A83">
        <v>2023</v>
      </c>
      <c r="B83" t="s">
        <v>9</v>
      </c>
      <c r="C83" t="s">
        <v>15</v>
      </c>
      <c r="D83">
        <v>11358.49</v>
      </c>
      <c r="E83">
        <v>0</v>
      </c>
      <c r="F83">
        <v>-11358.49</v>
      </c>
      <c r="G83">
        <v>11358.49</v>
      </c>
      <c r="H83" t="s">
        <v>11</v>
      </c>
      <c r="I83" t="s">
        <v>12</v>
      </c>
    </row>
    <row r="84" spans="1:9" x14ac:dyDescent="0.25">
      <c r="A84">
        <v>2023</v>
      </c>
      <c r="B84" t="s">
        <v>9</v>
      </c>
      <c r="C84" t="s">
        <v>16</v>
      </c>
      <c r="D84">
        <v>0</v>
      </c>
      <c r="E84">
        <v>0</v>
      </c>
      <c r="F84">
        <v>0</v>
      </c>
      <c r="G84">
        <v>0</v>
      </c>
      <c r="H84" t="s">
        <v>11</v>
      </c>
      <c r="I84" t="s">
        <v>12</v>
      </c>
    </row>
    <row r="85" spans="1:9" x14ac:dyDescent="0.25">
      <c r="A85">
        <v>2023</v>
      </c>
      <c r="B85" t="s">
        <v>13</v>
      </c>
      <c r="C85" t="s">
        <v>15</v>
      </c>
      <c r="D85">
        <v>19031.324000000001</v>
      </c>
      <c r="E85">
        <v>0</v>
      </c>
      <c r="F85">
        <v>-19031.324000000001</v>
      </c>
      <c r="G85">
        <v>19031.324000000001</v>
      </c>
      <c r="H85" t="s">
        <v>11</v>
      </c>
      <c r="I85" t="s">
        <v>12</v>
      </c>
    </row>
    <row r="86" spans="1:9" x14ac:dyDescent="0.25">
      <c r="A86">
        <v>2023</v>
      </c>
      <c r="B86" t="s">
        <v>13</v>
      </c>
      <c r="C86" t="s">
        <v>16</v>
      </c>
      <c r="D86">
        <v>244.22</v>
      </c>
      <c r="E86">
        <v>1397.8679999999999</v>
      </c>
      <c r="F86">
        <v>1153.6479999999999</v>
      </c>
      <c r="G86">
        <v>1642.088</v>
      </c>
      <c r="H86" t="s">
        <v>11</v>
      </c>
      <c r="I86" t="s">
        <v>12</v>
      </c>
    </row>
    <row r="87" spans="1:9" x14ac:dyDescent="0.25">
      <c r="A87">
        <v>2023</v>
      </c>
      <c r="B87" t="s">
        <v>14</v>
      </c>
      <c r="C87" t="s">
        <v>17</v>
      </c>
      <c r="D87">
        <v>0</v>
      </c>
      <c r="E87">
        <v>0</v>
      </c>
      <c r="F87">
        <v>0</v>
      </c>
      <c r="G87">
        <v>0</v>
      </c>
      <c r="H87" t="s">
        <v>11</v>
      </c>
      <c r="I87" t="s">
        <v>12</v>
      </c>
    </row>
    <row r="88" spans="1:9" x14ac:dyDescent="0.25">
      <c r="A88">
        <v>2023</v>
      </c>
      <c r="B88" t="s">
        <v>18</v>
      </c>
      <c r="C88" t="s">
        <v>19</v>
      </c>
      <c r="D88">
        <v>299.524</v>
      </c>
      <c r="E88">
        <v>816.34199999999998</v>
      </c>
      <c r="F88">
        <v>516.81799999999998</v>
      </c>
      <c r="G88">
        <v>1115.867</v>
      </c>
      <c r="H88" t="s">
        <v>11</v>
      </c>
      <c r="I88" t="s">
        <v>12</v>
      </c>
    </row>
    <row r="89" spans="1:9" x14ac:dyDescent="0.25">
      <c r="A89">
        <v>2023</v>
      </c>
      <c r="B89" t="s">
        <v>19</v>
      </c>
      <c r="C89" t="s">
        <v>17</v>
      </c>
      <c r="D89">
        <v>254.369</v>
      </c>
      <c r="E89">
        <v>139.26</v>
      </c>
      <c r="F89">
        <v>-115.10899999999999</v>
      </c>
      <c r="G89">
        <v>393.62900000000002</v>
      </c>
      <c r="H89" t="s">
        <v>11</v>
      </c>
      <c r="I89" t="s">
        <v>12</v>
      </c>
    </row>
    <row r="90" spans="1:9" x14ac:dyDescent="0.25">
      <c r="A90">
        <v>2023</v>
      </c>
      <c r="B90" t="s">
        <v>20</v>
      </c>
      <c r="C90" t="s">
        <v>21</v>
      </c>
      <c r="D90">
        <v>181.904</v>
      </c>
      <c r="E90">
        <v>0</v>
      </c>
      <c r="F90">
        <v>-181.904</v>
      </c>
      <c r="G90">
        <v>181.904</v>
      </c>
      <c r="H90" t="s">
        <v>11</v>
      </c>
      <c r="I90" t="s">
        <v>12</v>
      </c>
    </row>
    <row r="91" spans="1:9" x14ac:dyDescent="0.25">
      <c r="A91">
        <v>2023</v>
      </c>
      <c r="B91" t="s">
        <v>20</v>
      </c>
      <c r="C91" t="s">
        <v>22</v>
      </c>
      <c r="D91">
        <v>203.29900000000001</v>
      </c>
      <c r="E91">
        <v>0</v>
      </c>
      <c r="F91">
        <v>-203.29900000000001</v>
      </c>
      <c r="G91">
        <v>203.29900000000001</v>
      </c>
      <c r="H91" t="s">
        <v>11</v>
      </c>
      <c r="I91" t="s">
        <v>12</v>
      </c>
    </row>
    <row r="92" spans="1:9" x14ac:dyDescent="0.25">
      <c r="A92">
        <v>2023</v>
      </c>
      <c r="B92" t="s">
        <v>20</v>
      </c>
      <c r="C92" t="s">
        <v>23</v>
      </c>
      <c r="D92">
        <v>0</v>
      </c>
      <c r="E92">
        <v>0</v>
      </c>
      <c r="F92">
        <v>0</v>
      </c>
      <c r="G92">
        <v>0</v>
      </c>
      <c r="H92" t="s">
        <v>11</v>
      </c>
      <c r="I92" t="s">
        <v>12</v>
      </c>
    </row>
    <row r="93" spans="1:9" x14ac:dyDescent="0.25">
      <c r="A93">
        <v>2023</v>
      </c>
      <c r="B93" t="s">
        <v>20</v>
      </c>
      <c r="C93" t="s">
        <v>24</v>
      </c>
      <c r="D93">
        <v>0</v>
      </c>
      <c r="E93">
        <v>107.6</v>
      </c>
      <c r="F93">
        <v>107.6</v>
      </c>
      <c r="G93">
        <v>107.6</v>
      </c>
      <c r="H93" t="s">
        <v>11</v>
      </c>
      <c r="I93" t="s">
        <v>12</v>
      </c>
    </row>
    <row r="94" spans="1:9" x14ac:dyDescent="0.25">
      <c r="A94">
        <v>2023</v>
      </c>
      <c r="B94" t="s">
        <v>20</v>
      </c>
      <c r="C94" t="s">
        <v>25</v>
      </c>
      <c r="D94">
        <v>83.957999999999998</v>
      </c>
      <c r="E94">
        <v>0</v>
      </c>
      <c r="F94">
        <v>-83.957999999999998</v>
      </c>
      <c r="G94">
        <v>83.957999999999998</v>
      </c>
      <c r="H94" t="s">
        <v>11</v>
      </c>
      <c r="I94" t="s">
        <v>12</v>
      </c>
    </row>
    <row r="95" spans="1:9" x14ac:dyDescent="0.25">
      <c r="A95">
        <v>2023</v>
      </c>
      <c r="B95" t="s">
        <v>21</v>
      </c>
      <c r="C95" t="s">
        <v>22</v>
      </c>
      <c r="D95">
        <v>141.511</v>
      </c>
      <c r="E95">
        <v>0</v>
      </c>
      <c r="F95">
        <v>-141.511</v>
      </c>
      <c r="G95">
        <v>141.511</v>
      </c>
      <c r="H95" t="s">
        <v>11</v>
      </c>
      <c r="I95" t="s">
        <v>12</v>
      </c>
    </row>
    <row r="96" spans="1:9" x14ac:dyDescent="0.25">
      <c r="A96">
        <v>2023</v>
      </c>
      <c r="B96" t="s">
        <v>21</v>
      </c>
      <c r="C96" t="s">
        <v>23</v>
      </c>
      <c r="D96">
        <v>0</v>
      </c>
      <c r="E96">
        <v>65.361999999999995</v>
      </c>
      <c r="F96">
        <v>65.361999999999995</v>
      </c>
      <c r="G96">
        <v>65.361999999999995</v>
      </c>
      <c r="H96" t="s">
        <v>11</v>
      </c>
      <c r="I96" t="s">
        <v>12</v>
      </c>
    </row>
    <row r="97" spans="1:9" x14ac:dyDescent="0.25">
      <c r="A97">
        <v>2023</v>
      </c>
      <c r="B97" t="s">
        <v>21</v>
      </c>
      <c r="C97" t="s">
        <v>24</v>
      </c>
      <c r="D97">
        <v>0</v>
      </c>
      <c r="E97">
        <v>258.58</v>
      </c>
      <c r="F97">
        <v>258.58</v>
      </c>
      <c r="G97">
        <v>258.58</v>
      </c>
      <c r="H97" t="s">
        <v>11</v>
      </c>
      <c r="I97" t="s">
        <v>12</v>
      </c>
    </row>
    <row r="98" spans="1:9" x14ac:dyDescent="0.25">
      <c r="A98">
        <v>2023</v>
      </c>
      <c r="B98" t="s">
        <v>21</v>
      </c>
      <c r="C98" t="s">
        <v>25</v>
      </c>
      <c r="D98">
        <v>27.306999999999999</v>
      </c>
      <c r="E98">
        <v>54.406999999999996</v>
      </c>
      <c r="F98">
        <v>27.1</v>
      </c>
      <c r="G98">
        <v>81.715000000000003</v>
      </c>
      <c r="H98" t="s">
        <v>11</v>
      </c>
      <c r="I98" t="s">
        <v>12</v>
      </c>
    </row>
    <row r="99" spans="1:9" x14ac:dyDescent="0.25">
      <c r="A99">
        <v>2023</v>
      </c>
      <c r="B99" t="s">
        <v>22</v>
      </c>
      <c r="C99" t="s">
        <v>23</v>
      </c>
      <c r="D99">
        <v>0</v>
      </c>
      <c r="E99">
        <v>83.277000000000001</v>
      </c>
      <c r="F99">
        <v>83.277000000000001</v>
      </c>
      <c r="G99">
        <v>83.277000000000001</v>
      </c>
      <c r="H99" t="s">
        <v>11</v>
      </c>
      <c r="I99" t="s">
        <v>12</v>
      </c>
    </row>
    <row r="100" spans="1:9" x14ac:dyDescent="0.25">
      <c r="A100">
        <v>2023</v>
      </c>
      <c r="B100" t="s">
        <v>22</v>
      </c>
      <c r="C100" t="s">
        <v>24</v>
      </c>
      <c r="D100">
        <v>0</v>
      </c>
      <c r="E100">
        <v>283.75200000000001</v>
      </c>
      <c r="F100">
        <v>283.75200000000001</v>
      </c>
      <c r="G100">
        <v>283.75200000000001</v>
      </c>
      <c r="H100" t="s">
        <v>11</v>
      </c>
      <c r="I100" t="s">
        <v>12</v>
      </c>
    </row>
    <row r="101" spans="1:9" x14ac:dyDescent="0.25">
      <c r="A101">
        <v>2023</v>
      </c>
      <c r="B101" t="s">
        <v>22</v>
      </c>
      <c r="C101" t="s">
        <v>25</v>
      </c>
      <c r="D101">
        <v>0</v>
      </c>
      <c r="E101">
        <v>72.081999999999994</v>
      </c>
      <c r="F101">
        <v>72.081999999999994</v>
      </c>
      <c r="G101">
        <v>72.081999999999994</v>
      </c>
      <c r="H101" t="s">
        <v>11</v>
      </c>
      <c r="I101" t="s">
        <v>12</v>
      </c>
    </row>
    <row r="102" spans="1:9" x14ac:dyDescent="0.25">
      <c r="A102">
        <v>2023</v>
      </c>
      <c r="B102" t="s">
        <v>23</v>
      </c>
      <c r="C102" t="s">
        <v>24</v>
      </c>
      <c r="D102">
        <v>0</v>
      </c>
      <c r="E102">
        <v>8.8109999999999999</v>
      </c>
      <c r="F102">
        <v>8.8109999999999999</v>
      </c>
      <c r="G102">
        <v>8.8109999999999999</v>
      </c>
      <c r="H102" t="s">
        <v>11</v>
      </c>
      <c r="I102" t="s">
        <v>12</v>
      </c>
    </row>
    <row r="103" spans="1:9" x14ac:dyDescent="0.25">
      <c r="A103">
        <v>2023</v>
      </c>
      <c r="B103" t="s">
        <v>23</v>
      </c>
      <c r="C103" t="s">
        <v>25</v>
      </c>
      <c r="D103">
        <v>0</v>
      </c>
      <c r="E103">
        <v>0</v>
      </c>
      <c r="F103">
        <v>0</v>
      </c>
      <c r="G103">
        <v>0</v>
      </c>
      <c r="H103" t="s">
        <v>11</v>
      </c>
      <c r="I103" t="s">
        <v>12</v>
      </c>
    </row>
    <row r="104" spans="1:9" x14ac:dyDescent="0.25">
      <c r="A104">
        <v>2023</v>
      </c>
      <c r="B104" t="s">
        <v>24</v>
      </c>
      <c r="C104" t="s">
        <v>25</v>
      </c>
      <c r="D104">
        <v>158.45699999999999</v>
      </c>
      <c r="E104">
        <v>0</v>
      </c>
      <c r="F104">
        <v>-158.45699999999999</v>
      </c>
      <c r="G104">
        <v>158.45699999999999</v>
      </c>
      <c r="H104" t="s">
        <v>11</v>
      </c>
      <c r="I104" t="s">
        <v>12</v>
      </c>
    </row>
    <row r="105" spans="1:9" x14ac:dyDescent="0.25">
      <c r="A105">
        <v>2023</v>
      </c>
      <c r="B105" t="s">
        <v>22</v>
      </c>
      <c r="C105" t="s">
        <v>26</v>
      </c>
      <c r="D105">
        <v>1944.252</v>
      </c>
      <c r="E105">
        <v>280.334</v>
      </c>
      <c r="F105">
        <v>-1663.9179999999999</v>
      </c>
      <c r="G105">
        <v>2224.5859999999998</v>
      </c>
      <c r="H105" t="s">
        <v>11</v>
      </c>
      <c r="I105" t="s">
        <v>12</v>
      </c>
    </row>
    <row r="106" spans="1:9" x14ac:dyDescent="0.25">
      <c r="A106">
        <v>2024</v>
      </c>
      <c r="B106" t="s">
        <v>9</v>
      </c>
      <c r="C106" t="s">
        <v>10</v>
      </c>
      <c r="D106">
        <v>188.60499999999999</v>
      </c>
      <c r="E106">
        <v>0</v>
      </c>
      <c r="F106">
        <v>-188.60499999999999</v>
      </c>
      <c r="G106">
        <v>188.60499999999999</v>
      </c>
      <c r="H106" t="s">
        <v>11</v>
      </c>
      <c r="I106" t="s">
        <v>12</v>
      </c>
    </row>
    <row r="107" spans="1:9" x14ac:dyDescent="0.25">
      <c r="A107">
        <v>2024</v>
      </c>
      <c r="B107" t="s">
        <v>9</v>
      </c>
      <c r="C107" t="s">
        <v>13</v>
      </c>
      <c r="D107">
        <v>2503.0219999999999</v>
      </c>
      <c r="E107">
        <v>965.11599999999999</v>
      </c>
      <c r="F107">
        <v>-1537.9059999999999</v>
      </c>
      <c r="G107">
        <v>3468.1379999999999</v>
      </c>
      <c r="H107" t="s">
        <v>11</v>
      </c>
      <c r="I107" t="s">
        <v>12</v>
      </c>
    </row>
    <row r="108" spans="1:9" x14ac:dyDescent="0.25">
      <c r="A108">
        <v>2024</v>
      </c>
      <c r="B108" t="s">
        <v>9</v>
      </c>
      <c r="C108" t="s">
        <v>14</v>
      </c>
      <c r="D108">
        <v>0</v>
      </c>
      <c r="E108">
        <v>0</v>
      </c>
      <c r="F108">
        <v>0</v>
      </c>
      <c r="G108">
        <v>0</v>
      </c>
      <c r="H108" t="s">
        <v>11</v>
      </c>
      <c r="I108" t="s">
        <v>12</v>
      </c>
    </row>
    <row r="109" spans="1:9" x14ac:dyDescent="0.25">
      <c r="A109">
        <v>2024</v>
      </c>
      <c r="B109" t="s">
        <v>9</v>
      </c>
      <c r="C109" t="s">
        <v>15</v>
      </c>
      <c r="D109">
        <v>6793.527</v>
      </c>
      <c r="E109">
        <v>0</v>
      </c>
      <c r="F109">
        <v>-6793.527</v>
      </c>
      <c r="G109">
        <v>6793.527</v>
      </c>
      <c r="H109" t="s">
        <v>11</v>
      </c>
      <c r="I109" t="s">
        <v>12</v>
      </c>
    </row>
    <row r="110" spans="1:9" x14ac:dyDescent="0.25">
      <c r="A110">
        <v>2024</v>
      </c>
      <c r="B110" t="s">
        <v>9</v>
      </c>
      <c r="C110" t="s">
        <v>16</v>
      </c>
      <c r="D110">
        <v>654.38099999999997</v>
      </c>
      <c r="E110">
        <v>0</v>
      </c>
      <c r="F110">
        <v>-654.38099999999997</v>
      </c>
      <c r="G110">
        <v>654.38099999999997</v>
      </c>
      <c r="H110" t="s">
        <v>11</v>
      </c>
      <c r="I110" t="s">
        <v>12</v>
      </c>
    </row>
    <row r="111" spans="1:9" x14ac:dyDescent="0.25">
      <c r="A111">
        <v>2024</v>
      </c>
      <c r="B111" t="s">
        <v>13</v>
      </c>
      <c r="C111" t="s">
        <v>15</v>
      </c>
      <c r="D111">
        <v>9205.1209999999992</v>
      </c>
      <c r="E111">
        <v>0</v>
      </c>
      <c r="F111">
        <v>-9205.1209999999992</v>
      </c>
      <c r="G111">
        <v>9205.1209999999992</v>
      </c>
      <c r="H111" t="s">
        <v>11</v>
      </c>
      <c r="I111" t="s">
        <v>12</v>
      </c>
    </row>
    <row r="112" spans="1:9" x14ac:dyDescent="0.25">
      <c r="A112">
        <v>2024</v>
      </c>
      <c r="B112" t="s">
        <v>13</v>
      </c>
      <c r="C112" t="s">
        <v>16</v>
      </c>
      <c r="D112">
        <v>1372.644</v>
      </c>
      <c r="E112">
        <v>6.9779999999999998</v>
      </c>
      <c r="F112">
        <v>-1365.6659999999999</v>
      </c>
      <c r="G112">
        <v>1379.6220000000001</v>
      </c>
      <c r="H112" t="s">
        <v>11</v>
      </c>
      <c r="I112" t="s">
        <v>12</v>
      </c>
    </row>
    <row r="113" spans="1:9" x14ac:dyDescent="0.25">
      <c r="A113">
        <v>2024</v>
      </c>
      <c r="B113" t="s">
        <v>14</v>
      </c>
      <c r="C113" t="s">
        <v>17</v>
      </c>
      <c r="D113">
        <v>0</v>
      </c>
      <c r="E113">
        <v>0</v>
      </c>
      <c r="F113">
        <v>0</v>
      </c>
      <c r="G113">
        <v>0</v>
      </c>
      <c r="H113" t="s">
        <v>11</v>
      </c>
      <c r="I113" t="s">
        <v>12</v>
      </c>
    </row>
    <row r="114" spans="1:9" x14ac:dyDescent="0.25">
      <c r="A114">
        <v>2024</v>
      </c>
      <c r="B114" t="s">
        <v>18</v>
      </c>
      <c r="C114" t="s">
        <v>19</v>
      </c>
      <c r="D114">
        <v>45.545999999999999</v>
      </c>
      <c r="E114">
        <v>1336.1420000000001</v>
      </c>
      <c r="F114">
        <v>1290.596</v>
      </c>
      <c r="G114">
        <v>1381.6890000000001</v>
      </c>
      <c r="H114" t="s">
        <v>11</v>
      </c>
      <c r="I114" t="s">
        <v>12</v>
      </c>
    </row>
    <row r="115" spans="1:9" x14ac:dyDescent="0.25">
      <c r="A115">
        <v>2024</v>
      </c>
      <c r="B115" t="s">
        <v>19</v>
      </c>
      <c r="C115" t="s">
        <v>17</v>
      </c>
      <c r="D115">
        <v>0</v>
      </c>
      <c r="E115">
        <v>0.59599999999999997</v>
      </c>
      <c r="F115">
        <v>0.59599999999999997</v>
      </c>
      <c r="G115">
        <v>0.59599999999999997</v>
      </c>
      <c r="H115" t="s">
        <v>11</v>
      </c>
      <c r="I115" t="s">
        <v>12</v>
      </c>
    </row>
    <row r="116" spans="1:9" x14ac:dyDescent="0.25">
      <c r="A116">
        <v>2024</v>
      </c>
      <c r="B116" t="s">
        <v>20</v>
      </c>
      <c r="C116" t="s">
        <v>21</v>
      </c>
      <c r="D116">
        <v>227.75800000000001</v>
      </c>
      <c r="E116">
        <v>208.02</v>
      </c>
      <c r="F116">
        <v>-19.738</v>
      </c>
      <c r="G116">
        <v>435.77800000000002</v>
      </c>
      <c r="H116" t="s">
        <v>11</v>
      </c>
      <c r="I116" t="s">
        <v>12</v>
      </c>
    </row>
    <row r="117" spans="1:9" x14ac:dyDescent="0.25">
      <c r="A117">
        <v>2024</v>
      </c>
      <c r="B117" t="s">
        <v>20</v>
      </c>
      <c r="C117" t="s">
        <v>22</v>
      </c>
      <c r="D117">
        <v>427.08699999999999</v>
      </c>
      <c r="E117">
        <v>0</v>
      </c>
      <c r="F117">
        <v>-427.08699999999999</v>
      </c>
      <c r="G117">
        <v>427.08699999999999</v>
      </c>
      <c r="H117" t="s">
        <v>11</v>
      </c>
      <c r="I117" t="s">
        <v>12</v>
      </c>
    </row>
    <row r="118" spans="1:9" x14ac:dyDescent="0.25">
      <c r="A118">
        <v>2024</v>
      </c>
      <c r="B118" t="s">
        <v>20</v>
      </c>
      <c r="C118" t="s">
        <v>23</v>
      </c>
      <c r="D118">
        <v>14.78</v>
      </c>
      <c r="E118">
        <v>158.80000000000001</v>
      </c>
      <c r="F118">
        <v>144.02000000000001</v>
      </c>
      <c r="G118">
        <v>173.58</v>
      </c>
      <c r="H118" t="s">
        <v>11</v>
      </c>
      <c r="I118" t="s">
        <v>12</v>
      </c>
    </row>
    <row r="119" spans="1:9" x14ac:dyDescent="0.25">
      <c r="A119">
        <v>2024</v>
      </c>
      <c r="B119" t="s">
        <v>20</v>
      </c>
      <c r="C119" t="s">
        <v>24</v>
      </c>
      <c r="D119">
        <v>0</v>
      </c>
      <c r="E119">
        <v>422.75599999999997</v>
      </c>
      <c r="F119">
        <v>422.75599999999997</v>
      </c>
      <c r="G119">
        <v>422.75599999999997</v>
      </c>
      <c r="H119" t="s">
        <v>11</v>
      </c>
      <c r="I119" t="s">
        <v>12</v>
      </c>
    </row>
    <row r="120" spans="1:9" x14ac:dyDescent="0.25">
      <c r="A120">
        <v>2024</v>
      </c>
      <c r="B120" t="s">
        <v>20</v>
      </c>
      <c r="C120" t="s">
        <v>25</v>
      </c>
      <c r="D120">
        <v>398.80099999999999</v>
      </c>
      <c r="E120">
        <v>54.92</v>
      </c>
      <c r="F120">
        <v>-343.88099999999997</v>
      </c>
      <c r="G120">
        <v>453.721</v>
      </c>
      <c r="H120" t="s">
        <v>11</v>
      </c>
      <c r="I120" t="s">
        <v>12</v>
      </c>
    </row>
    <row r="121" spans="1:9" x14ac:dyDescent="0.25">
      <c r="A121">
        <v>2024</v>
      </c>
      <c r="B121" t="s">
        <v>21</v>
      </c>
      <c r="C121" t="s">
        <v>22</v>
      </c>
      <c r="D121">
        <v>1.903</v>
      </c>
      <c r="E121">
        <v>0</v>
      </c>
      <c r="F121">
        <v>-1.903</v>
      </c>
      <c r="G121">
        <v>1.903</v>
      </c>
      <c r="H121" t="s">
        <v>11</v>
      </c>
      <c r="I121" t="s">
        <v>12</v>
      </c>
    </row>
    <row r="122" spans="1:9" x14ac:dyDescent="0.25">
      <c r="A122">
        <v>2024</v>
      </c>
      <c r="B122" t="s">
        <v>21</v>
      </c>
      <c r="C122" t="s">
        <v>23</v>
      </c>
      <c r="D122">
        <v>0</v>
      </c>
      <c r="E122">
        <v>0</v>
      </c>
      <c r="F122">
        <v>0</v>
      </c>
      <c r="G122">
        <v>0</v>
      </c>
      <c r="H122" t="s">
        <v>11</v>
      </c>
      <c r="I122" t="s">
        <v>12</v>
      </c>
    </row>
    <row r="123" spans="1:9" x14ac:dyDescent="0.25">
      <c r="A123">
        <v>2024</v>
      </c>
      <c r="B123" t="s">
        <v>21</v>
      </c>
      <c r="C123" t="s">
        <v>24</v>
      </c>
      <c r="D123">
        <v>0</v>
      </c>
      <c r="E123">
        <v>25.797000000000001</v>
      </c>
      <c r="F123">
        <v>25.797000000000001</v>
      </c>
      <c r="G123">
        <v>25.797000000000001</v>
      </c>
      <c r="H123" t="s">
        <v>11</v>
      </c>
      <c r="I123" t="s">
        <v>12</v>
      </c>
    </row>
    <row r="124" spans="1:9" x14ac:dyDescent="0.25">
      <c r="A124">
        <v>2024</v>
      </c>
      <c r="B124" t="s">
        <v>21</v>
      </c>
      <c r="C124" t="s">
        <v>25</v>
      </c>
      <c r="D124">
        <v>0</v>
      </c>
      <c r="E124">
        <v>0</v>
      </c>
      <c r="F124">
        <v>0</v>
      </c>
      <c r="G124">
        <v>0</v>
      </c>
      <c r="H124" t="s">
        <v>11</v>
      </c>
      <c r="I124" t="s">
        <v>12</v>
      </c>
    </row>
    <row r="125" spans="1:9" x14ac:dyDescent="0.25">
      <c r="A125">
        <v>2024</v>
      </c>
      <c r="B125" t="s">
        <v>22</v>
      </c>
      <c r="C125" t="s">
        <v>23</v>
      </c>
      <c r="D125">
        <v>0</v>
      </c>
      <c r="E125">
        <v>0</v>
      </c>
      <c r="F125">
        <v>0</v>
      </c>
      <c r="G125">
        <v>0</v>
      </c>
      <c r="H125" t="s">
        <v>11</v>
      </c>
      <c r="I125" t="s">
        <v>12</v>
      </c>
    </row>
    <row r="126" spans="1:9" x14ac:dyDescent="0.25">
      <c r="A126">
        <v>2024</v>
      </c>
      <c r="B126" t="s">
        <v>22</v>
      </c>
      <c r="C126" t="s">
        <v>24</v>
      </c>
      <c r="D126">
        <v>0</v>
      </c>
      <c r="E126">
        <v>220.27799999999999</v>
      </c>
      <c r="F126">
        <v>220.27799999999999</v>
      </c>
      <c r="G126">
        <v>220.27799999999999</v>
      </c>
      <c r="H126" t="s">
        <v>11</v>
      </c>
      <c r="I126" t="s">
        <v>12</v>
      </c>
    </row>
    <row r="127" spans="1:9" x14ac:dyDescent="0.25">
      <c r="A127">
        <v>2024</v>
      </c>
      <c r="B127" t="s">
        <v>22</v>
      </c>
      <c r="C127" t="s">
        <v>25</v>
      </c>
      <c r="D127">
        <v>0</v>
      </c>
      <c r="E127">
        <v>0</v>
      </c>
      <c r="F127">
        <v>0</v>
      </c>
      <c r="G127">
        <v>0</v>
      </c>
      <c r="H127" t="s">
        <v>11</v>
      </c>
      <c r="I127" t="s">
        <v>12</v>
      </c>
    </row>
    <row r="128" spans="1:9" x14ac:dyDescent="0.25">
      <c r="A128">
        <v>2024</v>
      </c>
      <c r="B128" t="s">
        <v>23</v>
      </c>
      <c r="C128" t="s">
        <v>24</v>
      </c>
      <c r="D128">
        <v>0</v>
      </c>
      <c r="E128">
        <v>0</v>
      </c>
      <c r="F128">
        <v>0</v>
      </c>
      <c r="G128">
        <v>0</v>
      </c>
      <c r="H128" t="s">
        <v>11</v>
      </c>
      <c r="I128" t="s">
        <v>12</v>
      </c>
    </row>
    <row r="129" spans="1:9" x14ac:dyDescent="0.25">
      <c r="A129">
        <v>2024</v>
      </c>
      <c r="B129" t="s">
        <v>23</v>
      </c>
      <c r="C129" t="s">
        <v>25</v>
      </c>
      <c r="D129">
        <v>0</v>
      </c>
      <c r="E129">
        <v>0</v>
      </c>
      <c r="F129">
        <v>0</v>
      </c>
      <c r="G129">
        <v>0</v>
      </c>
      <c r="H129" t="s">
        <v>11</v>
      </c>
      <c r="I129" t="s">
        <v>12</v>
      </c>
    </row>
    <row r="130" spans="1:9" x14ac:dyDescent="0.25">
      <c r="A130">
        <v>2024</v>
      </c>
      <c r="B130" t="s">
        <v>24</v>
      </c>
      <c r="C130" t="s">
        <v>25</v>
      </c>
      <c r="D130">
        <v>194.708</v>
      </c>
      <c r="E130">
        <v>0</v>
      </c>
      <c r="F130">
        <v>-194.708</v>
      </c>
      <c r="G130">
        <v>194.708</v>
      </c>
      <c r="H130" t="s">
        <v>11</v>
      </c>
      <c r="I130" t="s">
        <v>12</v>
      </c>
    </row>
    <row r="131" spans="1:9" x14ac:dyDescent="0.25">
      <c r="A131">
        <v>2024</v>
      </c>
      <c r="B131" t="s">
        <v>22</v>
      </c>
      <c r="C131" t="s">
        <v>26</v>
      </c>
      <c r="D131">
        <v>1862.88</v>
      </c>
      <c r="E131">
        <v>377.101</v>
      </c>
      <c r="F131">
        <v>-1485.779</v>
      </c>
      <c r="G131">
        <v>2239.9810000000002</v>
      </c>
      <c r="H131" t="s">
        <v>11</v>
      </c>
      <c r="I131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157"/>
  <sheetViews>
    <sheetView workbookViewId="0">
      <selection activeCell="H80" sqref="H80:J132"/>
    </sheetView>
  </sheetViews>
  <sheetFormatPr defaultRowHeight="15" x14ac:dyDescent="0.25"/>
  <cols>
    <col min="1" max="1" width="8" customWidth="1"/>
    <col min="2" max="5" width="18" customWidth="1"/>
    <col min="6" max="6" width="20" hidden="1" customWidth="1"/>
    <col min="7" max="7" width="18" customWidth="1"/>
  </cols>
  <sheetData>
    <row r="1" spans="1:7" x14ac:dyDescent="0.25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6</v>
      </c>
    </row>
    <row r="2" spans="1:7" x14ac:dyDescent="0.25">
      <c r="A2">
        <v>2020</v>
      </c>
      <c r="B2" t="s">
        <v>9</v>
      </c>
      <c r="C2" t="s">
        <v>10</v>
      </c>
      <c r="D2">
        <v>0</v>
      </c>
      <c r="E2">
        <v>0</v>
      </c>
      <c r="F2">
        <v>0</v>
      </c>
      <c r="G2">
        <v>0</v>
      </c>
    </row>
    <row r="3" spans="1:7" hidden="1" x14ac:dyDescent="0.25">
      <c r="A3">
        <v>2020</v>
      </c>
      <c r="B3" t="s">
        <v>9</v>
      </c>
      <c r="C3" t="s">
        <v>13</v>
      </c>
      <c r="D3">
        <v>2790.2629999999999</v>
      </c>
      <c r="E3">
        <v>0</v>
      </c>
      <c r="F3">
        <v>2790.2629999999999</v>
      </c>
      <c r="G3">
        <v>2790.2629999999999</v>
      </c>
    </row>
    <row r="4" spans="1:7" hidden="1" x14ac:dyDescent="0.25">
      <c r="A4">
        <v>2020</v>
      </c>
      <c r="B4" t="s">
        <v>9</v>
      </c>
      <c r="C4" t="s">
        <v>14</v>
      </c>
      <c r="D4">
        <v>0</v>
      </c>
      <c r="E4">
        <v>0</v>
      </c>
      <c r="F4">
        <v>0</v>
      </c>
      <c r="G4">
        <v>0</v>
      </c>
    </row>
    <row r="5" spans="1:7" hidden="1" x14ac:dyDescent="0.25">
      <c r="A5">
        <v>2020</v>
      </c>
      <c r="B5" t="s">
        <v>9</v>
      </c>
      <c r="C5" t="s">
        <v>15</v>
      </c>
      <c r="D5">
        <v>0</v>
      </c>
      <c r="E5">
        <v>7800.2</v>
      </c>
      <c r="F5">
        <v>-7800.2</v>
      </c>
      <c r="G5">
        <v>7800.2</v>
      </c>
    </row>
    <row r="6" spans="1:7" hidden="1" x14ac:dyDescent="0.25">
      <c r="A6">
        <v>2020</v>
      </c>
      <c r="B6" t="s">
        <v>9</v>
      </c>
      <c r="C6" t="s">
        <v>16</v>
      </c>
      <c r="D6">
        <v>297.93700000000001</v>
      </c>
      <c r="E6">
        <v>0</v>
      </c>
      <c r="F6">
        <v>297.93700000000001</v>
      </c>
      <c r="G6">
        <v>297.93700000000001</v>
      </c>
    </row>
    <row r="7" spans="1:7" hidden="1" x14ac:dyDescent="0.25">
      <c r="A7">
        <v>2020</v>
      </c>
      <c r="B7" t="s">
        <v>13</v>
      </c>
      <c r="C7" t="s">
        <v>15</v>
      </c>
      <c r="D7">
        <v>0</v>
      </c>
      <c r="E7">
        <v>20204.598000000002</v>
      </c>
      <c r="F7">
        <v>-20204.598000000002</v>
      </c>
      <c r="G7">
        <v>20204.598000000002</v>
      </c>
    </row>
    <row r="8" spans="1:7" hidden="1" x14ac:dyDescent="0.25">
      <c r="A8">
        <v>2020</v>
      </c>
      <c r="B8" t="s">
        <v>13</v>
      </c>
      <c r="C8" t="s">
        <v>16</v>
      </c>
      <c r="D8">
        <v>216.08799999999999</v>
      </c>
      <c r="E8">
        <v>1147.8330000000001</v>
      </c>
      <c r="F8">
        <v>-931.745</v>
      </c>
      <c r="G8">
        <v>1363.921</v>
      </c>
    </row>
    <row r="9" spans="1:7" hidden="1" x14ac:dyDescent="0.25">
      <c r="A9">
        <v>2020</v>
      </c>
      <c r="B9" t="s">
        <v>14</v>
      </c>
      <c r="C9" t="s">
        <v>17</v>
      </c>
      <c r="D9">
        <v>0</v>
      </c>
      <c r="E9">
        <v>0</v>
      </c>
      <c r="F9">
        <v>0</v>
      </c>
      <c r="G9">
        <v>0</v>
      </c>
    </row>
    <row r="10" spans="1:7" hidden="1" x14ac:dyDescent="0.25">
      <c r="A10">
        <v>2020</v>
      </c>
      <c r="B10" t="s">
        <v>18</v>
      </c>
      <c r="C10" t="s">
        <v>19</v>
      </c>
      <c r="D10">
        <v>250.79499999999999</v>
      </c>
      <c r="E10">
        <v>1314.6020000000001</v>
      </c>
      <c r="F10">
        <v>-1063.807</v>
      </c>
      <c r="G10">
        <v>1565.3969999999999</v>
      </c>
    </row>
    <row r="11" spans="1:7" hidden="1" x14ac:dyDescent="0.25">
      <c r="A11">
        <v>2020</v>
      </c>
      <c r="B11" t="s">
        <v>19</v>
      </c>
      <c r="C11" t="s">
        <v>17</v>
      </c>
      <c r="D11">
        <v>13.012</v>
      </c>
      <c r="E11">
        <v>0</v>
      </c>
      <c r="F11">
        <v>13.012</v>
      </c>
      <c r="G11">
        <v>13.012</v>
      </c>
    </row>
    <row r="12" spans="1:7" hidden="1" x14ac:dyDescent="0.25">
      <c r="A12">
        <v>2020</v>
      </c>
      <c r="B12" t="s">
        <v>20</v>
      </c>
      <c r="C12" t="s">
        <v>24</v>
      </c>
      <c r="D12">
        <v>1190.617</v>
      </c>
      <c r="E12">
        <v>234.56100000000001</v>
      </c>
      <c r="F12">
        <v>956.05600000000004</v>
      </c>
      <c r="G12">
        <v>1425.1780000000001</v>
      </c>
    </row>
    <row r="13" spans="1:7" hidden="1" x14ac:dyDescent="0.25">
      <c r="A13">
        <v>2020</v>
      </c>
      <c r="B13" t="s">
        <v>20</v>
      </c>
      <c r="C13" t="s">
        <v>25</v>
      </c>
      <c r="D13">
        <v>116.87</v>
      </c>
      <c r="E13">
        <v>566.74</v>
      </c>
      <c r="F13">
        <v>-449.87</v>
      </c>
      <c r="G13">
        <v>683.61</v>
      </c>
    </row>
    <row r="14" spans="1:7" hidden="1" x14ac:dyDescent="0.25">
      <c r="A14">
        <v>2020</v>
      </c>
      <c r="B14" t="s">
        <v>22</v>
      </c>
      <c r="C14" t="s">
        <v>21</v>
      </c>
      <c r="D14">
        <v>250.857</v>
      </c>
      <c r="E14">
        <v>0</v>
      </c>
      <c r="F14">
        <v>250.857</v>
      </c>
      <c r="G14">
        <v>250.857</v>
      </c>
    </row>
    <row r="15" spans="1:7" hidden="1" x14ac:dyDescent="0.25">
      <c r="A15">
        <v>2020</v>
      </c>
      <c r="B15" t="s">
        <v>22</v>
      </c>
      <c r="C15" t="s">
        <v>23</v>
      </c>
      <c r="D15">
        <v>791.23</v>
      </c>
      <c r="E15">
        <v>0</v>
      </c>
      <c r="F15">
        <v>791.23</v>
      </c>
      <c r="G15">
        <v>791.23</v>
      </c>
    </row>
    <row r="16" spans="1:7" hidden="1" x14ac:dyDescent="0.25">
      <c r="A16">
        <v>2020</v>
      </c>
      <c r="B16" t="s">
        <v>23</v>
      </c>
      <c r="C16" t="s">
        <v>21</v>
      </c>
      <c r="D16">
        <v>523.16999999999996</v>
      </c>
      <c r="E16">
        <v>131.41900000000001</v>
      </c>
      <c r="F16">
        <v>391.75099999999998</v>
      </c>
      <c r="G16">
        <v>654.58900000000006</v>
      </c>
    </row>
    <row r="17" spans="1:7" hidden="1" x14ac:dyDescent="0.25">
      <c r="A17">
        <v>2020</v>
      </c>
      <c r="B17" t="s">
        <v>23</v>
      </c>
      <c r="C17" t="s">
        <v>24</v>
      </c>
      <c r="D17">
        <v>814.096</v>
      </c>
      <c r="E17">
        <v>699.452</v>
      </c>
      <c r="F17">
        <v>114.64400000000001</v>
      </c>
      <c r="G17">
        <v>1513.548</v>
      </c>
    </row>
    <row r="18" spans="1:7" hidden="1" x14ac:dyDescent="0.25">
      <c r="A18">
        <v>2020</v>
      </c>
      <c r="B18" t="s">
        <v>22</v>
      </c>
      <c r="C18" t="s">
        <v>26</v>
      </c>
      <c r="D18">
        <v>113.943</v>
      </c>
      <c r="E18">
        <v>1084.6030000000001</v>
      </c>
      <c r="F18">
        <v>-970.66</v>
      </c>
      <c r="G18">
        <v>1198.546</v>
      </c>
    </row>
    <row r="19" spans="1:7" hidden="1" x14ac:dyDescent="0.25">
      <c r="A19">
        <v>2020</v>
      </c>
      <c r="B19" t="s">
        <v>10</v>
      </c>
      <c r="C19" t="s">
        <v>13</v>
      </c>
      <c r="D19">
        <v>0</v>
      </c>
      <c r="E19">
        <v>0</v>
      </c>
      <c r="F19">
        <v>0</v>
      </c>
      <c r="G19">
        <v>0</v>
      </c>
    </row>
    <row r="20" spans="1:7" hidden="1" x14ac:dyDescent="0.25">
      <c r="A20">
        <v>2020</v>
      </c>
      <c r="B20" t="s">
        <v>10</v>
      </c>
      <c r="C20" t="s">
        <v>14</v>
      </c>
      <c r="D20">
        <v>0</v>
      </c>
      <c r="E20">
        <v>0</v>
      </c>
      <c r="F20">
        <v>0</v>
      </c>
      <c r="G20">
        <v>0</v>
      </c>
    </row>
    <row r="21" spans="1:7" hidden="1" x14ac:dyDescent="0.25">
      <c r="A21">
        <v>2020</v>
      </c>
      <c r="B21" t="s">
        <v>10</v>
      </c>
      <c r="C21" t="s">
        <v>15</v>
      </c>
      <c r="D21">
        <v>0</v>
      </c>
      <c r="E21">
        <v>0</v>
      </c>
      <c r="F21">
        <v>0</v>
      </c>
      <c r="G21">
        <v>0</v>
      </c>
    </row>
    <row r="22" spans="1:7" hidden="1" x14ac:dyDescent="0.25">
      <c r="A22">
        <v>2020</v>
      </c>
      <c r="B22" t="s">
        <v>10</v>
      </c>
      <c r="C22" t="s">
        <v>17</v>
      </c>
      <c r="D22">
        <v>0</v>
      </c>
      <c r="E22">
        <v>0</v>
      </c>
      <c r="F22">
        <v>0</v>
      </c>
      <c r="G22">
        <v>0</v>
      </c>
    </row>
    <row r="23" spans="1:7" hidden="1" x14ac:dyDescent="0.25">
      <c r="A23">
        <v>2020</v>
      </c>
      <c r="B23" t="s">
        <v>13</v>
      </c>
      <c r="C23" t="s">
        <v>18</v>
      </c>
      <c r="D23">
        <v>0</v>
      </c>
      <c r="E23">
        <v>0</v>
      </c>
      <c r="F23">
        <v>0</v>
      </c>
      <c r="G23">
        <v>0</v>
      </c>
    </row>
    <row r="24" spans="1:7" hidden="1" x14ac:dyDescent="0.25">
      <c r="A24">
        <v>2020</v>
      </c>
      <c r="B24" t="s">
        <v>13</v>
      </c>
      <c r="C24" t="s">
        <v>17</v>
      </c>
      <c r="D24">
        <v>0</v>
      </c>
      <c r="E24">
        <v>0</v>
      </c>
      <c r="F24">
        <v>0</v>
      </c>
      <c r="G24">
        <v>0</v>
      </c>
    </row>
    <row r="25" spans="1:7" hidden="1" x14ac:dyDescent="0.25">
      <c r="A25">
        <v>2020</v>
      </c>
      <c r="B25" t="s">
        <v>18</v>
      </c>
      <c r="C25" t="s">
        <v>25</v>
      </c>
      <c r="D25">
        <v>0</v>
      </c>
      <c r="E25">
        <v>0</v>
      </c>
      <c r="F25">
        <v>0</v>
      </c>
      <c r="G25">
        <v>0</v>
      </c>
    </row>
    <row r="26" spans="1:7" hidden="1" x14ac:dyDescent="0.25">
      <c r="A26">
        <v>2020</v>
      </c>
      <c r="B26" t="s">
        <v>18</v>
      </c>
      <c r="C26" t="s">
        <v>17</v>
      </c>
      <c r="D26">
        <v>0</v>
      </c>
      <c r="E26">
        <v>0</v>
      </c>
      <c r="F26">
        <v>0</v>
      </c>
      <c r="G26">
        <v>0</v>
      </c>
    </row>
    <row r="27" spans="1:7" hidden="1" x14ac:dyDescent="0.25">
      <c r="A27">
        <v>2020</v>
      </c>
      <c r="B27" t="s">
        <v>32</v>
      </c>
      <c r="C27" t="s">
        <v>33</v>
      </c>
      <c r="D27">
        <v>0</v>
      </c>
      <c r="E27">
        <v>0</v>
      </c>
      <c r="F27">
        <v>0</v>
      </c>
      <c r="G27">
        <v>0</v>
      </c>
    </row>
    <row r="28" spans="1:7" x14ac:dyDescent="0.25">
      <c r="A28">
        <v>2021</v>
      </c>
      <c r="B28" t="s">
        <v>9</v>
      </c>
      <c r="C28" t="s">
        <v>10</v>
      </c>
      <c r="D28">
        <v>0</v>
      </c>
      <c r="E28">
        <v>0</v>
      </c>
      <c r="F28">
        <v>0</v>
      </c>
      <c r="G28">
        <v>0</v>
      </c>
    </row>
    <row r="29" spans="1:7" hidden="1" x14ac:dyDescent="0.25">
      <c r="A29">
        <v>2021</v>
      </c>
      <c r="B29" t="s">
        <v>9</v>
      </c>
      <c r="C29" t="s">
        <v>13</v>
      </c>
      <c r="D29">
        <v>3795.181</v>
      </c>
      <c r="E29">
        <v>44.174999999999997</v>
      </c>
      <c r="F29">
        <v>3751.0059999999999</v>
      </c>
      <c r="G29">
        <v>3839.3560000000002</v>
      </c>
    </row>
    <row r="30" spans="1:7" hidden="1" x14ac:dyDescent="0.25">
      <c r="A30">
        <v>2021</v>
      </c>
      <c r="B30" t="s">
        <v>9</v>
      </c>
      <c r="C30" t="s">
        <v>14</v>
      </c>
      <c r="D30">
        <v>0</v>
      </c>
      <c r="E30">
        <v>0</v>
      </c>
      <c r="F30">
        <v>0</v>
      </c>
      <c r="G30">
        <v>0</v>
      </c>
    </row>
    <row r="31" spans="1:7" hidden="1" x14ac:dyDescent="0.25">
      <c r="A31">
        <v>2021</v>
      </c>
      <c r="B31" t="s">
        <v>9</v>
      </c>
      <c r="C31" t="s">
        <v>15</v>
      </c>
      <c r="D31">
        <v>0</v>
      </c>
      <c r="E31">
        <v>5663.33</v>
      </c>
      <c r="F31">
        <v>-5663.33</v>
      </c>
      <c r="G31">
        <v>5663.33</v>
      </c>
    </row>
    <row r="32" spans="1:7" hidden="1" x14ac:dyDescent="0.25">
      <c r="A32">
        <v>2021</v>
      </c>
      <c r="B32" t="s">
        <v>9</v>
      </c>
      <c r="C32" t="s">
        <v>16</v>
      </c>
      <c r="D32">
        <v>54.658999999999999</v>
      </c>
      <c r="E32">
        <v>640.77200000000005</v>
      </c>
      <c r="F32">
        <v>-586.11300000000006</v>
      </c>
      <c r="G32">
        <v>695.43100000000004</v>
      </c>
    </row>
    <row r="33" spans="1:7" hidden="1" x14ac:dyDescent="0.25">
      <c r="A33">
        <v>2021</v>
      </c>
      <c r="B33" t="s">
        <v>13</v>
      </c>
      <c r="C33" t="s">
        <v>15</v>
      </c>
      <c r="D33">
        <v>0</v>
      </c>
      <c r="E33">
        <v>16055.856</v>
      </c>
      <c r="F33">
        <v>-16055.856</v>
      </c>
      <c r="G33">
        <v>16055.856</v>
      </c>
    </row>
    <row r="34" spans="1:7" hidden="1" x14ac:dyDescent="0.25">
      <c r="A34">
        <v>2021</v>
      </c>
      <c r="B34" t="s">
        <v>13</v>
      </c>
      <c r="C34" t="s">
        <v>16</v>
      </c>
      <c r="D34">
        <v>0</v>
      </c>
      <c r="E34">
        <v>2203.808</v>
      </c>
      <c r="F34">
        <v>-2203.808</v>
      </c>
      <c r="G34">
        <v>2203.808</v>
      </c>
    </row>
    <row r="35" spans="1:7" hidden="1" x14ac:dyDescent="0.25">
      <c r="A35">
        <v>2021</v>
      </c>
      <c r="B35" t="s">
        <v>14</v>
      </c>
      <c r="C35" t="s">
        <v>17</v>
      </c>
      <c r="D35">
        <v>0</v>
      </c>
      <c r="E35">
        <v>0</v>
      </c>
      <c r="F35">
        <v>0</v>
      </c>
      <c r="G35">
        <v>0</v>
      </c>
    </row>
    <row r="36" spans="1:7" hidden="1" x14ac:dyDescent="0.25">
      <c r="A36">
        <v>2021</v>
      </c>
      <c r="B36" t="s">
        <v>18</v>
      </c>
      <c r="C36" t="s">
        <v>19</v>
      </c>
      <c r="D36">
        <v>363.803</v>
      </c>
      <c r="E36">
        <v>479.988</v>
      </c>
      <c r="F36">
        <v>-116.185</v>
      </c>
      <c r="G36">
        <v>843.79100000000005</v>
      </c>
    </row>
    <row r="37" spans="1:7" hidden="1" x14ac:dyDescent="0.25">
      <c r="A37">
        <v>2021</v>
      </c>
      <c r="B37" t="s">
        <v>19</v>
      </c>
      <c r="C37" t="s">
        <v>17</v>
      </c>
      <c r="D37">
        <v>43.576000000000001</v>
      </c>
      <c r="E37">
        <v>0</v>
      </c>
      <c r="F37">
        <v>43.576000000000001</v>
      </c>
      <c r="G37">
        <v>43.576000000000001</v>
      </c>
    </row>
    <row r="38" spans="1:7" hidden="1" x14ac:dyDescent="0.25">
      <c r="A38">
        <v>2021</v>
      </c>
      <c r="B38" t="s">
        <v>20</v>
      </c>
      <c r="C38" t="s">
        <v>24</v>
      </c>
      <c r="D38">
        <v>1447.7429999999999</v>
      </c>
      <c r="E38">
        <v>6.2939999999999996</v>
      </c>
      <c r="F38">
        <v>1441.4490000000001</v>
      </c>
      <c r="G38">
        <v>1454.037</v>
      </c>
    </row>
    <row r="39" spans="1:7" hidden="1" x14ac:dyDescent="0.25">
      <c r="A39">
        <v>2021</v>
      </c>
      <c r="B39" t="s">
        <v>20</v>
      </c>
      <c r="C39" t="s">
        <v>25</v>
      </c>
      <c r="D39">
        <v>63.1</v>
      </c>
      <c r="E39">
        <v>501.8</v>
      </c>
      <c r="F39">
        <v>-438.7</v>
      </c>
      <c r="G39">
        <v>564.9</v>
      </c>
    </row>
    <row r="40" spans="1:7" hidden="1" x14ac:dyDescent="0.25">
      <c r="A40">
        <v>2021</v>
      </c>
      <c r="B40" t="s">
        <v>22</v>
      </c>
      <c r="C40" t="s">
        <v>21</v>
      </c>
      <c r="D40">
        <v>520.66800000000001</v>
      </c>
      <c r="E40">
        <v>0</v>
      </c>
      <c r="F40">
        <v>520.66800000000001</v>
      </c>
      <c r="G40">
        <v>520.66800000000001</v>
      </c>
    </row>
    <row r="41" spans="1:7" hidden="1" x14ac:dyDescent="0.25">
      <c r="A41">
        <v>2021</v>
      </c>
      <c r="B41" t="s">
        <v>22</v>
      </c>
      <c r="C41" t="s">
        <v>23</v>
      </c>
      <c r="D41">
        <v>527.98199999999997</v>
      </c>
      <c r="E41">
        <v>0</v>
      </c>
      <c r="F41">
        <v>527.98199999999997</v>
      </c>
      <c r="G41">
        <v>527.98199999999997</v>
      </c>
    </row>
    <row r="42" spans="1:7" hidden="1" x14ac:dyDescent="0.25">
      <c r="A42">
        <v>2021</v>
      </c>
      <c r="B42" t="s">
        <v>23</v>
      </c>
      <c r="C42" t="s">
        <v>21</v>
      </c>
      <c r="D42">
        <v>796.077</v>
      </c>
      <c r="E42">
        <v>33.78</v>
      </c>
      <c r="F42">
        <v>762.29700000000003</v>
      </c>
      <c r="G42">
        <v>829.85699999999997</v>
      </c>
    </row>
    <row r="43" spans="1:7" hidden="1" x14ac:dyDescent="0.25">
      <c r="A43">
        <v>2021</v>
      </c>
      <c r="B43" t="s">
        <v>23</v>
      </c>
      <c r="C43" t="s">
        <v>24</v>
      </c>
      <c r="D43">
        <v>444.399</v>
      </c>
      <c r="E43">
        <v>880.64800000000002</v>
      </c>
      <c r="F43">
        <v>-436.24900000000002</v>
      </c>
      <c r="G43">
        <v>1325.047</v>
      </c>
    </row>
    <row r="44" spans="1:7" hidden="1" x14ac:dyDescent="0.25">
      <c r="A44">
        <v>2021</v>
      </c>
      <c r="B44" t="s">
        <v>22</v>
      </c>
      <c r="C44" t="s">
        <v>26</v>
      </c>
      <c r="D44">
        <v>67.102999999999994</v>
      </c>
      <c r="E44">
        <v>1140.9390000000001</v>
      </c>
      <c r="F44">
        <v>-1073.836</v>
      </c>
      <c r="G44">
        <v>1208.0419999999999</v>
      </c>
    </row>
    <row r="45" spans="1:7" hidden="1" x14ac:dyDescent="0.25">
      <c r="A45">
        <v>2021</v>
      </c>
      <c r="B45" t="s">
        <v>10</v>
      </c>
      <c r="C45" t="s">
        <v>13</v>
      </c>
      <c r="D45">
        <v>0</v>
      </c>
      <c r="E45">
        <v>0</v>
      </c>
      <c r="F45">
        <v>0</v>
      </c>
      <c r="G45">
        <v>0</v>
      </c>
    </row>
    <row r="46" spans="1:7" hidden="1" x14ac:dyDescent="0.25">
      <c r="A46">
        <v>2021</v>
      </c>
      <c r="B46" t="s">
        <v>10</v>
      </c>
      <c r="C46" t="s">
        <v>14</v>
      </c>
      <c r="D46">
        <v>0</v>
      </c>
      <c r="E46">
        <v>0</v>
      </c>
      <c r="F46">
        <v>0</v>
      </c>
      <c r="G46">
        <v>0</v>
      </c>
    </row>
    <row r="47" spans="1:7" hidden="1" x14ac:dyDescent="0.25">
      <c r="A47">
        <v>2021</v>
      </c>
      <c r="B47" t="s">
        <v>10</v>
      </c>
      <c r="C47" t="s">
        <v>15</v>
      </c>
      <c r="D47">
        <v>0</v>
      </c>
      <c r="E47">
        <v>0</v>
      </c>
      <c r="F47">
        <v>0</v>
      </c>
      <c r="G47">
        <v>0</v>
      </c>
    </row>
    <row r="48" spans="1:7" hidden="1" x14ac:dyDescent="0.25">
      <c r="A48">
        <v>2021</v>
      </c>
      <c r="B48" t="s">
        <v>10</v>
      </c>
      <c r="C48" t="s">
        <v>17</v>
      </c>
      <c r="D48">
        <v>0</v>
      </c>
      <c r="E48">
        <v>0</v>
      </c>
      <c r="F48">
        <v>0</v>
      </c>
      <c r="G48">
        <v>0</v>
      </c>
    </row>
    <row r="49" spans="1:7" hidden="1" x14ac:dyDescent="0.25">
      <c r="A49">
        <v>2021</v>
      </c>
      <c r="B49" t="s">
        <v>13</v>
      </c>
      <c r="C49" t="s">
        <v>18</v>
      </c>
      <c r="D49">
        <v>0</v>
      </c>
      <c r="E49">
        <v>0</v>
      </c>
      <c r="F49">
        <v>0</v>
      </c>
      <c r="G49">
        <v>0</v>
      </c>
    </row>
    <row r="50" spans="1:7" hidden="1" x14ac:dyDescent="0.25">
      <c r="A50">
        <v>2021</v>
      </c>
      <c r="B50" t="s">
        <v>13</v>
      </c>
      <c r="C50" t="s">
        <v>17</v>
      </c>
      <c r="D50">
        <v>0</v>
      </c>
      <c r="E50">
        <v>0</v>
      </c>
      <c r="F50">
        <v>0</v>
      </c>
      <c r="G50">
        <v>0</v>
      </c>
    </row>
    <row r="51" spans="1:7" hidden="1" x14ac:dyDescent="0.25">
      <c r="A51">
        <v>2021</v>
      </c>
      <c r="B51" t="s">
        <v>18</v>
      </c>
      <c r="C51" t="s">
        <v>25</v>
      </c>
      <c r="D51">
        <v>0</v>
      </c>
      <c r="E51">
        <v>0</v>
      </c>
      <c r="F51">
        <v>0</v>
      </c>
      <c r="G51">
        <v>0</v>
      </c>
    </row>
    <row r="52" spans="1:7" hidden="1" x14ac:dyDescent="0.25">
      <c r="A52">
        <v>2021</v>
      </c>
      <c r="B52" t="s">
        <v>18</v>
      </c>
      <c r="C52" t="s">
        <v>17</v>
      </c>
      <c r="D52">
        <v>0</v>
      </c>
      <c r="E52">
        <v>0</v>
      </c>
      <c r="F52">
        <v>0</v>
      </c>
      <c r="G52">
        <v>0</v>
      </c>
    </row>
    <row r="53" spans="1:7" hidden="1" x14ac:dyDescent="0.25">
      <c r="A53">
        <v>2021</v>
      </c>
      <c r="B53" t="s">
        <v>32</v>
      </c>
      <c r="C53" t="s">
        <v>33</v>
      </c>
      <c r="D53">
        <v>0</v>
      </c>
      <c r="E53">
        <v>0</v>
      </c>
      <c r="F53">
        <v>0</v>
      </c>
      <c r="G53">
        <v>0</v>
      </c>
    </row>
    <row r="54" spans="1:7" x14ac:dyDescent="0.25">
      <c r="A54">
        <v>2022</v>
      </c>
      <c r="B54" t="s">
        <v>9</v>
      </c>
      <c r="C54" t="s">
        <v>10</v>
      </c>
      <c r="D54">
        <v>0</v>
      </c>
      <c r="E54">
        <v>0</v>
      </c>
      <c r="F54">
        <v>0</v>
      </c>
      <c r="G54">
        <v>0</v>
      </c>
    </row>
    <row r="55" spans="1:7" hidden="1" x14ac:dyDescent="0.25">
      <c r="A55">
        <v>2022</v>
      </c>
      <c r="B55" t="s">
        <v>9</v>
      </c>
      <c r="C55" t="s">
        <v>13</v>
      </c>
      <c r="D55">
        <v>31.181999999999999</v>
      </c>
      <c r="E55">
        <v>3404.1060000000002</v>
      </c>
      <c r="F55">
        <v>-3372.924</v>
      </c>
      <c r="G55">
        <v>3435.288</v>
      </c>
    </row>
    <row r="56" spans="1:7" hidden="1" x14ac:dyDescent="0.25">
      <c r="A56">
        <v>2022</v>
      </c>
      <c r="B56" t="s">
        <v>9</v>
      </c>
      <c r="C56" t="s">
        <v>14</v>
      </c>
      <c r="D56">
        <v>0</v>
      </c>
      <c r="E56">
        <v>9.5850000000000009</v>
      </c>
      <c r="F56">
        <v>-9.5850000000000009</v>
      </c>
      <c r="G56">
        <v>9.5850000000000009</v>
      </c>
    </row>
    <row r="57" spans="1:7" hidden="1" x14ac:dyDescent="0.25">
      <c r="A57">
        <v>2022</v>
      </c>
      <c r="B57" t="s">
        <v>9</v>
      </c>
      <c r="C57" t="s">
        <v>15</v>
      </c>
      <c r="D57">
        <v>0</v>
      </c>
      <c r="E57">
        <v>9492.7649999999994</v>
      </c>
      <c r="F57">
        <v>-9492.7649999999994</v>
      </c>
      <c r="G57">
        <v>9492.7649999999994</v>
      </c>
    </row>
    <row r="58" spans="1:7" hidden="1" x14ac:dyDescent="0.25">
      <c r="A58">
        <v>2022</v>
      </c>
      <c r="B58" t="s">
        <v>9</v>
      </c>
      <c r="C58" t="s">
        <v>16</v>
      </c>
      <c r="D58">
        <v>0</v>
      </c>
      <c r="E58">
        <v>0</v>
      </c>
      <c r="F58">
        <v>0</v>
      </c>
      <c r="G58">
        <v>0</v>
      </c>
    </row>
    <row r="59" spans="1:7" hidden="1" x14ac:dyDescent="0.25">
      <c r="A59">
        <v>2022</v>
      </c>
      <c r="B59" t="s">
        <v>13</v>
      </c>
      <c r="C59" t="s">
        <v>15</v>
      </c>
      <c r="D59">
        <v>0</v>
      </c>
      <c r="E59">
        <v>14462.326999999999</v>
      </c>
      <c r="F59">
        <v>-14462.326999999999</v>
      </c>
      <c r="G59">
        <v>14462.326999999999</v>
      </c>
    </row>
    <row r="60" spans="1:7" hidden="1" x14ac:dyDescent="0.25">
      <c r="A60">
        <v>2022</v>
      </c>
      <c r="B60" t="s">
        <v>13</v>
      </c>
      <c r="C60" t="s">
        <v>16</v>
      </c>
      <c r="D60">
        <v>83.733000000000004</v>
      </c>
      <c r="E60">
        <v>1416.4749999999999</v>
      </c>
      <c r="F60">
        <v>-1332.742</v>
      </c>
      <c r="G60">
        <v>1500.2080000000001</v>
      </c>
    </row>
    <row r="61" spans="1:7" hidden="1" x14ac:dyDescent="0.25">
      <c r="A61">
        <v>2022</v>
      </c>
      <c r="B61" t="s">
        <v>14</v>
      </c>
      <c r="C61" t="s">
        <v>17</v>
      </c>
      <c r="D61">
        <v>0</v>
      </c>
      <c r="E61">
        <v>0.99299999999999999</v>
      </c>
      <c r="F61">
        <v>-0.99299999999999999</v>
      </c>
      <c r="G61">
        <v>0.99299999999999999</v>
      </c>
    </row>
    <row r="62" spans="1:7" hidden="1" x14ac:dyDescent="0.25">
      <c r="A62">
        <v>2022</v>
      </c>
      <c r="B62" t="s">
        <v>18</v>
      </c>
      <c r="C62" t="s">
        <v>19</v>
      </c>
      <c r="D62">
        <v>464.29700000000003</v>
      </c>
      <c r="E62">
        <v>159.44399999999999</v>
      </c>
      <c r="F62">
        <v>304.85300000000001</v>
      </c>
      <c r="G62">
        <v>623.74099999999999</v>
      </c>
    </row>
    <row r="63" spans="1:7" hidden="1" x14ac:dyDescent="0.25">
      <c r="A63">
        <v>2022</v>
      </c>
      <c r="B63" t="s">
        <v>19</v>
      </c>
      <c r="C63" t="s">
        <v>17</v>
      </c>
      <c r="D63">
        <v>32.399000000000001</v>
      </c>
      <c r="E63">
        <v>1.9950000000000001</v>
      </c>
      <c r="F63">
        <v>30.404</v>
      </c>
      <c r="G63">
        <v>34.393999999999998</v>
      </c>
    </row>
    <row r="64" spans="1:7" hidden="1" x14ac:dyDescent="0.25">
      <c r="A64">
        <v>2022</v>
      </c>
      <c r="B64" t="s">
        <v>20</v>
      </c>
      <c r="C64" t="s">
        <v>24</v>
      </c>
      <c r="D64">
        <v>1061.902</v>
      </c>
      <c r="E64">
        <v>185.149</v>
      </c>
      <c r="F64">
        <v>876.75300000000004</v>
      </c>
      <c r="G64">
        <v>1247.0509999999999</v>
      </c>
    </row>
    <row r="65" spans="1:7" hidden="1" x14ac:dyDescent="0.25">
      <c r="A65">
        <v>2022</v>
      </c>
      <c r="B65" t="s">
        <v>20</v>
      </c>
      <c r="C65" t="s">
        <v>25</v>
      </c>
      <c r="D65">
        <v>234.6</v>
      </c>
      <c r="E65">
        <v>391.6</v>
      </c>
      <c r="F65">
        <v>-157</v>
      </c>
      <c r="G65">
        <v>626.20000000000005</v>
      </c>
    </row>
    <row r="66" spans="1:7" hidden="1" x14ac:dyDescent="0.25">
      <c r="A66">
        <v>2022</v>
      </c>
      <c r="B66" t="s">
        <v>22</v>
      </c>
      <c r="C66" t="s">
        <v>21</v>
      </c>
      <c r="D66">
        <v>255.21600000000001</v>
      </c>
      <c r="E66">
        <v>0</v>
      </c>
      <c r="F66">
        <v>255.21600000000001</v>
      </c>
      <c r="G66">
        <v>255.21600000000001</v>
      </c>
    </row>
    <row r="67" spans="1:7" hidden="1" x14ac:dyDescent="0.25">
      <c r="A67">
        <v>2022</v>
      </c>
      <c r="B67" t="s">
        <v>22</v>
      </c>
      <c r="C67" t="s">
        <v>23</v>
      </c>
      <c r="D67">
        <v>488.16699999999997</v>
      </c>
      <c r="E67">
        <v>0</v>
      </c>
      <c r="F67">
        <v>488.16699999999997</v>
      </c>
      <c r="G67">
        <v>488.16699999999997</v>
      </c>
    </row>
    <row r="68" spans="1:7" hidden="1" x14ac:dyDescent="0.25">
      <c r="A68">
        <v>2022</v>
      </c>
      <c r="B68" t="s">
        <v>23</v>
      </c>
      <c r="C68" t="s">
        <v>21</v>
      </c>
      <c r="D68">
        <v>450.77300000000002</v>
      </c>
      <c r="E68">
        <v>338.25599999999997</v>
      </c>
      <c r="F68">
        <v>112.517</v>
      </c>
      <c r="G68">
        <v>789.029</v>
      </c>
    </row>
    <row r="69" spans="1:7" hidden="1" x14ac:dyDescent="0.25">
      <c r="A69">
        <v>2022</v>
      </c>
      <c r="B69" t="s">
        <v>23</v>
      </c>
      <c r="C69" t="s">
        <v>24</v>
      </c>
      <c r="D69">
        <v>727.88499999999999</v>
      </c>
      <c r="E69">
        <v>542.43799999999999</v>
      </c>
      <c r="F69">
        <v>185.447</v>
      </c>
      <c r="G69">
        <v>1270.3230000000001</v>
      </c>
    </row>
    <row r="70" spans="1:7" hidden="1" x14ac:dyDescent="0.25">
      <c r="A70">
        <v>2022</v>
      </c>
      <c r="B70" t="s">
        <v>22</v>
      </c>
      <c r="C70" t="s">
        <v>26</v>
      </c>
      <c r="D70">
        <v>360.57100000000003</v>
      </c>
      <c r="E70">
        <v>1480.7940000000001</v>
      </c>
      <c r="F70">
        <v>-1120.223</v>
      </c>
      <c r="G70">
        <v>1841.365</v>
      </c>
    </row>
    <row r="71" spans="1:7" hidden="1" x14ac:dyDescent="0.25">
      <c r="A71">
        <v>2022</v>
      </c>
      <c r="B71" t="s">
        <v>10</v>
      </c>
      <c r="C71" t="s">
        <v>13</v>
      </c>
      <c r="D71">
        <v>0</v>
      </c>
      <c r="E71">
        <v>0</v>
      </c>
      <c r="F71">
        <v>0</v>
      </c>
      <c r="G71">
        <v>0</v>
      </c>
    </row>
    <row r="72" spans="1:7" hidden="1" x14ac:dyDescent="0.25">
      <c r="A72">
        <v>2022</v>
      </c>
      <c r="B72" t="s">
        <v>10</v>
      </c>
      <c r="C72" t="s">
        <v>14</v>
      </c>
      <c r="D72">
        <v>0</v>
      </c>
      <c r="E72">
        <v>0</v>
      </c>
      <c r="F72">
        <v>0</v>
      </c>
      <c r="G72">
        <v>0</v>
      </c>
    </row>
    <row r="73" spans="1:7" hidden="1" x14ac:dyDescent="0.25">
      <c r="A73">
        <v>2022</v>
      </c>
      <c r="B73" t="s">
        <v>10</v>
      </c>
      <c r="C73" t="s">
        <v>15</v>
      </c>
      <c r="D73">
        <v>0</v>
      </c>
      <c r="E73">
        <v>0</v>
      </c>
      <c r="F73">
        <v>0</v>
      </c>
      <c r="G73">
        <v>0</v>
      </c>
    </row>
    <row r="74" spans="1:7" hidden="1" x14ac:dyDescent="0.25">
      <c r="A74">
        <v>2022</v>
      </c>
      <c r="B74" t="s">
        <v>10</v>
      </c>
      <c r="C74" t="s">
        <v>17</v>
      </c>
      <c r="D74">
        <v>0</v>
      </c>
      <c r="E74">
        <v>0</v>
      </c>
      <c r="F74">
        <v>0</v>
      </c>
      <c r="G74">
        <v>0</v>
      </c>
    </row>
    <row r="75" spans="1:7" hidden="1" x14ac:dyDescent="0.25">
      <c r="A75">
        <v>2022</v>
      </c>
      <c r="B75" t="s">
        <v>13</v>
      </c>
      <c r="C75" t="s">
        <v>18</v>
      </c>
      <c r="D75">
        <v>0</v>
      </c>
      <c r="E75">
        <v>0</v>
      </c>
      <c r="F75">
        <v>0</v>
      </c>
      <c r="G75">
        <v>0</v>
      </c>
    </row>
    <row r="76" spans="1:7" hidden="1" x14ac:dyDescent="0.25">
      <c r="A76">
        <v>2022</v>
      </c>
      <c r="B76" t="s">
        <v>13</v>
      </c>
      <c r="C76" t="s">
        <v>17</v>
      </c>
      <c r="D76">
        <v>0</v>
      </c>
      <c r="E76">
        <v>0</v>
      </c>
      <c r="F76">
        <v>0</v>
      </c>
      <c r="G76">
        <v>0</v>
      </c>
    </row>
    <row r="77" spans="1:7" hidden="1" x14ac:dyDescent="0.25">
      <c r="A77">
        <v>2022</v>
      </c>
      <c r="B77" t="s">
        <v>18</v>
      </c>
      <c r="C77" t="s">
        <v>25</v>
      </c>
      <c r="D77">
        <v>0</v>
      </c>
      <c r="E77">
        <v>0</v>
      </c>
      <c r="F77">
        <v>0</v>
      </c>
      <c r="G77">
        <v>0</v>
      </c>
    </row>
    <row r="78" spans="1:7" hidden="1" x14ac:dyDescent="0.25">
      <c r="A78">
        <v>2022</v>
      </c>
      <c r="B78" t="s">
        <v>18</v>
      </c>
      <c r="C78" t="s">
        <v>17</v>
      </c>
      <c r="D78">
        <v>0</v>
      </c>
      <c r="E78">
        <v>0</v>
      </c>
      <c r="F78">
        <v>0</v>
      </c>
      <c r="G78">
        <v>0</v>
      </c>
    </row>
    <row r="79" spans="1:7" hidden="1" x14ac:dyDescent="0.25">
      <c r="A79">
        <v>2022</v>
      </c>
      <c r="B79" t="s">
        <v>32</v>
      </c>
      <c r="C79" t="s">
        <v>33</v>
      </c>
      <c r="D79">
        <v>0</v>
      </c>
      <c r="E79">
        <v>0</v>
      </c>
      <c r="F79">
        <v>0</v>
      </c>
      <c r="G79">
        <v>0</v>
      </c>
    </row>
    <row r="80" spans="1:7" x14ac:dyDescent="0.25">
      <c r="A80">
        <v>2023</v>
      </c>
      <c r="B80" t="s">
        <v>9</v>
      </c>
      <c r="C80" t="s">
        <v>10</v>
      </c>
      <c r="D80">
        <v>0</v>
      </c>
      <c r="E80">
        <v>74.334000000000003</v>
      </c>
      <c r="F80">
        <v>-74.334000000000003</v>
      </c>
      <c r="G80">
        <v>74.334000000000003</v>
      </c>
    </row>
    <row r="81" spans="1:7" hidden="1" x14ac:dyDescent="0.25">
      <c r="A81">
        <v>2023</v>
      </c>
      <c r="B81" t="s">
        <v>9</v>
      </c>
      <c r="C81" t="s">
        <v>13</v>
      </c>
      <c r="D81">
        <v>83.474000000000004</v>
      </c>
      <c r="E81">
        <v>3961.239</v>
      </c>
      <c r="F81">
        <v>-3877.7649999999999</v>
      </c>
      <c r="G81">
        <v>4044.7130000000002</v>
      </c>
    </row>
    <row r="82" spans="1:7" hidden="1" x14ac:dyDescent="0.25">
      <c r="A82">
        <v>2023</v>
      </c>
      <c r="B82" t="s">
        <v>9</v>
      </c>
      <c r="C82" t="s">
        <v>14</v>
      </c>
      <c r="D82">
        <v>9.5489999999999995</v>
      </c>
      <c r="E82">
        <v>47.796999999999997</v>
      </c>
      <c r="F82">
        <v>-38.247999999999998</v>
      </c>
      <c r="G82">
        <v>57.345999999999997</v>
      </c>
    </row>
    <row r="83" spans="1:7" hidden="1" x14ac:dyDescent="0.25">
      <c r="A83">
        <v>2023</v>
      </c>
      <c r="B83" t="s">
        <v>9</v>
      </c>
      <c r="C83" t="s">
        <v>15</v>
      </c>
      <c r="D83">
        <v>0</v>
      </c>
      <c r="E83">
        <v>11358.49</v>
      </c>
      <c r="F83">
        <v>-11358.49</v>
      </c>
      <c r="G83">
        <v>11358.49</v>
      </c>
    </row>
    <row r="84" spans="1:7" hidden="1" x14ac:dyDescent="0.25">
      <c r="A84">
        <v>2023</v>
      </c>
      <c r="B84" t="s">
        <v>9</v>
      </c>
      <c r="C84" t="s">
        <v>16</v>
      </c>
      <c r="D84">
        <v>0</v>
      </c>
      <c r="E84">
        <v>0</v>
      </c>
      <c r="F84">
        <v>0</v>
      </c>
      <c r="G84">
        <v>0</v>
      </c>
    </row>
    <row r="85" spans="1:7" hidden="1" x14ac:dyDescent="0.25">
      <c r="A85">
        <v>2023</v>
      </c>
      <c r="B85" t="s">
        <v>13</v>
      </c>
      <c r="C85" t="s">
        <v>15</v>
      </c>
      <c r="D85">
        <v>0</v>
      </c>
      <c r="E85">
        <v>19031.324000000001</v>
      </c>
      <c r="F85">
        <v>-19031.324000000001</v>
      </c>
      <c r="G85">
        <v>19031.324000000001</v>
      </c>
    </row>
    <row r="86" spans="1:7" hidden="1" x14ac:dyDescent="0.25">
      <c r="A86">
        <v>2023</v>
      </c>
      <c r="B86" t="s">
        <v>13</v>
      </c>
      <c r="C86" t="s">
        <v>16</v>
      </c>
      <c r="D86">
        <v>1397.8679999999999</v>
      </c>
      <c r="E86">
        <v>244.22</v>
      </c>
      <c r="F86">
        <v>1153.6479999999999</v>
      </c>
      <c r="G86">
        <v>1642.088</v>
      </c>
    </row>
    <row r="87" spans="1:7" hidden="1" x14ac:dyDescent="0.25">
      <c r="A87">
        <v>2023</v>
      </c>
      <c r="B87" t="s">
        <v>14</v>
      </c>
      <c r="C87" t="s">
        <v>17</v>
      </c>
      <c r="D87">
        <v>0</v>
      </c>
      <c r="E87">
        <v>0</v>
      </c>
      <c r="F87">
        <v>0</v>
      </c>
      <c r="G87">
        <v>0</v>
      </c>
    </row>
    <row r="88" spans="1:7" hidden="1" x14ac:dyDescent="0.25">
      <c r="A88">
        <v>2023</v>
      </c>
      <c r="B88" t="s">
        <v>18</v>
      </c>
      <c r="C88" t="s">
        <v>19</v>
      </c>
      <c r="D88">
        <v>816.34199999999998</v>
      </c>
      <c r="E88">
        <v>299.524</v>
      </c>
      <c r="F88">
        <v>516.81799999999998</v>
      </c>
      <c r="G88">
        <v>1115.866</v>
      </c>
    </row>
    <row r="89" spans="1:7" hidden="1" x14ac:dyDescent="0.25">
      <c r="A89">
        <v>2023</v>
      </c>
      <c r="B89" t="s">
        <v>19</v>
      </c>
      <c r="C89" t="s">
        <v>17</v>
      </c>
      <c r="D89">
        <v>139.26</v>
      </c>
      <c r="E89">
        <v>254.369</v>
      </c>
      <c r="F89">
        <v>-115.10899999999999</v>
      </c>
      <c r="G89">
        <v>393.62900000000002</v>
      </c>
    </row>
    <row r="90" spans="1:7" hidden="1" x14ac:dyDescent="0.25">
      <c r="A90">
        <v>2023</v>
      </c>
      <c r="B90" t="s">
        <v>20</v>
      </c>
      <c r="C90" t="s">
        <v>24</v>
      </c>
      <c r="D90">
        <v>293.36399999999998</v>
      </c>
      <c r="E90">
        <v>511.69200000000001</v>
      </c>
      <c r="F90">
        <v>-218.328</v>
      </c>
      <c r="G90">
        <v>805.05600000000004</v>
      </c>
    </row>
    <row r="91" spans="1:7" hidden="1" x14ac:dyDescent="0.25">
      <c r="A91">
        <v>2023</v>
      </c>
      <c r="B91" t="s">
        <v>20</v>
      </c>
      <c r="C91" t="s">
        <v>25</v>
      </c>
      <c r="D91">
        <v>126.489</v>
      </c>
      <c r="E91">
        <v>269.72199999999998</v>
      </c>
      <c r="F91">
        <v>-143.233</v>
      </c>
      <c r="G91">
        <v>396.21100000000001</v>
      </c>
    </row>
    <row r="92" spans="1:7" hidden="1" x14ac:dyDescent="0.25">
      <c r="A92">
        <v>2023</v>
      </c>
      <c r="B92" t="s">
        <v>22</v>
      </c>
      <c r="C92" t="s">
        <v>21</v>
      </c>
      <c r="D92">
        <v>141.511</v>
      </c>
      <c r="E92">
        <v>0</v>
      </c>
      <c r="F92">
        <v>141.511</v>
      </c>
      <c r="G92">
        <v>141.511</v>
      </c>
    </row>
    <row r="93" spans="1:7" hidden="1" x14ac:dyDescent="0.25">
      <c r="A93">
        <v>2023</v>
      </c>
      <c r="B93" t="s">
        <v>22</v>
      </c>
      <c r="C93" t="s">
        <v>23</v>
      </c>
      <c r="D93">
        <v>642.41</v>
      </c>
      <c r="E93">
        <v>0</v>
      </c>
      <c r="F93">
        <v>642.41</v>
      </c>
      <c r="G93">
        <v>642.41</v>
      </c>
    </row>
    <row r="94" spans="1:7" hidden="1" x14ac:dyDescent="0.25">
      <c r="A94">
        <v>2023</v>
      </c>
      <c r="B94" t="s">
        <v>23</v>
      </c>
      <c r="C94" t="s">
        <v>21</v>
      </c>
      <c r="D94">
        <v>27.306999999999999</v>
      </c>
      <c r="E94">
        <v>560.25300000000004</v>
      </c>
      <c r="F94">
        <v>-532.94600000000003</v>
      </c>
      <c r="G94">
        <v>587.55999999999995</v>
      </c>
    </row>
    <row r="95" spans="1:7" hidden="1" x14ac:dyDescent="0.25">
      <c r="A95">
        <v>2023</v>
      </c>
      <c r="B95" t="s">
        <v>23</v>
      </c>
      <c r="C95" t="s">
        <v>24</v>
      </c>
      <c r="D95">
        <v>1062.835</v>
      </c>
      <c r="E95">
        <v>27.306999999999999</v>
      </c>
      <c r="F95">
        <v>1035.528</v>
      </c>
      <c r="G95">
        <v>1090.1420000000001</v>
      </c>
    </row>
    <row r="96" spans="1:7" hidden="1" x14ac:dyDescent="0.25">
      <c r="A96">
        <v>2023</v>
      </c>
      <c r="B96" t="s">
        <v>22</v>
      </c>
      <c r="C96" t="s">
        <v>26</v>
      </c>
      <c r="D96">
        <v>280.334</v>
      </c>
      <c r="E96">
        <v>1944.252</v>
      </c>
      <c r="F96">
        <v>-1663.9179999999999</v>
      </c>
      <c r="G96">
        <v>2224.5859999999998</v>
      </c>
    </row>
    <row r="97" spans="1:7" hidden="1" x14ac:dyDescent="0.25">
      <c r="A97">
        <v>2023</v>
      </c>
      <c r="B97" t="s">
        <v>10</v>
      </c>
      <c r="C97" t="s">
        <v>13</v>
      </c>
      <c r="D97">
        <v>0</v>
      </c>
      <c r="E97">
        <v>0</v>
      </c>
      <c r="F97">
        <v>0</v>
      </c>
      <c r="G97">
        <v>0</v>
      </c>
    </row>
    <row r="98" spans="1:7" hidden="1" x14ac:dyDescent="0.25">
      <c r="A98">
        <v>2023</v>
      </c>
      <c r="B98" t="s">
        <v>10</v>
      </c>
      <c r="C98" t="s">
        <v>14</v>
      </c>
      <c r="D98">
        <v>0</v>
      </c>
      <c r="E98">
        <v>0</v>
      </c>
      <c r="F98">
        <v>0</v>
      </c>
      <c r="G98">
        <v>0</v>
      </c>
    </row>
    <row r="99" spans="1:7" hidden="1" x14ac:dyDescent="0.25">
      <c r="A99">
        <v>2023</v>
      </c>
      <c r="B99" t="s">
        <v>10</v>
      </c>
      <c r="C99" t="s">
        <v>15</v>
      </c>
      <c r="D99">
        <v>0</v>
      </c>
      <c r="E99">
        <v>0</v>
      </c>
      <c r="F99">
        <v>0</v>
      </c>
      <c r="G99">
        <v>0</v>
      </c>
    </row>
    <row r="100" spans="1:7" hidden="1" x14ac:dyDescent="0.25">
      <c r="A100">
        <v>2023</v>
      </c>
      <c r="B100" t="s">
        <v>10</v>
      </c>
      <c r="C100" t="s">
        <v>17</v>
      </c>
      <c r="D100">
        <v>0</v>
      </c>
      <c r="E100">
        <v>0</v>
      </c>
      <c r="F100">
        <v>0</v>
      </c>
      <c r="G100">
        <v>0</v>
      </c>
    </row>
    <row r="101" spans="1:7" hidden="1" x14ac:dyDescent="0.25">
      <c r="A101">
        <v>2023</v>
      </c>
      <c r="B101" t="s">
        <v>13</v>
      </c>
      <c r="C101" t="s">
        <v>18</v>
      </c>
      <c r="D101">
        <v>0</v>
      </c>
      <c r="E101">
        <v>0</v>
      </c>
      <c r="F101">
        <v>0</v>
      </c>
      <c r="G101">
        <v>0</v>
      </c>
    </row>
    <row r="102" spans="1:7" hidden="1" x14ac:dyDescent="0.25">
      <c r="A102">
        <v>2023</v>
      </c>
      <c r="B102" t="s">
        <v>13</v>
      </c>
      <c r="C102" t="s">
        <v>17</v>
      </c>
      <c r="D102">
        <v>0</v>
      </c>
      <c r="E102">
        <v>0</v>
      </c>
      <c r="F102">
        <v>0</v>
      </c>
      <c r="G102">
        <v>0</v>
      </c>
    </row>
    <row r="103" spans="1:7" hidden="1" x14ac:dyDescent="0.25">
      <c r="A103">
        <v>2023</v>
      </c>
      <c r="B103" t="s">
        <v>18</v>
      </c>
      <c r="C103" t="s">
        <v>25</v>
      </c>
      <c r="D103">
        <v>0</v>
      </c>
      <c r="E103">
        <v>0</v>
      </c>
      <c r="F103">
        <v>0</v>
      </c>
      <c r="G103">
        <v>0</v>
      </c>
    </row>
    <row r="104" spans="1:7" hidden="1" x14ac:dyDescent="0.25">
      <c r="A104">
        <v>2023</v>
      </c>
      <c r="B104" t="s">
        <v>18</v>
      </c>
      <c r="C104" t="s">
        <v>17</v>
      </c>
      <c r="D104">
        <v>0</v>
      </c>
      <c r="E104">
        <v>0</v>
      </c>
      <c r="F104">
        <v>0</v>
      </c>
      <c r="G104">
        <v>0</v>
      </c>
    </row>
    <row r="105" spans="1:7" hidden="1" x14ac:dyDescent="0.25">
      <c r="A105">
        <v>2023</v>
      </c>
      <c r="B105" t="s">
        <v>32</v>
      </c>
      <c r="C105" t="s">
        <v>33</v>
      </c>
      <c r="D105">
        <v>0</v>
      </c>
      <c r="E105">
        <v>0</v>
      </c>
      <c r="F105">
        <v>0</v>
      </c>
      <c r="G105">
        <v>0</v>
      </c>
    </row>
    <row r="106" spans="1:7" x14ac:dyDescent="0.25">
      <c r="A106">
        <v>2024</v>
      </c>
      <c r="B106" t="s">
        <v>9</v>
      </c>
      <c r="C106" t="s">
        <v>10</v>
      </c>
      <c r="D106">
        <v>0</v>
      </c>
      <c r="E106">
        <v>188.60499999999999</v>
      </c>
      <c r="F106">
        <v>-188.60499999999999</v>
      </c>
      <c r="G106">
        <v>188.60499999999999</v>
      </c>
    </row>
    <row r="107" spans="1:7" hidden="1" x14ac:dyDescent="0.25">
      <c r="A107">
        <v>2024</v>
      </c>
      <c r="B107" t="s">
        <v>9</v>
      </c>
      <c r="C107" t="s">
        <v>13</v>
      </c>
      <c r="D107">
        <v>965.11599999999999</v>
      </c>
      <c r="E107">
        <v>2503.0219999999999</v>
      </c>
      <c r="F107">
        <v>-1537.9059999999999</v>
      </c>
      <c r="G107">
        <v>3468.1379999999999</v>
      </c>
    </row>
    <row r="108" spans="1:7" hidden="1" x14ac:dyDescent="0.25">
      <c r="A108">
        <v>2024</v>
      </c>
      <c r="B108" t="s">
        <v>9</v>
      </c>
      <c r="C108" t="s">
        <v>14</v>
      </c>
      <c r="D108">
        <v>0</v>
      </c>
      <c r="E108">
        <v>0</v>
      </c>
      <c r="F108">
        <v>0</v>
      </c>
      <c r="G108">
        <v>0</v>
      </c>
    </row>
    <row r="109" spans="1:7" hidden="1" x14ac:dyDescent="0.25">
      <c r="A109">
        <v>2024</v>
      </c>
      <c r="B109" t="s">
        <v>9</v>
      </c>
      <c r="C109" t="s">
        <v>15</v>
      </c>
      <c r="D109">
        <v>0</v>
      </c>
      <c r="E109">
        <v>6793.527</v>
      </c>
      <c r="F109">
        <v>-6793.527</v>
      </c>
      <c r="G109">
        <v>6793.527</v>
      </c>
    </row>
    <row r="110" spans="1:7" hidden="1" x14ac:dyDescent="0.25">
      <c r="A110">
        <v>2024</v>
      </c>
      <c r="B110" t="s">
        <v>9</v>
      </c>
      <c r="C110" t="s">
        <v>16</v>
      </c>
      <c r="D110">
        <v>0</v>
      </c>
      <c r="E110">
        <v>654.38099999999997</v>
      </c>
      <c r="F110">
        <v>-654.38099999999997</v>
      </c>
      <c r="G110">
        <v>654.38099999999997</v>
      </c>
    </row>
    <row r="111" spans="1:7" hidden="1" x14ac:dyDescent="0.25">
      <c r="A111">
        <v>2024</v>
      </c>
      <c r="B111" t="s">
        <v>13</v>
      </c>
      <c r="C111" t="s">
        <v>15</v>
      </c>
      <c r="D111">
        <v>0</v>
      </c>
      <c r="E111">
        <v>9205.1209999999992</v>
      </c>
      <c r="F111">
        <v>-9205.1209999999992</v>
      </c>
      <c r="G111">
        <v>9205.1209999999992</v>
      </c>
    </row>
    <row r="112" spans="1:7" hidden="1" x14ac:dyDescent="0.25">
      <c r="A112">
        <v>2024</v>
      </c>
      <c r="B112" t="s">
        <v>13</v>
      </c>
      <c r="C112" t="s">
        <v>16</v>
      </c>
      <c r="D112">
        <v>6.9779999999999998</v>
      </c>
      <c r="E112">
        <v>1372.644</v>
      </c>
      <c r="F112">
        <v>-1365.6659999999999</v>
      </c>
      <c r="G112">
        <v>1379.6220000000001</v>
      </c>
    </row>
    <row r="113" spans="1:7" hidden="1" x14ac:dyDescent="0.25">
      <c r="A113">
        <v>2024</v>
      </c>
      <c r="B113" t="s">
        <v>14</v>
      </c>
      <c r="C113" t="s">
        <v>17</v>
      </c>
      <c r="D113">
        <v>0</v>
      </c>
      <c r="E113">
        <v>0</v>
      </c>
      <c r="F113">
        <v>0</v>
      </c>
      <c r="G113">
        <v>0</v>
      </c>
    </row>
    <row r="114" spans="1:7" hidden="1" x14ac:dyDescent="0.25">
      <c r="A114">
        <v>2024</v>
      </c>
      <c r="B114" t="s">
        <v>18</v>
      </c>
      <c r="C114" t="s">
        <v>19</v>
      </c>
      <c r="D114">
        <v>1336.1420000000001</v>
      </c>
      <c r="E114">
        <v>45.545999999999999</v>
      </c>
      <c r="F114">
        <v>1290.596</v>
      </c>
      <c r="G114">
        <v>1381.6880000000001</v>
      </c>
    </row>
    <row r="115" spans="1:7" hidden="1" x14ac:dyDescent="0.25">
      <c r="A115">
        <v>2024</v>
      </c>
      <c r="B115" t="s">
        <v>19</v>
      </c>
      <c r="C115" t="s">
        <v>17</v>
      </c>
      <c r="D115">
        <v>0.59599999999999997</v>
      </c>
      <c r="E115">
        <v>0</v>
      </c>
      <c r="F115">
        <v>0.59599999999999997</v>
      </c>
      <c r="G115">
        <v>0.59599999999999997</v>
      </c>
    </row>
    <row r="116" spans="1:7" hidden="1" x14ac:dyDescent="0.25">
      <c r="A116">
        <v>2024</v>
      </c>
      <c r="B116" t="s">
        <v>20</v>
      </c>
      <c r="C116" t="s">
        <v>24</v>
      </c>
      <c r="D116">
        <v>984.28399999999999</v>
      </c>
      <c r="E116">
        <v>669.625</v>
      </c>
      <c r="F116">
        <v>314.65899999999999</v>
      </c>
      <c r="G116">
        <v>1653.9090000000001</v>
      </c>
    </row>
    <row r="117" spans="1:7" hidden="1" x14ac:dyDescent="0.25">
      <c r="A117">
        <v>2024</v>
      </c>
      <c r="B117" t="s">
        <v>20</v>
      </c>
      <c r="C117" t="s">
        <v>25</v>
      </c>
      <c r="D117">
        <v>54.92</v>
      </c>
      <c r="E117">
        <v>593.50900000000001</v>
      </c>
      <c r="F117">
        <v>-538.58900000000006</v>
      </c>
      <c r="G117">
        <v>648.42899999999997</v>
      </c>
    </row>
    <row r="118" spans="1:7" hidden="1" x14ac:dyDescent="0.25">
      <c r="A118">
        <v>2024</v>
      </c>
      <c r="B118" t="s">
        <v>22</v>
      </c>
      <c r="C118" t="s">
        <v>21</v>
      </c>
      <c r="D118">
        <v>1.903</v>
      </c>
      <c r="E118">
        <v>0</v>
      </c>
      <c r="F118">
        <v>1.903</v>
      </c>
      <c r="G118">
        <v>1.903</v>
      </c>
    </row>
    <row r="119" spans="1:7" hidden="1" x14ac:dyDescent="0.25">
      <c r="A119">
        <v>2024</v>
      </c>
      <c r="B119" t="s">
        <v>22</v>
      </c>
      <c r="C119" t="s">
        <v>23</v>
      </c>
      <c r="D119">
        <v>647.36500000000001</v>
      </c>
      <c r="E119">
        <v>0</v>
      </c>
      <c r="F119">
        <v>647.36500000000001</v>
      </c>
      <c r="G119">
        <v>647.36500000000001</v>
      </c>
    </row>
    <row r="120" spans="1:7" hidden="1" x14ac:dyDescent="0.25">
      <c r="A120">
        <v>2024</v>
      </c>
      <c r="B120" t="s">
        <v>23</v>
      </c>
      <c r="C120" t="s">
        <v>21</v>
      </c>
      <c r="D120">
        <v>208.02</v>
      </c>
      <c r="E120">
        <v>253.55500000000001</v>
      </c>
      <c r="F120">
        <v>-45.534999999999997</v>
      </c>
      <c r="G120">
        <v>461.57499999999999</v>
      </c>
    </row>
    <row r="121" spans="1:7" hidden="1" x14ac:dyDescent="0.25">
      <c r="A121">
        <v>2024</v>
      </c>
      <c r="B121" t="s">
        <v>23</v>
      </c>
      <c r="C121" t="s">
        <v>24</v>
      </c>
      <c r="D121">
        <v>915.7</v>
      </c>
      <c r="E121">
        <v>366.82</v>
      </c>
      <c r="F121">
        <v>548.88</v>
      </c>
      <c r="G121">
        <v>1282.52</v>
      </c>
    </row>
    <row r="122" spans="1:7" hidden="1" x14ac:dyDescent="0.25">
      <c r="A122">
        <v>2024</v>
      </c>
      <c r="B122" t="s">
        <v>22</v>
      </c>
      <c r="C122" t="s">
        <v>26</v>
      </c>
      <c r="D122">
        <v>377.101</v>
      </c>
      <c r="E122">
        <v>1862.88</v>
      </c>
      <c r="F122">
        <v>-1485.779</v>
      </c>
      <c r="G122">
        <v>2239.9810000000002</v>
      </c>
    </row>
    <row r="123" spans="1:7" hidden="1" x14ac:dyDescent="0.25">
      <c r="A123">
        <v>2024</v>
      </c>
      <c r="B123" t="s">
        <v>10</v>
      </c>
      <c r="C123" t="s">
        <v>13</v>
      </c>
      <c r="D123">
        <v>0</v>
      </c>
      <c r="E123">
        <v>0</v>
      </c>
      <c r="F123">
        <v>0</v>
      </c>
      <c r="G123">
        <v>0</v>
      </c>
    </row>
    <row r="124" spans="1:7" hidden="1" x14ac:dyDescent="0.25">
      <c r="A124">
        <v>2024</v>
      </c>
      <c r="B124" t="s">
        <v>10</v>
      </c>
      <c r="C124" t="s">
        <v>14</v>
      </c>
      <c r="D124">
        <v>0</v>
      </c>
      <c r="E124">
        <v>0</v>
      </c>
      <c r="F124">
        <v>0</v>
      </c>
      <c r="G124">
        <v>0</v>
      </c>
    </row>
    <row r="125" spans="1:7" hidden="1" x14ac:dyDescent="0.25">
      <c r="A125">
        <v>2024</v>
      </c>
      <c r="B125" t="s">
        <v>10</v>
      </c>
      <c r="C125" t="s">
        <v>15</v>
      </c>
      <c r="D125">
        <v>0</v>
      </c>
      <c r="E125">
        <v>0</v>
      </c>
      <c r="F125">
        <v>0</v>
      </c>
      <c r="G125">
        <v>0</v>
      </c>
    </row>
    <row r="126" spans="1:7" hidden="1" x14ac:dyDescent="0.25">
      <c r="A126">
        <v>2024</v>
      </c>
      <c r="B126" t="s">
        <v>10</v>
      </c>
      <c r="C126" t="s">
        <v>17</v>
      </c>
      <c r="D126">
        <v>0</v>
      </c>
      <c r="E126">
        <v>0</v>
      </c>
      <c r="F126">
        <v>0</v>
      </c>
      <c r="G126">
        <v>0</v>
      </c>
    </row>
    <row r="127" spans="1:7" hidden="1" x14ac:dyDescent="0.25">
      <c r="A127">
        <v>2024</v>
      </c>
      <c r="B127" t="s">
        <v>13</v>
      </c>
      <c r="C127" t="s">
        <v>18</v>
      </c>
      <c r="D127">
        <v>0</v>
      </c>
      <c r="E127">
        <v>0</v>
      </c>
      <c r="F127">
        <v>0</v>
      </c>
      <c r="G127">
        <v>0</v>
      </c>
    </row>
    <row r="128" spans="1:7" hidden="1" x14ac:dyDescent="0.25">
      <c r="A128">
        <v>2024</v>
      </c>
      <c r="B128" t="s">
        <v>13</v>
      </c>
      <c r="C128" t="s">
        <v>17</v>
      </c>
      <c r="D128">
        <v>0</v>
      </c>
      <c r="E128">
        <v>0</v>
      </c>
      <c r="F128">
        <v>0</v>
      </c>
      <c r="G128">
        <v>0</v>
      </c>
    </row>
    <row r="129" spans="1:7" hidden="1" x14ac:dyDescent="0.25">
      <c r="A129">
        <v>2024</v>
      </c>
      <c r="B129" t="s">
        <v>18</v>
      </c>
      <c r="C129" t="s">
        <v>25</v>
      </c>
      <c r="D129">
        <v>0</v>
      </c>
      <c r="E129">
        <v>0</v>
      </c>
      <c r="F129">
        <v>0</v>
      </c>
      <c r="G129">
        <v>0</v>
      </c>
    </row>
    <row r="130" spans="1:7" hidden="1" x14ac:dyDescent="0.25">
      <c r="A130">
        <v>2024</v>
      </c>
      <c r="B130" t="s">
        <v>18</v>
      </c>
      <c r="C130" t="s">
        <v>17</v>
      </c>
      <c r="D130">
        <v>0</v>
      </c>
      <c r="E130">
        <v>0</v>
      </c>
      <c r="F130">
        <v>0</v>
      </c>
      <c r="G130">
        <v>0</v>
      </c>
    </row>
    <row r="131" spans="1:7" hidden="1" x14ac:dyDescent="0.25">
      <c r="A131">
        <v>2024</v>
      </c>
      <c r="B131" t="s">
        <v>32</v>
      </c>
      <c r="C131" t="s">
        <v>33</v>
      </c>
      <c r="D131">
        <v>0</v>
      </c>
      <c r="E131">
        <v>0</v>
      </c>
      <c r="F131">
        <v>0</v>
      </c>
      <c r="G131">
        <v>0</v>
      </c>
    </row>
    <row r="132" spans="1:7" x14ac:dyDescent="0.25">
      <c r="A132">
        <v>2025</v>
      </c>
      <c r="B132" t="s">
        <v>9</v>
      </c>
      <c r="C132" t="s">
        <v>10</v>
      </c>
      <c r="D132">
        <v>0</v>
      </c>
      <c r="E132">
        <v>52.588000000000001</v>
      </c>
      <c r="F132">
        <v>-52.588000000000001</v>
      </c>
      <c r="G132">
        <v>52.588000000000001</v>
      </c>
    </row>
    <row r="133" spans="1:7" hidden="1" x14ac:dyDescent="0.25">
      <c r="A133">
        <v>2025</v>
      </c>
      <c r="B133" t="s">
        <v>9</v>
      </c>
      <c r="C133" t="s">
        <v>13</v>
      </c>
      <c r="D133">
        <v>1533.0429999999999</v>
      </c>
      <c r="E133">
        <v>1982.508</v>
      </c>
      <c r="F133">
        <v>-449.46499999999997</v>
      </c>
      <c r="G133">
        <v>3515.5520000000001</v>
      </c>
    </row>
    <row r="134" spans="1:7" hidden="1" x14ac:dyDescent="0.25">
      <c r="A134">
        <v>2025</v>
      </c>
      <c r="B134" t="s">
        <v>9</v>
      </c>
      <c r="C134" t="s">
        <v>14</v>
      </c>
      <c r="D134">
        <v>1.91</v>
      </c>
      <c r="E134">
        <v>11.476000000000001</v>
      </c>
      <c r="F134">
        <v>-9.5670000000000002</v>
      </c>
      <c r="G134">
        <v>13.385999999999999</v>
      </c>
    </row>
    <row r="135" spans="1:7" hidden="1" x14ac:dyDescent="0.25">
      <c r="A135">
        <v>2025</v>
      </c>
      <c r="B135" t="s">
        <v>9</v>
      </c>
      <c r="C135" t="s">
        <v>15</v>
      </c>
      <c r="D135">
        <v>0</v>
      </c>
      <c r="E135">
        <v>8221.6620000000003</v>
      </c>
      <c r="F135">
        <v>-8221.6620000000003</v>
      </c>
      <c r="G135">
        <v>8221.6620000000003</v>
      </c>
    </row>
    <row r="136" spans="1:7" hidden="1" x14ac:dyDescent="0.25">
      <c r="A136">
        <v>2025</v>
      </c>
      <c r="B136" t="s">
        <v>9</v>
      </c>
      <c r="C136" t="s">
        <v>16</v>
      </c>
      <c r="D136">
        <v>70.519000000000005</v>
      </c>
      <c r="E136">
        <v>259.03100000000001</v>
      </c>
      <c r="F136">
        <v>-188.511</v>
      </c>
      <c r="G136">
        <v>329.55</v>
      </c>
    </row>
    <row r="137" spans="1:7" hidden="1" x14ac:dyDescent="0.25">
      <c r="A137">
        <v>2025</v>
      </c>
      <c r="B137" t="s">
        <v>10</v>
      </c>
      <c r="C137" t="s">
        <v>13</v>
      </c>
      <c r="D137">
        <v>0</v>
      </c>
      <c r="E137">
        <v>0</v>
      </c>
      <c r="F137">
        <v>0</v>
      </c>
      <c r="G137">
        <v>0</v>
      </c>
    </row>
    <row r="138" spans="1:7" hidden="1" x14ac:dyDescent="0.25">
      <c r="A138">
        <v>2025</v>
      </c>
      <c r="B138" t="s">
        <v>10</v>
      </c>
      <c r="C138" t="s">
        <v>14</v>
      </c>
      <c r="D138">
        <v>0</v>
      </c>
      <c r="E138">
        <v>0</v>
      </c>
      <c r="F138">
        <v>0</v>
      </c>
      <c r="G138">
        <v>0</v>
      </c>
    </row>
    <row r="139" spans="1:7" hidden="1" x14ac:dyDescent="0.25">
      <c r="A139">
        <v>2025</v>
      </c>
      <c r="B139" t="s">
        <v>10</v>
      </c>
      <c r="C139" t="s">
        <v>15</v>
      </c>
      <c r="D139">
        <v>0</v>
      </c>
      <c r="E139">
        <v>0</v>
      </c>
      <c r="F139">
        <v>0</v>
      </c>
      <c r="G139">
        <v>0</v>
      </c>
    </row>
    <row r="140" spans="1:7" hidden="1" x14ac:dyDescent="0.25">
      <c r="A140">
        <v>2025</v>
      </c>
      <c r="B140" t="s">
        <v>10</v>
      </c>
      <c r="C140" t="s">
        <v>17</v>
      </c>
      <c r="D140">
        <v>0</v>
      </c>
      <c r="E140">
        <v>0</v>
      </c>
      <c r="F140">
        <v>0</v>
      </c>
      <c r="G140">
        <v>0</v>
      </c>
    </row>
    <row r="141" spans="1:7" hidden="1" x14ac:dyDescent="0.25">
      <c r="A141">
        <v>2025</v>
      </c>
      <c r="B141" t="s">
        <v>13</v>
      </c>
      <c r="C141" t="s">
        <v>18</v>
      </c>
      <c r="D141">
        <v>0</v>
      </c>
      <c r="E141">
        <v>0</v>
      </c>
      <c r="F141">
        <v>0</v>
      </c>
      <c r="G141">
        <v>0</v>
      </c>
    </row>
    <row r="142" spans="1:7" hidden="1" x14ac:dyDescent="0.25">
      <c r="A142">
        <v>2025</v>
      </c>
      <c r="B142" t="s">
        <v>13</v>
      </c>
      <c r="C142" t="s">
        <v>15</v>
      </c>
      <c r="D142">
        <v>0</v>
      </c>
      <c r="E142">
        <v>15791.844999999999</v>
      </c>
      <c r="F142">
        <v>-15791.844999999999</v>
      </c>
      <c r="G142">
        <v>15791.844999999999</v>
      </c>
    </row>
    <row r="143" spans="1:7" hidden="1" x14ac:dyDescent="0.25">
      <c r="A143">
        <v>2025</v>
      </c>
      <c r="B143" t="s">
        <v>13</v>
      </c>
      <c r="C143" t="s">
        <v>17</v>
      </c>
      <c r="D143">
        <v>0</v>
      </c>
      <c r="E143">
        <v>0</v>
      </c>
      <c r="F143">
        <v>0</v>
      </c>
      <c r="G143">
        <v>0</v>
      </c>
    </row>
    <row r="144" spans="1:7" hidden="1" x14ac:dyDescent="0.25">
      <c r="A144">
        <v>2025</v>
      </c>
      <c r="B144" t="s">
        <v>13</v>
      </c>
      <c r="C144" t="s">
        <v>16</v>
      </c>
      <c r="D144">
        <v>340.93299999999999</v>
      </c>
      <c r="E144">
        <v>1276.9960000000001</v>
      </c>
      <c r="F144">
        <v>-936.06299999999999</v>
      </c>
      <c r="G144">
        <v>1617.9290000000001</v>
      </c>
    </row>
    <row r="145" spans="1:7" hidden="1" x14ac:dyDescent="0.25">
      <c r="A145">
        <v>2025</v>
      </c>
      <c r="B145" t="s">
        <v>14</v>
      </c>
      <c r="C145" t="s">
        <v>17</v>
      </c>
      <c r="D145">
        <v>0</v>
      </c>
      <c r="E145">
        <v>0.19900000000000001</v>
      </c>
      <c r="F145">
        <v>-0.19900000000000001</v>
      </c>
      <c r="G145">
        <v>0.19900000000000001</v>
      </c>
    </row>
    <row r="146" spans="1:7" hidden="1" x14ac:dyDescent="0.25">
      <c r="A146">
        <v>2025</v>
      </c>
      <c r="B146" t="s">
        <v>18</v>
      </c>
      <c r="C146" t="s">
        <v>19</v>
      </c>
      <c r="D146">
        <v>646.27599999999995</v>
      </c>
      <c r="E146">
        <v>459.82100000000003</v>
      </c>
      <c r="F146">
        <v>186.45500000000001</v>
      </c>
      <c r="G146">
        <v>1106.097</v>
      </c>
    </row>
    <row r="147" spans="1:7" hidden="1" x14ac:dyDescent="0.25">
      <c r="A147">
        <v>2025</v>
      </c>
      <c r="B147" t="s">
        <v>18</v>
      </c>
      <c r="C147" t="s">
        <v>25</v>
      </c>
      <c r="D147">
        <v>0</v>
      </c>
      <c r="E147">
        <v>0</v>
      </c>
      <c r="F147">
        <v>0</v>
      </c>
      <c r="G147">
        <v>0</v>
      </c>
    </row>
    <row r="148" spans="1:7" hidden="1" x14ac:dyDescent="0.25">
      <c r="A148">
        <v>2025</v>
      </c>
      <c r="B148" t="s">
        <v>18</v>
      </c>
      <c r="C148" t="s">
        <v>17</v>
      </c>
      <c r="D148">
        <v>0</v>
      </c>
      <c r="E148">
        <v>0</v>
      </c>
      <c r="F148">
        <v>0</v>
      </c>
      <c r="G148">
        <v>0</v>
      </c>
    </row>
    <row r="149" spans="1:7" hidden="1" x14ac:dyDescent="0.25">
      <c r="A149">
        <v>2025</v>
      </c>
      <c r="B149" t="s">
        <v>20</v>
      </c>
      <c r="C149" t="s">
        <v>24</v>
      </c>
      <c r="D149">
        <v>995.58199999999999</v>
      </c>
      <c r="E149">
        <v>321.464</v>
      </c>
      <c r="F149">
        <v>674.11800000000005</v>
      </c>
      <c r="G149">
        <v>1317.046</v>
      </c>
    </row>
    <row r="150" spans="1:7" hidden="1" x14ac:dyDescent="0.25">
      <c r="A150">
        <v>2025</v>
      </c>
      <c r="B150" t="s">
        <v>20</v>
      </c>
      <c r="C150" t="s">
        <v>25</v>
      </c>
      <c r="D150">
        <v>119.196</v>
      </c>
      <c r="E150">
        <v>464.67399999999998</v>
      </c>
      <c r="F150">
        <v>-345.47800000000001</v>
      </c>
      <c r="G150">
        <v>583.87</v>
      </c>
    </row>
    <row r="151" spans="1:7" hidden="1" x14ac:dyDescent="0.25">
      <c r="A151">
        <v>2025</v>
      </c>
      <c r="B151" t="s">
        <v>19</v>
      </c>
      <c r="C151" t="s">
        <v>17</v>
      </c>
      <c r="D151">
        <v>45.768999999999998</v>
      </c>
      <c r="E151">
        <v>51.273000000000003</v>
      </c>
      <c r="F151">
        <v>-5.5039999999999996</v>
      </c>
      <c r="G151">
        <v>97.040999999999997</v>
      </c>
    </row>
    <row r="152" spans="1:7" hidden="1" x14ac:dyDescent="0.25">
      <c r="A152">
        <v>2025</v>
      </c>
      <c r="B152" t="s">
        <v>22</v>
      </c>
      <c r="C152" t="s">
        <v>21</v>
      </c>
      <c r="D152">
        <v>234.03100000000001</v>
      </c>
      <c r="E152">
        <v>0</v>
      </c>
      <c r="F152">
        <v>234.03100000000001</v>
      </c>
      <c r="G152">
        <v>234.03100000000001</v>
      </c>
    </row>
    <row r="153" spans="1:7" hidden="1" x14ac:dyDescent="0.25">
      <c r="A153">
        <v>2025</v>
      </c>
      <c r="B153" t="s">
        <v>22</v>
      </c>
      <c r="C153" t="s">
        <v>23</v>
      </c>
      <c r="D153">
        <v>619.43100000000004</v>
      </c>
      <c r="E153">
        <v>0</v>
      </c>
      <c r="F153">
        <v>619.43100000000004</v>
      </c>
      <c r="G153">
        <v>619.43100000000004</v>
      </c>
    </row>
    <row r="154" spans="1:7" hidden="1" x14ac:dyDescent="0.25">
      <c r="A154">
        <v>2025</v>
      </c>
      <c r="B154" t="s">
        <v>22</v>
      </c>
      <c r="C154" t="s">
        <v>26</v>
      </c>
      <c r="D154">
        <v>239.81</v>
      </c>
      <c r="E154">
        <v>1502.694</v>
      </c>
      <c r="F154">
        <v>-1262.883</v>
      </c>
      <c r="G154">
        <v>1742.5039999999999</v>
      </c>
    </row>
    <row r="155" spans="1:7" hidden="1" x14ac:dyDescent="0.25">
      <c r="A155">
        <v>2025</v>
      </c>
      <c r="B155" t="s">
        <v>23</v>
      </c>
      <c r="C155" t="s">
        <v>21</v>
      </c>
      <c r="D155">
        <v>401.06900000000002</v>
      </c>
      <c r="E155">
        <v>263.45299999999997</v>
      </c>
      <c r="F155">
        <v>137.61699999999999</v>
      </c>
      <c r="G155">
        <v>664.52200000000005</v>
      </c>
    </row>
    <row r="156" spans="1:7" hidden="1" x14ac:dyDescent="0.25">
      <c r="A156">
        <v>2025</v>
      </c>
      <c r="B156" t="s">
        <v>23</v>
      </c>
      <c r="C156" t="s">
        <v>24</v>
      </c>
      <c r="D156">
        <v>792.98299999999995</v>
      </c>
      <c r="E156">
        <v>503.33300000000003</v>
      </c>
      <c r="F156">
        <v>289.64999999999998</v>
      </c>
      <c r="G156">
        <v>1296.316</v>
      </c>
    </row>
    <row r="157" spans="1:7" hidden="1" x14ac:dyDescent="0.25">
      <c r="A157">
        <v>2025</v>
      </c>
      <c r="B157" t="s">
        <v>32</v>
      </c>
      <c r="C157" t="s">
        <v>33</v>
      </c>
      <c r="D157">
        <v>0</v>
      </c>
      <c r="E157">
        <v>0</v>
      </c>
      <c r="F157">
        <v>0</v>
      </c>
      <c r="G157">
        <v>0</v>
      </c>
    </row>
  </sheetData>
  <autoFilter ref="A1:G157" xr:uid="{00000000-0001-0000-0100-000000000000}">
    <filterColumn colId="1">
      <filters>
        <filter val="Argentina"/>
      </filters>
    </filterColumn>
    <filterColumn colId="2">
      <filters>
        <filter val="Bolivia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J109"/>
  <sheetViews>
    <sheetView tabSelected="1" workbookViewId="0">
      <selection activeCell="J11" sqref="J11:J13"/>
    </sheetView>
  </sheetViews>
  <sheetFormatPr defaultRowHeight="15" x14ac:dyDescent="0.25"/>
  <cols>
    <col min="1" max="1" width="9.140625" bestFit="1" customWidth="1"/>
    <col min="2" max="2" width="20.85546875" bestFit="1" customWidth="1"/>
    <col min="3" max="3" width="24.7109375" bestFit="1" customWidth="1"/>
    <col min="4" max="4" width="25" bestFit="1" customWidth="1"/>
    <col min="5" max="6" width="21.42578125" bestFit="1" customWidth="1"/>
    <col min="8" max="8" width="15.140625" bestFit="1" customWidth="1"/>
    <col min="9" max="9" width="18" bestFit="1" customWidth="1"/>
  </cols>
  <sheetData>
    <row r="1" spans="1:10" x14ac:dyDescent="0.25">
      <c r="A1" s="1" t="s">
        <v>0</v>
      </c>
      <c r="B1" s="1" t="s">
        <v>34</v>
      </c>
      <c r="C1" s="1" t="s">
        <v>35</v>
      </c>
      <c r="D1" s="1" t="s">
        <v>36</v>
      </c>
      <c r="E1" s="1" t="s">
        <v>5</v>
      </c>
      <c r="F1" s="1" t="s">
        <v>6</v>
      </c>
      <c r="H1" s="2" t="s">
        <v>37</v>
      </c>
      <c r="I1" s="2" t="s">
        <v>38</v>
      </c>
      <c r="J1" s="2" t="s">
        <v>39</v>
      </c>
    </row>
    <row r="2" spans="1:10" hidden="1" x14ac:dyDescent="0.25">
      <c r="A2">
        <v>2020</v>
      </c>
      <c r="B2" t="s">
        <v>9</v>
      </c>
      <c r="C2">
        <v>3088.2</v>
      </c>
      <c r="D2">
        <v>7800.2</v>
      </c>
      <c r="E2">
        <v>-4712</v>
      </c>
      <c r="F2">
        <v>10888.4</v>
      </c>
    </row>
    <row r="3" spans="1:10" hidden="1" x14ac:dyDescent="0.25">
      <c r="A3">
        <v>2021</v>
      </c>
      <c r="B3" t="s">
        <v>9</v>
      </c>
      <c r="C3">
        <v>3849.84</v>
      </c>
      <c r="D3">
        <v>6348.28</v>
      </c>
      <c r="E3">
        <v>-2498.44</v>
      </c>
      <c r="F3">
        <v>10198.120000000001</v>
      </c>
    </row>
    <row r="4" spans="1:10" hidden="1" x14ac:dyDescent="0.25">
      <c r="A4">
        <v>2022</v>
      </c>
      <c r="B4" t="s">
        <v>9</v>
      </c>
      <c r="C4">
        <v>31.18</v>
      </c>
      <c r="D4">
        <v>12906.46</v>
      </c>
      <c r="E4">
        <v>-12875.27</v>
      </c>
      <c r="F4">
        <v>12937.64</v>
      </c>
    </row>
    <row r="5" spans="1:10" hidden="1" x14ac:dyDescent="0.25">
      <c r="A5">
        <v>2023</v>
      </c>
      <c r="B5" t="s">
        <v>9</v>
      </c>
      <c r="C5">
        <v>93.02</v>
      </c>
      <c r="D5">
        <v>15441.86</v>
      </c>
      <c r="E5">
        <v>-15348.84</v>
      </c>
      <c r="F5">
        <v>15534.88</v>
      </c>
    </row>
    <row r="6" spans="1:10" hidden="1" x14ac:dyDescent="0.25">
      <c r="A6">
        <v>2024</v>
      </c>
      <c r="B6" t="s">
        <v>9</v>
      </c>
      <c r="C6">
        <v>965.12</v>
      </c>
      <c r="D6">
        <v>10139.540000000001</v>
      </c>
      <c r="E6">
        <v>-9174.42</v>
      </c>
      <c r="F6">
        <v>11104.65</v>
      </c>
    </row>
    <row r="7" spans="1:10" hidden="1" x14ac:dyDescent="0.25">
      <c r="A7">
        <v>2025</v>
      </c>
      <c r="B7" t="s">
        <v>9</v>
      </c>
      <c r="C7">
        <v>1605.47</v>
      </c>
      <c r="D7">
        <v>10527.27</v>
      </c>
      <c r="E7">
        <v>-8921.7900000000009</v>
      </c>
      <c r="F7">
        <v>12132.74</v>
      </c>
    </row>
    <row r="8" spans="1:10" x14ac:dyDescent="0.25">
      <c r="A8">
        <v>2020</v>
      </c>
      <c r="B8" t="s">
        <v>10</v>
      </c>
      <c r="C8">
        <v>0</v>
      </c>
      <c r="D8">
        <v>0</v>
      </c>
      <c r="E8">
        <v>0</v>
      </c>
      <c r="F8">
        <v>0</v>
      </c>
    </row>
    <row r="9" spans="1:10" x14ac:dyDescent="0.25">
      <c r="A9">
        <v>2021</v>
      </c>
      <c r="B9" t="s">
        <v>10</v>
      </c>
      <c r="C9">
        <v>0</v>
      </c>
      <c r="D9">
        <v>0</v>
      </c>
      <c r="E9">
        <v>0</v>
      </c>
      <c r="F9">
        <v>0</v>
      </c>
    </row>
    <row r="10" spans="1:10" x14ac:dyDescent="0.25">
      <c r="A10">
        <v>2022</v>
      </c>
      <c r="B10" t="s">
        <v>10</v>
      </c>
      <c r="C10">
        <v>0</v>
      </c>
      <c r="D10">
        <v>0</v>
      </c>
      <c r="E10">
        <v>0</v>
      </c>
      <c r="F10">
        <v>0</v>
      </c>
    </row>
    <row r="11" spans="1:10" x14ac:dyDescent="0.25">
      <c r="A11">
        <v>2023</v>
      </c>
      <c r="B11" t="s">
        <v>10</v>
      </c>
      <c r="C11">
        <v>74.33</v>
      </c>
      <c r="D11">
        <v>0</v>
      </c>
      <c r="E11">
        <v>74.33</v>
      </c>
      <c r="F11">
        <v>74.33</v>
      </c>
      <c r="H11">
        <v>48.49</v>
      </c>
      <c r="I11">
        <f>H11*0.0036</f>
        <v>0.174564</v>
      </c>
      <c r="J11">
        <f>H11+(-C11+D11)*0.0036</f>
        <v>48.222411999999998</v>
      </c>
    </row>
    <row r="12" spans="1:10" x14ac:dyDescent="0.25">
      <c r="A12">
        <v>2024</v>
      </c>
      <c r="B12" t="s">
        <v>10</v>
      </c>
      <c r="C12">
        <v>188.6</v>
      </c>
      <c r="D12">
        <v>0</v>
      </c>
      <c r="E12">
        <v>188.6</v>
      </c>
      <c r="F12">
        <v>188.6</v>
      </c>
      <c r="H12">
        <v>50.57</v>
      </c>
      <c r="I12">
        <f t="shared" ref="I12:I13" si="0">H12*0.0036</f>
        <v>0.18205199999999999</v>
      </c>
      <c r="J12">
        <f t="shared" ref="J12:J13" si="1">H12+(-C12+D12)*0.0036</f>
        <v>49.891040000000004</v>
      </c>
    </row>
    <row r="13" spans="1:10" x14ac:dyDescent="0.25">
      <c r="A13">
        <v>2025</v>
      </c>
      <c r="B13" t="s">
        <v>10</v>
      </c>
      <c r="C13">
        <v>52.59</v>
      </c>
      <c r="D13">
        <v>0</v>
      </c>
      <c r="E13">
        <v>52.59</v>
      </c>
      <c r="F13">
        <v>52.59</v>
      </c>
      <c r="H13">
        <v>52.65</v>
      </c>
      <c r="I13">
        <f t="shared" si="0"/>
        <v>0.18953999999999999</v>
      </c>
      <c r="J13">
        <f t="shared" si="1"/>
        <v>52.460675999999999</v>
      </c>
    </row>
    <row r="14" spans="1:10" hidden="1" x14ac:dyDescent="0.25">
      <c r="A14">
        <v>2020</v>
      </c>
      <c r="B14" t="s">
        <v>13</v>
      </c>
      <c r="C14">
        <v>216.09</v>
      </c>
      <c r="D14">
        <v>24142.69</v>
      </c>
      <c r="E14">
        <v>-23926.61</v>
      </c>
      <c r="F14">
        <v>24358.78</v>
      </c>
    </row>
    <row r="15" spans="1:10" hidden="1" x14ac:dyDescent="0.25">
      <c r="A15">
        <v>2021</v>
      </c>
      <c r="B15" t="s">
        <v>13</v>
      </c>
      <c r="C15">
        <v>44.18</v>
      </c>
      <c r="D15">
        <v>22054.84</v>
      </c>
      <c r="E15">
        <v>-22010.67</v>
      </c>
      <c r="F15">
        <v>22099.02</v>
      </c>
    </row>
    <row r="16" spans="1:10" hidden="1" x14ac:dyDescent="0.25">
      <c r="A16">
        <v>2022</v>
      </c>
      <c r="B16" t="s">
        <v>13</v>
      </c>
      <c r="C16">
        <v>3487.84</v>
      </c>
      <c r="D16">
        <v>15909.98</v>
      </c>
      <c r="E16">
        <v>-12422.14</v>
      </c>
      <c r="F16">
        <v>19397.82</v>
      </c>
    </row>
    <row r="17" spans="1:6" hidden="1" x14ac:dyDescent="0.25">
      <c r="A17">
        <v>2023</v>
      </c>
      <c r="B17" t="s">
        <v>13</v>
      </c>
      <c r="C17">
        <v>5359.11</v>
      </c>
      <c r="D17">
        <v>19359.02</v>
      </c>
      <c r="E17">
        <v>-13999.91</v>
      </c>
      <c r="F17">
        <v>24718.12</v>
      </c>
    </row>
    <row r="18" spans="1:6" hidden="1" x14ac:dyDescent="0.25">
      <c r="A18">
        <v>2024</v>
      </c>
      <c r="B18" t="s">
        <v>13</v>
      </c>
      <c r="C18">
        <v>2510</v>
      </c>
      <c r="D18">
        <v>11542.88</v>
      </c>
      <c r="E18">
        <v>-9032.8799999999992</v>
      </c>
      <c r="F18">
        <v>14052.88</v>
      </c>
    </row>
    <row r="19" spans="1:6" hidden="1" x14ac:dyDescent="0.25">
      <c r="A19">
        <v>2025</v>
      </c>
      <c r="B19" t="s">
        <v>13</v>
      </c>
      <c r="C19">
        <v>2323.44</v>
      </c>
      <c r="D19">
        <v>18601.88</v>
      </c>
      <c r="E19">
        <v>-16278.44</v>
      </c>
      <c r="F19">
        <v>20925.32</v>
      </c>
    </row>
    <row r="20" spans="1:6" hidden="1" x14ac:dyDescent="0.25">
      <c r="A20">
        <v>2020</v>
      </c>
      <c r="B20" t="s">
        <v>14</v>
      </c>
      <c r="C20">
        <v>0</v>
      </c>
      <c r="D20">
        <v>0</v>
      </c>
      <c r="E20">
        <v>0</v>
      </c>
      <c r="F20">
        <v>0</v>
      </c>
    </row>
    <row r="21" spans="1:6" hidden="1" x14ac:dyDescent="0.25">
      <c r="A21">
        <v>2021</v>
      </c>
      <c r="B21" t="s">
        <v>14</v>
      </c>
      <c r="C21">
        <v>0</v>
      </c>
      <c r="D21">
        <v>0</v>
      </c>
      <c r="E21">
        <v>0</v>
      </c>
      <c r="F21">
        <v>0</v>
      </c>
    </row>
    <row r="22" spans="1:6" hidden="1" x14ac:dyDescent="0.25">
      <c r="A22">
        <v>2022</v>
      </c>
      <c r="B22" t="s">
        <v>14</v>
      </c>
      <c r="C22">
        <v>9.59</v>
      </c>
      <c r="D22">
        <v>0.99</v>
      </c>
      <c r="E22">
        <v>8.59</v>
      </c>
      <c r="F22">
        <v>10.58</v>
      </c>
    </row>
    <row r="23" spans="1:6" hidden="1" x14ac:dyDescent="0.25">
      <c r="A23">
        <v>2023</v>
      </c>
      <c r="B23" t="s">
        <v>14</v>
      </c>
      <c r="C23">
        <v>47.8</v>
      </c>
      <c r="D23">
        <v>9.5500000000000007</v>
      </c>
      <c r="E23">
        <v>38.25</v>
      </c>
      <c r="F23">
        <v>57.35</v>
      </c>
    </row>
    <row r="24" spans="1:6" hidden="1" x14ac:dyDescent="0.25">
      <c r="A24">
        <v>2024</v>
      </c>
      <c r="B24" t="s">
        <v>14</v>
      </c>
      <c r="C24">
        <v>0</v>
      </c>
      <c r="D24">
        <v>0</v>
      </c>
      <c r="E24">
        <v>0</v>
      </c>
      <c r="F24">
        <v>0</v>
      </c>
    </row>
    <row r="25" spans="1:6" hidden="1" x14ac:dyDescent="0.25">
      <c r="A25">
        <v>2025</v>
      </c>
      <c r="B25" t="s">
        <v>14</v>
      </c>
      <c r="C25">
        <v>11.48</v>
      </c>
      <c r="D25">
        <v>2.11</v>
      </c>
      <c r="E25">
        <v>9.3699999999999992</v>
      </c>
      <c r="F25">
        <v>13.58</v>
      </c>
    </row>
    <row r="26" spans="1:6" hidden="1" x14ac:dyDescent="0.25">
      <c r="A26">
        <v>2020</v>
      </c>
      <c r="B26" t="s">
        <v>18</v>
      </c>
      <c r="C26">
        <v>250.8</v>
      </c>
      <c r="D26">
        <v>1314.6</v>
      </c>
      <c r="E26">
        <v>-1063.81</v>
      </c>
      <c r="F26">
        <v>1565.4</v>
      </c>
    </row>
    <row r="27" spans="1:6" hidden="1" x14ac:dyDescent="0.25">
      <c r="A27">
        <v>2021</v>
      </c>
      <c r="B27" t="s">
        <v>18</v>
      </c>
      <c r="C27">
        <v>363.8</v>
      </c>
      <c r="D27">
        <v>479.99</v>
      </c>
      <c r="E27">
        <v>-116.18</v>
      </c>
      <c r="F27">
        <v>843.79</v>
      </c>
    </row>
    <row r="28" spans="1:6" hidden="1" x14ac:dyDescent="0.25">
      <c r="A28">
        <v>2022</v>
      </c>
      <c r="B28" t="s">
        <v>18</v>
      </c>
      <c r="C28">
        <v>464.3</v>
      </c>
      <c r="D28">
        <v>159.44</v>
      </c>
      <c r="E28">
        <v>304.85000000000002</v>
      </c>
      <c r="F28">
        <v>623.74</v>
      </c>
    </row>
    <row r="29" spans="1:6" hidden="1" x14ac:dyDescent="0.25">
      <c r="A29">
        <v>2023</v>
      </c>
      <c r="B29" t="s">
        <v>18</v>
      </c>
      <c r="C29">
        <v>816.34</v>
      </c>
      <c r="D29">
        <v>299.52</v>
      </c>
      <c r="E29">
        <v>516.82000000000005</v>
      </c>
      <c r="F29">
        <v>1115.8699999999999</v>
      </c>
    </row>
    <row r="30" spans="1:6" hidden="1" x14ac:dyDescent="0.25">
      <c r="A30">
        <v>2024</v>
      </c>
      <c r="B30" t="s">
        <v>18</v>
      </c>
      <c r="C30">
        <v>1336.14</v>
      </c>
      <c r="D30">
        <v>45.55</v>
      </c>
      <c r="E30">
        <v>1290.5999999999999</v>
      </c>
      <c r="F30">
        <v>1381.69</v>
      </c>
    </row>
    <row r="31" spans="1:6" hidden="1" x14ac:dyDescent="0.25">
      <c r="A31">
        <v>2025</v>
      </c>
      <c r="B31" t="s">
        <v>18</v>
      </c>
      <c r="C31">
        <v>646.28</v>
      </c>
      <c r="D31">
        <v>459.82</v>
      </c>
      <c r="E31">
        <v>186.45</v>
      </c>
      <c r="F31">
        <v>1106.0999999999999</v>
      </c>
    </row>
    <row r="32" spans="1:6" hidden="1" x14ac:dyDescent="0.25">
      <c r="A32">
        <v>2020</v>
      </c>
      <c r="B32" t="s">
        <v>20</v>
      </c>
      <c r="C32">
        <v>1307.49</v>
      </c>
      <c r="D32">
        <v>801.3</v>
      </c>
      <c r="E32">
        <v>506.19</v>
      </c>
      <c r="F32">
        <v>2108.79</v>
      </c>
    </row>
    <row r="33" spans="1:6" hidden="1" x14ac:dyDescent="0.25">
      <c r="A33">
        <v>2021</v>
      </c>
      <c r="B33" t="s">
        <v>20</v>
      </c>
      <c r="C33">
        <v>1510.84</v>
      </c>
      <c r="D33">
        <v>508.09</v>
      </c>
      <c r="E33">
        <v>1002.75</v>
      </c>
      <c r="F33">
        <v>2018.94</v>
      </c>
    </row>
    <row r="34" spans="1:6" hidden="1" x14ac:dyDescent="0.25">
      <c r="A34">
        <v>2022</v>
      </c>
      <c r="B34" t="s">
        <v>20</v>
      </c>
      <c r="C34">
        <v>1296.5</v>
      </c>
      <c r="D34">
        <v>576.75</v>
      </c>
      <c r="E34">
        <v>719.75</v>
      </c>
      <c r="F34">
        <v>1873.25</v>
      </c>
    </row>
    <row r="35" spans="1:6" hidden="1" x14ac:dyDescent="0.25">
      <c r="A35">
        <v>2023</v>
      </c>
      <c r="B35" t="s">
        <v>20</v>
      </c>
      <c r="C35">
        <v>419.85</v>
      </c>
      <c r="D35">
        <v>781.41</v>
      </c>
      <c r="E35">
        <v>-361.56</v>
      </c>
      <c r="F35">
        <v>1201.27</v>
      </c>
    </row>
    <row r="36" spans="1:6" hidden="1" x14ac:dyDescent="0.25">
      <c r="A36">
        <v>2024</v>
      </c>
      <c r="B36" t="s">
        <v>20</v>
      </c>
      <c r="C36">
        <v>1039.2</v>
      </c>
      <c r="D36">
        <v>1263.1300000000001</v>
      </c>
      <c r="E36">
        <v>-223.93</v>
      </c>
      <c r="F36">
        <v>2302.34</v>
      </c>
    </row>
    <row r="37" spans="1:6" hidden="1" x14ac:dyDescent="0.25">
      <c r="A37">
        <v>2025</v>
      </c>
      <c r="B37" t="s">
        <v>20</v>
      </c>
      <c r="C37">
        <v>1114.78</v>
      </c>
      <c r="D37">
        <v>786.14</v>
      </c>
      <c r="E37">
        <v>328.64</v>
      </c>
      <c r="F37">
        <v>1900.92</v>
      </c>
    </row>
    <row r="38" spans="1:6" hidden="1" x14ac:dyDescent="0.25">
      <c r="A38">
        <v>2020</v>
      </c>
      <c r="B38" t="s">
        <v>19</v>
      </c>
      <c r="C38">
        <v>1327.61</v>
      </c>
      <c r="D38">
        <v>250.8</v>
      </c>
      <c r="E38">
        <v>1076.82</v>
      </c>
      <c r="F38">
        <v>1578.41</v>
      </c>
    </row>
    <row r="39" spans="1:6" hidden="1" x14ac:dyDescent="0.25">
      <c r="A39">
        <v>2021</v>
      </c>
      <c r="B39" t="s">
        <v>19</v>
      </c>
      <c r="C39">
        <v>523.55999999999995</v>
      </c>
      <c r="D39">
        <v>363.8</v>
      </c>
      <c r="E39">
        <v>159.76</v>
      </c>
      <c r="F39">
        <v>887.37</v>
      </c>
    </row>
    <row r="40" spans="1:6" hidden="1" x14ac:dyDescent="0.25">
      <c r="A40">
        <v>2022</v>
      </c>
      <c r="B40" t="s">
        <v>19</v>
      </c>
      <c r="C40">
        <v>191.84</v>
      </c>
      <c r="D40">
        <v>466.29</v>
      </c>
      <c r="E40">
        <v>-274.45</v>
      </c>
      <c r="F40">
        <v>658.14</v>
      </c>
    </row>
    <row r="41" spans="1:6" hidden="1" x14ac:dyDescent="0.25">
      <c r="A41">
        <v>2023</v>
      </c>
      <c r="B41" t="s">
        <v>19</v>
      </c>
      <c r="C41">
        <v>438.78</v>
      </c>
      <c r="D41">
        <v>1070.71</v>
      </c>
      <c r="E41">
        <v>-631.92999999999995</v>
      </c>
      <c r="F41">
        <v>1509.5</v>
      </c>
    </row>
    <row r="42" spans="1:6" hidden="1" x14ac:dyDescent="0.25">
      <c r="A42">
        <v>2024</v>
      </c>
      <c r="B42" t="s">
        <v>19</v>
      </c>
      <c r="C42">
        <v>46.14</v>
      </c>
      <c r="D42">
        <v>1336.14</v>
      </c>
      <c r="E42">
        <v>-1290</v>
      </c>
      <c r="F42">
        <v>1382.28</v>
      </c>
    </row>
    <row r="43" spans="1:6" hidden="1" x14ac:dyDescent="0.25">
      <c r="A43">
        <v>2025</v>
      </c>
      <c r="B43" t="s">
        <v>19</v>
      </c>
      <c r="C43">
        <v>505.59</v>
      </c>
      <c r="D43">
        <v>697.55</v>
      </c>
      <c r="E43">
        <v>-191.96</v>
      </c>
      <c r="F43">
        <v>1203.1400000000001</v>
      </c>
    </row>
    <row r="44" spans="1:6" hidden="1" x14ac:dyDescent="0.25">
      <c r="A44">
        <v>2020</v>
      </c>
      <c r="B44" t="s">
        <v>21</v>
      </c>
      <c r="C44">
        <v>131.41999999999999</v>
      </c>
      <c r="D44">
        <v>774.03</v>
      </c>
      <c r="E44">
        <v>-642.61</v>
      </c>
      <c r="F44">
        <v>905.45</v>
      </c>
    </row>
    <row r="45" spans="1:6" hidden="1" x14ac:dyDescent="0.25">
      <c r="A45">
        <v>2021</v>
      </c>
      <c r="B45" t="s">
        <v>21</v>
      </c>
      <c r="C45">
        <v>33.78</v>
      </c>
      <c r="D45">
        <v>1316.74</v>
      </c>
      <c r="E45">
        <v>-1282.96</v>
      </c>
      <c r="F45">
        <v>1350.52</v>
      </c>
    </row>
    <row r="46" spans="1:6" hidden="1" x14ac:dyDescent="0.25">
      <c r="A46">
        <v>2022</v>
      </c>
      <c r="B46" t="s">
        <v>21</v>
      </c>
      <c r="C46">
        <v>338.26</v>
      </c>
      <c r="D46">
        <v>705.99</v>
      </c>
      <c r="E46">
        <v>-367.73</v>
      </c>
      <c r="F46">
        <v>1044.24</v>
      </c>
    </row>
    <row r="47" spans="1:6" hidden="1" x14ac:dyDescent="0.25">
      <c r="A47">
        <v>2023</v>
      </c>
      <c r="B47" t="s">
        <v>21</v>
      </c>
      <c r="C47">
        <v>560.25</v>
      </c>
      <c r="D47">
        <v>168.82</v>
      </c>
      <c r="E47">
        <v>391.44</v>
      </c>
      <c r="F47">
        <v>729.07</v>
      </c>
    </row>
    <row r="48" spans="1:6" hidden="1" x14ac:dyDescent="0.25">
      <c r="A48">
        <v>2024</v>
      </c>
      <c r="B48" t="s">
        <v>21</v>
      </c>
      <c r="C48">
        <v>253.56</v>
      </c>
      <c r="D48">
        <v>209.92</v>
      </c>
      <c r="E48">
        <v>43.63</v>
      </c>
      <c r="F48">
        <v>463.48</v>
      </c>
    </row>
    <row r="49" spans="1:6" hidden="1" x14ac:dyDescent="0.25">
      <c r="A49">
        <v>2025</v>
      </c>
      <c r="B49" t="s">
        <v>21</v>
      </c>
      <c r="C49">
        <v>263.45</v>
      </c>
      <c r="D49">
        <v>635.1</v>
      </c>
      <c r="E49">
        <v>-371.65</v>
      </c>
      <c r="F49">
        <v>898.55</v>
      </c>
    </row>
    <row r="50" spans="1:6" hidden="1" x14ac:dyDescent="0.25">
      <c r="A50">
        <v>2020</v>
      </c>
      <c r="B50" t="s">
        <v>22</v>
      </c>
      <c r="C50">
        <v>1156.03</v>
      </c>
      <c r="D50">
        <v>1084.5999999999999</v>
      </c>
      <c r="E50">
        <v>71.430000000000007</v>
      </c>
      <c r="F50">
        <v>2240.63</v>
      </c>
    </row>
    <row r="51" spans="1:6" hidden="1" x14ac:dyDescent="0.25">
      <c r="A51">
        <v>2021</v>
      </c>
      <c r="B51" t="s">
        <v>22</v>
      </c>
      <c r="C51">
        <v>1115.75</v>
      </c>
      <c r="D51">
        <v>1140.94</v>
      </c>
      <c r="E51">
        <v>-25.19</v>
      </c>
      <c r="F51">
        <v>2256.69</v>
      </c>
    </row>
    <row r="52" spans="1:6" hidden="1" x14ac:dyDescent="0.25">
      <c r="A52">
        <v>2022</v>
      </c>
      <c r="B52" t="s">
        <v>22</v>
      </c>
      <c r="C52">
        <v>1103.95</v>
      </c>
      <c r="D52">
        <v>1480.79</v>
      </c>
      <c r="E52">
        <v>-376.84</v>
      </c>
      <c r="F52">
        <v>2584.75</v>
      </c>
    </row>
    <row r="53" spans="1:6" hidden="1" x14ac:dyDescent="0.25">
      <c r="A53">
        <v>2023</v>
      </c>
      <c r="B53" t="s">
        <v>22</v>
      </c>
      <c r="C53">
        <v>1064.25</v>
      </c>
      <c r="D53">
        <v>1944.25</v>
      </c>
      <c r="E53">
        <v>-880</v>
      </c>
      <c r="F53">
        <v>3008.51</v>
      </c>
    </row>
    <row r="54" spans="1:6" hidden="1" x14ac:dyDescent="0.25">
      <c r="A54">
        <v>2024</v>
      </c>
      <c r="B54" t="s">
        <v>22</v>
      </c>
      <c r="C54">
        <v>1026.3699999999999</v>
      </c>
      <c r="D54">
        <v>1862.88</v>
      </c>
      <c r="E54">
        <v>-836.51</v>
      </c>
      <c r="F54">
        <v>2889.25</v>
      </c>
    </row>
    <row r="55" spans="1:6" hidden="1" x14ac:dyDescent="0.25">
      <c r="A55">
        <v>2025</v>
      </c>
      <c r="B55" t="s">
        <v>22</v>
      </c>
      <c r="C55">
        <v>1093.27</v>
      </c>
      <c r="D55">
        <v>1502.69</v>
      </c>
      <c r="E55">
        <v>-409.42</v>
      </c>
      <c r="F55">
        <v>2595.9699999999998</v>
      </c>
    </row>
    <row r="56" spans="1:6" hidden="1" x14ac:dyDescent="0.25">
      <c r="A56">
        <v>2020</v>
      </c>
      <c r="B56" t="s">
        <v>33</v>
      </c>
      <c r="C56">
        <v>0</v>
      </c>
      <c r="D56">
        <v>0</v>
      </c>
      <c r="E56">
        <v>0</v>
      </c>
      <c r="F56">
        <v>0</v>
      </c>
    </row>
    <row r="57" spans="1:6" hidden="1" x14ac:dyDescent="0.25">
      <c r="A57">
        <v>2021</v>
      </c>
      <c r="B57" t="s">
        <v>33</v>
      </c>
      <c r="C57">
        <v>0</v>
      </c>
      <c r="D57">
        <v>0</v>
      </c>
      <c r="E57">
        <v>0</v>
      </c>
      <c r="F57">
        <v>0</v>
      </c>
    </row>
    <row r="58" spans="1:6" hidden="1" x14ac:dyDescent="0.25">
      <c r="A58">
        <v>2022</v>
      </c>
      <c r="B58" t="s">
        <v>33</v>
      </c>
      <c r="C58">
        <v>0</v>
      </c>
      <c r="D58">
        <v>0</v>
      </c>
      <c r="E58">
        <v>0</v>
      </c>
      <c r="F58">
        <v>0</v>
      </c>
    </row>
    <row r="59" spans="1:6" hidden="1" x14ac:dyDescent="0.25">
      <c r="A59">
        <v>2023</v>
      </c>
      <c r="B59" t="s">
        <v>33</v>
      </c>
      <c r="C59">
        <v>0</v>
      </c>
      <c r="D59">
        <v>0</v>
      </c>
      <c r="E59">
        <v>0</v>
      </c>
      <c r="F59">
        <v>0</v>
      </c>
    </row>
    <row r="60" spans="1:6" hidden="1" x14ac:dyDescent="0.25">
      <c r="A60">
        <v>2024</v>
      </c>
      <c r="B60" t="s">
        <v>33</v>
      </c>
      <c r="C60">
        <v>0</v>
      </c>
      <c r="D60">
        <v>0</v>
      </c>
      <c r="E60">
        <v>0</v>
      </c>
      <c r="F60">
        <v>0</v>
      </c>
    </row>
    <row r="61" spans="1:6" hidden="1" x14ac:dyDescent="0.25">
      <c r="A61">
        <v>2025</v>
      </c>
      <c r="B61" t="s">
        <v>33</v>
      </c>
      <c r="C61">
        <v>0</v>
      </c>
      <c r="D61">
        <v>0</v>
      </c>
      <c r="E61">
        <v>0</v>
      </c>
      <c r="F61">
        <v>0</v>
      </c>
    </row>
    <row r="62" spans="1:6" hidden="1" x14ac:dyDescent="0.25">
      <c r="A62">
        <v>2020</v>
      </c>
      <c r="B62" t="s">
        <v>23</v>
      </c>
      <c r="C62">
        <v>1337.27</v>
      </c>
      <c r="D62">
        <v>1622.1</v>
      </c>
      <c r="E62">
        <v>-284.83999999999997</v>
      </c>
      <c r="F62">
        <v>2959.37</v>
      </c>
    </row>
    <row r="63" spans="1:6" hidden="1" x14ac:dyDescent="0.25">
      <c r="A63">
        <v>2021</v>
      </c>
      <c r="B63" t="s">
        <v>23</v>
      </c>
      <c r="C63">
        <v>1240.48</v>
      </c>
      <c r="D63">
        <v>1442.41</v>
      </c>
      <c r="E63">
        <v>-201.93</v>
      </c>
      <c r="F63">
        <v>2682.89</v>
      </c>
    </row>
    <row r="64" spans="1:6" hidden="1" x14ac:dyDescent="0.25">
      <c r="A64">
        <v>2022</v>
      </c>
      <c r="B64" t="s">
        <v>23</v>
      </c>
      <c r="C64">
        <v>1178.6600000000001</v>
      </c>
      <c r="D64">
        <v>1368.86</v>
      </c>
      <c r="E64">
        <v>-190.2</v>
      </c>
      <c r="F64">
        <v>2547.52</v>
      </c>
    </row>
    <row r="65" spans="1:6" hidden="1" x14ac:dyDescent="0.25">
      <c r="A65">
        <v>2023</v>
      </c>
      <c r="B65" t="s">
        <v>23</v>
      </c>
      <c r="C65">
        <v>1090.1400000000001</v>
      </c>
      <c r="D65">
        <v>1229.97</v>
      </c>
      <c r="E65">
        <v>-139.83000000000001</v>
      </c>
      <c r="F65">
        <v>2320.11</v>
      </c>
    </row>
    <row r="66" spans="1:6" hidden="1" x14ac:dyDescent="0.25">
      <c r="A66">
        <v>2024</v>
      </c>
      <c r="B66" t="s">
        <v>23</v>
      </c>
      <c r="C66">
        <v>1123.72</v>
      </c>
      <c r="D66">
        <v>1267.74</v>
      </c>
      <c r="E66">
        <v>-144.02000000000001</v>
      </c>
      <c r="F66">
        <v>2391.46</v>
      </c>
    </row>
    <row r="67" spans="1:6" hidden="1" x14ac:dyDescent="0.25">
      <c r="A67">
        <v>2025</v>
      </c>
      <c r="B67" t="s">
        <v>23</v>
      </c>
      <c r="C67">
        <v>1194.05</v>
      </c>
      <c r="D67">
        <v>1386.22</v>
      </c>
      <c r="E67">
        <v>-192.17</v>
      </c>
      <c r="F67">
        <v>2580.27</v>
      </c>
    </row>
    <row r="68" spans="1:6" hidden="1" x14ac:dyDescent="0.25">
      <c r="A68">
        <v>2020</v>
      </c>
      <c r="B68" t="s">
        <v>26</v>
      </c>
      <c r="C68">
        <v>1084.5999999999999</v>
      </c>
      <c r="D68">
        <v>113.94</v>
      </c>
      <c r="E68">
        <v>970.66</v>
      </c>
      <c r="F68">
        <v>1198.55</v>
      </c>
    </row>
    <row r="69" spans="1:6" hidden="1" x14ac:dyDescent="0.25">
      <c r="A69">
        <v>2021</v>
      </c>
      <c r="B69" t="s">
        <v>26</v>
      </c>
      <c r="C69">
        <v>1140.94</v>
      </c>
      <c r="D69">
        <v>67.099999999999994</v>
      </c>
      <c r="E69">
        <v>1073.8399999999999</v>
      </c>
      <c r="F69">
        <v>1208.04</v>
      </c>
    </row>
    <row r="70" spans="1:6" hidden="1" x14ac:dyDescent="0.25">
      <c r="A70">
        <v>2022</v>
      </c>
      <c r="B70" t="s">
        <v>26</v>
      </c>
      <c r="C70">
        <v>1480.79</v>
      </c>
      <c r="D70">
        <v>360.57</v>
      </c>
      <c r="E70">
        <v>1120.22</v>
      </c>
      <c r="F70">
        <v>1841.37</v>
      </c>
    </row>
    <row r="71" spans="1:6" hidden="1" x14ac:dyDescent="0.25">
      <c r="A71">
        <v>2023</v>
      </c>
      <c r="B71" t="s">
        <v>26</v>
      </c>
      <c r="C71">
        <v>1944.25</v>
      </c>
      <c r="D71">
        <v>280.33</v>
      </c>
      <c r="E71">
        <v>1663.92</v>
      </c>
      <c r="F71">
        <v>2224.59</v>
      </c>
    </row>
    <row r="72" spans="1:6" hidden="1" x14ac:dyDescent="0.25">
      <c r="A72">
        <v>2024</v>
      </c>
      <c r="B72" t="s">
        <v>26</v>
      </c>
      <c r="C72">
        <v>1862.88</v>
      </c>
      <c r="D72">
        <v>377.1</v>
      </c>
      <c r="E72">
        <v>1485.78</v>
      </c>
      <c r="F72">
        <v>2239.98</v>
      </c>
    </row>
    <row r="73" spans="1:6" hidden="1" x14ac:dyDescent="0.25">
      <c r="A73">
        <v>2025</v>
      </c>
      <c r="B73" t="s">
        <v>26</v>
      </c>
      <c r="C73">
        <v>1502.69</v>
      </c>
      <c r="D73">
        <v>239.81</v>
      </c>
      <c r="E73">
        <v>1262.8800000000001</v>
      </c>
      <c r="F73">
        <v>1742.5</v>
      </c>
    </row>
    <row r="74" spans="1:6" hidden="1" x14ac:dyDescent="0.25">
      <c r="A74">
        <v>2020</v>
      </c>
      <c r="B74" t="s">
        <v>24</v>
      </c>
      <c r="C74">
        <v>934.01</v>
      </c>
      <c r="D74">
        <v>2004.71</v>
      </c>
      <c r="E74">
        <v>-1070.7</v>
      </c>
      <c r="F74">
        <v>2938.73</v>
      </c>
    </row>
    <row r="75" spans="1:6" hidden="1" x14ac:dyDescent="0.25">
      <c r="A75">
        <v>2021</v>
      </c>
      <c r="B75" t="s">
        <v>24</v>
      </c>
      <c r="C75">
        <v>886.94</v>
      </c>
      <c r="D75">
        <v>1892.14</v>
      </c>
      <c r="E75">
        <v>-1005.2</v>
      </c>
      <c r="F75">
        <v>2779.08</v>
      </c>
    </row>
    <row r="76" spans="1:6" hidden="1" x14ac:dyDescent="0.25">
      <c r="A76">
        <v>2022</v>
      </c>
      <c r="B76" t="s">
        <v>24</v>
      </c>
      <c r="C76">
        <v>727.59</v>
      </c>
      <c r="D76">
        <v>1789.79</v>
      </c>
      <c r="E76">
        <v>-1062.2</v>
      </c>
      <c r="F76">
        <v>2517.37</v>
      </c>
    </row>
    <row r="77" spans="1:6" hidden="1" x14ac:dyDescent="0.25">
      <c r="A77">
        <v>2023</v>
      </c>
      <c r="B77" t="s">
        <v>24</v>
      </c>
      <c r="C77">
        <v>539</v>
      </c>
      <c r="D77">
        <v>1356.2</v>
      </c>
      <c r="E77">
        <v>-817.2</v>
      </c>
      <c r="F77">
        <v>1895.2</v>
      </c>
    </row>
    <row r="78" spans="1:6" hidden="1" x14ac:dyDescent="0.25">
      <c r="A78">
        <v>2024</v>
      </c>
      <c r="B78" t="s">
        <v>24</v>
      </c>
      <c r="C78">
        <v>1036.44</v>
      </c>
      <c r="D78">
        <v>1899.98</v>
      </c>
      <c r="E78">
        <v>-863.54</v>
      </c>
      <c r="F78">
        <v>2936.43</v>
      </c>
    </row>
    <row r="79" spans="1:6" hidden="1" x14ac:dyDescent="0.25">
      <c r="A79">
        <v>2025</v>
      </c>
      <c r="B79" t="s">
        <v>24</v>
      </c>
      <c r="C79">
        <v>824.8</v>
      </c>
      <c r="D79">
        <v>1788.56</v>
      </c>
      <c r="E79">
        <v>-963.77</v>
      </c>
      <c r="F79">
        <v>2613.36</v>
      </c>
    </row>
    <row r="80" spans="1:6" hidden="1" x14ac:dyDescent="0.25">
      <c r="A80">
        <v>2020</v>
      </c>
      <c r="B80" t="s">
        <v>25</v>
      </c>
      <c r="C80">
        <v>566.74</v>
      </c>
      <c r="D80">
        <v>116.87</v>
      </c>
      <c r="E80">
        <v>449.87</v>
      </c>
      <c r="F80">
        <v>683.61</v>
      </c>
    </row>
    <row r="81" spans="1:6" hidden="1" x14ac:dyDescent="0.25">
      <c r="A81">
        <v>2021</v>
      </c>
      <c r="B81" t="s">
        <v>25</v>
      </c>
      <c r="C81">
        <v>501.8</v>
      </c>
      <c r="D81">
        <v>63.1</v>
      </c>
      <c r="E81">
        <v>438.7</v>
      </c>
      <c r="F81">
        <v>564.9</v>
      </c>
    </row>
    <row r="82" spans="1:6" hidden="1" x14ac:dyDescent="0.25">
      <c r="A82">
        <v>2022</v>
      </c>
      <c r="B82" t="s">
        <v>25</v>
      </c>
      <c r="C82">
        <v>391.6</v>
      </c>
      <c r="D82">
        <v>234.6</v>
      </c>
      <c r="E82">
        <v>157</v>
      </c>
      <c r="F82">
        <v>626.20000000000005</v>
      </c>
    </row>
    <row r="83" spans="1:6" hidden="1" x14ac:dyDescent="0.25">
      <c r="A83">
        <v>2023</v>
      </c>
      <c r="B83" t="s">
        <v>25</v>
      </c>
      <c r="C83">
        <v>269.72000000000003</v>
      </c>
      <c r="D83">
        <v>126.49</v>
      </c>
      <c r="E83">
        <v>143.22999999999999</v>
      </c>
      <c r="F83">
        <v>396.21</v>
      </c>
    </row>
    <row r="84" spans="1:6" hidden="1" x14ac:dyDescent="0.25">
      <c r="A84">
        <v>2024</v>
      </c>
      <c r="B84" t="s">
        <v>25</v>
      </c>
      <c r="C84">
        <v>593.51</v>
      </c>
      <c r="D84">
        <v>54.92</v>
      </c>
      <c r="E84">
        <v>538.59</v>
      </c>
      <c r="F84">
        <v>648.42999999999995</v>
      </c>
    </row>
    <row r="85" spans="1:6" hidden="1" x14ac:dyDescent="0.25">
      <c r="A85">
        <v>2025</v>
      </c>
      <c r="B85" t="s">
        <v>25</v>
      </c>
      <c r="C85">
        <v>464.67</v>
      </c>
      <c r="D85">
        <v>119.2</v>
      </c>
      <c r="E85">
        <v>345.48</v>
      </c>
      <c r="F85">
        <v>583.87</v>
      </c>
    </row>
    <row r="86" spans="1:6" hidden="1" x14ac:dyDescent="0.25">
      <c r="A86">
        <v>2020</v>
      </c>
      <c r="B86" t="s">
        <v>15</v>
      </c>
      <c r="C86">
        <v>28004.799999999999</v>
      </c>
      <c r="D86">
        <v>0</v>
      </c>
      <c r="E86">
        <v>28004.799999999999</v>
      </c>
      <c r="F86">
        <v>28004.799999999999</v>
      </c>
    </row>
    <row r="87" spans="1:6" hidden="1" x14ac:dyDescent="0.25">
      <c r="A87">
        <v>2021</v>
      </c>
      <c r="B87" t="s">
        <v>15</v>
      </c>
      <c r="C87">
        <v>21719.19</v>
      </c>
      <c r="D87">
        <v>0</v>
      </c>
      <c r="E87">
        <v>21719.19</v>
      </c>
      <c r="F87">
        <v>21719.19</v>
      </c>
    </row>
    <row r="88" spans="1:6" hidden="1" x14ac:dyDescent="0.25">
      <c r="A88">
        <v>2022</v>
      </c>
      <c r="B88" t="s">
        <v>15</v>
      </c>
      <c r="C88">
        <v>23955.09</v>
      </c>
      <c r="D88">
        <v>0</v>
      </c>
      <c r="E88">
        <v>23955.09</v>
      </c>
      <c r="F88">
        <v>23955.09</v>
      </c>
    </row>
    <row r="89" spans="1:6" hidden="1" x14ac:dyDescent="0.25">
      <c r="A89">
        <v>2023</v>
      </c>
      <c r="B89" t="s">
        <v>15</v>
      </c>
      <c r="C89">
        <v>30389.81</v>
      </c>
      <c r="D89">
        <v>0</v>
      </c>
      <c r="E89">
        <v>30389.81</v>
      </c>
      <c r="F89">
        <v>30389.81</v>
      </c>
    </row>
    <row r="90" spans="1:6" hidden="1" x14ac:dyDescent="0.25">
      <c r="A90">
        <v>2024</v>
      </c>
      <c r="B90" t="s">
        <v>15</v>
      </c>
      <c r="C90">
        <v>15998.65</v>
      </c>
      <c r="D90">
        <v>0</v>
      </c>
      <c r="E90">
        <v>15998.65</v>
      </c>
      <c r="F90">
        <v>15998.65</v>
      </c>
    </row>
    <row r="91" spans="1:6" hidden="1" x14ac:dyDescent="0.25">
      <c r="A91">
        <v>2025</v>
      </c>
      <c r="B91" t="s">
        <v>15</v>
      </c>
      <c r="C91">
        <v>24013.51</v>
      </c>
      <c r="D91">
        <v>0</v>
      </c>
      <c r="E91">
        <v>24013.51</v>
      </c>
      <c r="F91">
        <v>24013.51</v>
      </c>
    </row>
    <row r="92" spans="1:6" hidden="1" x14ac:dyDescent="0.25">
      <c r="A92">
        <v>2020</v>
      </c>
      <c r="B92" t="s">
        <v>17</v>
      </c>
      <c r="C92">
        <v>0</v>
      </c>
      <c r="D92">
        <v>13.01</v>
      </c>
      <c r="E92">
        <v>-13.01</v>
      </c>
      <c r="F92">
        <v>13.01</v>
      </c>
    </row>
    <row r="93" spans="1:6" hidden="1" x14ac:dyDescent="0.25">
      <c r="A93">
        <v>2021</v>
      </c>
      <c r="B93" t="s">
        <v>17</v>
      </c>
      <c r="C93">
        <v>0</v>
      </c>
      <c r="D93">
        <v>43.58</v>
      </c>
      <c r="E93">
        <v>-43.58</v>
      </c>
      <c r="F93">
        <v>43.58</v>
      </c>
    </row>
    <row r="94" spans="1:6" hidden="1" x14ac:dyDescent="0.25">
      <c r="A94">
        <v>2022</v>
      </c>
      <c r="B94" t="s">
        <v>17</v>
      </c>
      <c r="C94">
        <v>2.99</v>
      </c>
      <c r="D94">
        <v>32.4</v>
      </c>
      <c r="E94">
        <v>-29.41</v>
      </c>
      <c r="F94">
        <v>35.39</v>
      </c>
    </row>
    <row r="95" spans="1:6" hidden="1" x14ac:dyDescent="0.25">
      <c r="A95">
        <v>2023</v>
      </c>
      <c r="B95" t="s">
        <v>17</v>
      </c>
      <c r="C95">
        <v>254.37</v>
      </c>
      <c r="D95">
        <v>139.26</v>
      </c>
      <c r="E95">
        <v>115.11</v>
      </c>
      <c r="F95">
        <v>393.63</v>
      </c>
    </row>
    <row r="96" spans="1:6" hidden="1" x14ac:dyDescent="0.25">
      <c r="A96">
        <v>2024</v>
      </c>
      <c r="B96" t="s">
        <v>17</v>
      </c>
      <c r="C96">
        <v>0</v>
      </c>
      <c r="D96">
        <v>0.6</v>
      </c>
      <c r="E96">
        <v>-0.6</v>
      </c>
      <c r="F96">
        <v>0.6</v>
      </c>
    </row>
    <row r="97" spans="1:6" hidden="1" x14ac:dyDescent="0.25">
      <c r="A97">
        <v>2025</v>
      </c>
      <c r="B97" t="s">
        <v>17</v>
      </c>
      <c r="C97">
        <v>51.47</v>
      </c>
      <c r="D97">
        <v>45.77</v>
      </c>
      <c r="E97">
        <v>5.7</v>
      </c>
      <c r="F97">
        <v>97.24</v>
      </c>
    </row>
    <row r="98" spans="1:6" hidden="1" x14ac:dyDescent="0.25">
      <c r="A98">
        <v>2020</v>
      </c>
      <c r="B98" t="s">
        <v>32</v>
      </c>
      <c r="C98">
        <v>0</v>
      </c>
      <c r="D98">
        <v>0</v>
      </c>
      <c r="E98">
        <v>0</v>
      </c>
      <c r="F98">
        <v>0</v>
      </c>
    </row>
    <row r="99" spans="1:6" hidden="1" x14ac:dyDescent="0.25">
      <c r="A99">
        <v>2021</v>
      </c>
      <c r="B99" t="s">
        <v>32</v>
      </c>
      <c r="C99">
        <v>0</v>
      </c>
      <c r="D99">
        <v>0</v>
      </c>
      <c r="E99">
        <v>0</v>
      </c>
      <c r="F99">
        <v>0</v>
      </c>
    </row>
    <row r="100" spans="1:6" hidden="1" x14ac:dyDescent="0.25">
      <c r="A100">
        <v>2022</v>
      </c>
      <c r="B100" t="s">
        <v>32</v>
      </c>
      <c r="C100">
        <v>0</v>
      </c>
      <c r="D100">
        <v>0</v>
      </c>
      <c r="E100">
        <v>0</v>
      </c>
      <c r="F100">
        <v>0</v>
      </c>
    </row>
    <row r="101" spans="1:6" hidden="1" x14ac:dyDescent="0.25">
      <c r="A101">
        <v>2023</v>
      </c>
      <c r="B101" t="s">
        <v>32</v>
      </c>
      <c r="C101">
        <v>0</v>
      </c>
      <c r="D101">
        <v>0</v>
      </c>
      <c r="E101">
        <v>0</v>
      </c>
      <c r="F101">
        <v>0</v>
      </c>
    </row>
    <row r="102" spans="1:6" hidden="1" x14ac:dyDescent="0.25">
      <c r="A102">
        <v>2024</v>
      </c>
      <c r="B102" t="s">
        <v>32</v>
      </c>
      <c r="C102">
        <v>0</v>
      </c>
      <c r="D102">
        <v>0</v>
      </c>
      <c r="E102">
        <v>0</v>
      </c>
      <c r="F102">
        <v>0</v>
      </c>
    </row>
    <row r="103" spans="1:6" hidden="1" x14ac:dyDescent="0.25">
      <c r="A103">
        <v>2025</v>
      </c>
      <c r="B103" t="s">
        <v>32</v>
      </c>
      <c r="C103">
        <v>0</v>
      </c>
      <c r="D103">
        <v>0</v>
      </c>
      <c r="E103">
        <v>0</v>
      </c>
      <c r="F103">
        <v>0</v>
      </c>
    </row>
    <row r="104" spans="1:6" hidden="1" x14ac:dyDescent="0.25">
      <c r="A104">
        <v>2020</v>
      </c>
      <c r="B104" t="s">
        <v>16</v>
      </c>
      <c r="C104">
        <v>1147.83</v>
      </c>
      <c r="D104">
        <v>514.02</v>
      </c>
      <c r="E104">
        <v>633.80999999999995</v>
      </c>
      <c r="F104">
        <v>1661.86</v>
      </c>
    </row>
    <row r="105" spans="1:6" hidden="1" x14ac:dyDescent="0.25">
      <c r="A105">
        <v>2021</v>
      </c>
      <c r="B105" t="s">
        <v>16</v>
      </c>
      <c r="C105">
        <v>2844.58</v>
      </c>
      <c r="D105">
        <v>54.66</v>
      </c>
      <c r="E105">
        <v>2789.92</v>
      </c>
      <c r="F105">
        <v>2899.24</v>
      </c>
    </row>
    <row r="106" spans="1:6" hidden="1" x14ac:dyDescent="0.25">
      <c r="A106">
        <v>2022</v>
      </c>
      <c r="B106" t="s">
        <v>16</v>
      </c>
      <c r="C106">
        <v>1416.48</v>
      </c>
      <c r="D106">
        <v>83.73</v>
      </c>
      <c r="E106">
        <v>1332.74</v>
      </c>
      <c r="F106">
        <v>1500.21</v>
      </c>
    </row>
    <row r="107" spans="1:6" hidden="1" x14ac:dyDescent="0.25">
      <c r="A107">
        <v>2023</v>
      </c>
      <c r="B107" t="s">
        <v>16</v>
      </c>
      <c r="C107">
        <v>244.22</v>
      </c>
      <c r="D107">
        <v>1397.87</v>
      </c>
      <c r="E107">
        <v>-1153.6500000000001</v>
      </c>
      <c r="F107">
        <v>1642.09</v>
      </c>
    </row>
    <row r="108" spans="1:6" hidden="1" x14ac:dyDescent="0.25">
      <c r="A108">
        <v>2024</v>
      </c>
      <c r="B108" t="s">
        <v>16</v>
      </c>
      <c r="C108">
        <v>2027.02</v>
      </c>
      <c r="D108">
        <v>6.98</v>
      </c>
      <c r="E108">
        <v>2020.05</v>
      </c>
      <c r="F108">
        <v>2034</v>
      </c>
    </row>
    <row r="109" spans="1:6" hidden="1" x14ac:dyDescent="0.25">
      <c r="A109">
        <v>2025</v>
      </c>
      <c r="B109" t="s">
        <v>16</v>
      </c>
      <c r="C109">
        <v>1536.03</v>
      </c>
      <c r="D109">
        <v>411.45</v>
      </c>
      <c r="E109">
        <v>1124.58</v>
      </c>
      <c r="F109">
        <v>1947.48</v>
      </c>
    </row>
  </sheetData>
  <autoFilter ref="A1:F109" xr:uid="{00000000-0001-0000-0200-000000000000}">
    <filterColumn colId="1">
      <filters>
        <filter val="Bolivia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Flujos Bilaterales</vt:lpstr>
      <vt:lpstr>Flujos por Interconexión</vt:lpstr>
      <vt:lpstr>Imp-Exp por País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Andrey Salazar-Vargas</cp:lastModifiedBy>
  <dcterms:created xsi:type="dcterms:W3CDTF">2026-02-09T17:14:34Z</dcterms:created>
  <dcterms:modified xsi:type="dcterms:W3CDTF">2026-02-09T20:54:20Z</dcterms:modified>
</cp:coreProperties>
</file>