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8_{75A74E40-99C7-4786-905F-62AF2B890DF3}" xr6:coauthVersionLast="47" xr6:coauthVersionMax="47" xr10:uidLastSave="{00000000-0000-0000-0000-000000000000}"/>
  <bookViews>
    <workbookView xWindow="-120" yWindow="-120" windowWidth="29040" windowHeight="15720" firstSheet="1" activeTab="4" xr2:uid="{69FCDAA5-471B-45A1-B812-97875D17C892}"/>
  </bookViews>
  <sheets>
    <sheet name="CireLAC Demanda PJ" sheetId="4" r:id="rId1"/>
    <sheet name="GETR Demanda PJ" sheetId="3" r:id="rId2"/>
    <sheet name="WEO Demanda PJ" sheetId="9" r:id="rId3"/>
    <sheet name="GETR formato CireLAC" sheetId="7" r:id="rId4"/>
    <sheet name="WEO formato CireLAC" sheetId="8" r:id="rId5"/>
  </sheets>
  <externalReferences>
    <externalReference r:id="rId6"/>
  </externalReferences>
  <definedNames>
    <definedName name="_xlnm._FilterDatabase" localSheetId="0" hidden="1">'CireLAC Demanda PJ'!$A$1:$AJ$20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22" i="8" l="1"/>
  <c r="A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I22" i="8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Climate Lead Group</author>
  </authors>
  <commentList>
    <comment ref="B4" authorId="0" shapeId="0" xr:uid="{735BEBF2-40F4-4FA3-A113-3E146E0F465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4" authorId="0" shapeId="0" xr:uid="{57EDD458-D62F-4DCC-A208-A0B709CA150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4" authorId="0" shapeId="0" xr:uid="{76BEF568-047D-4694-851D-ABCB4A00ED5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4" authorId="0" shapeId="0" xr:uid="{A7C9978F-C763-42B6-A176-5BBEE2B4270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4" authorId="0" shapeId="0" xr:uid="{D832E228-DD51-4225-A0AC-D4B552024BC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4" authorId="0" shapeId="0" xr:uid="{C5FDE30E-D203-4FDC-871C-437B693A3F3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4" authorId="0" shapeId="0" xr:uid="{CC4D2495-FE09-40B6-AC02-D037D9DAF6A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4" authorId="0" shapeId="0" xr:uid="{82242E28-F051-455F-91F9-106B5DB34E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4" authorId="0" shapeId="0" xr:uid="{1089FD6F-7197-4E13-AB20-EB44F2373BA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4" authorId="0" shapeId="0" xr:uid="{50D9A7BD-8067-4BE9-93D2-44CFB355801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4" authorId="0" shapeId="0" xr:uid="{A41FBEA4-A28F-4C19-82C5-E3F837F72C0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4" authorId="0" shapeId="0" xr:uid="{A0036DE2-A128-486F-8E45-904A36D3707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4" authorId="0" shapeId="0" xr:uid="{05FDB025-570D-4405-95AE-C0182274DE3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4" authorId="0" shapeId="0" xr:uid="{CA7E1E13-B179-4645-9569-A947071AC25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4" authorId="0" shapeId="0" xr:uid="{6D159CC8-9EE7-4ADB-A880-4582F6BDBE6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4" authorId="0" shapeId="0" xr:uid="{C5452CAA-CF67-4303-AFC7-269CA9B6F54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4" authorId="0" shapeId="0" xr:uid="{F67E0735-D7B4-4DBC-9ACA-7179D46E806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4" authorId="0" shapeId="0" xr:uid="{B78686D9-1A83-4BE1-B464-2981A3AB64E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4" authorId="0" shapeId="0" xr:uid="{2A511C9D-B418-40A7-BFE8-3ED5EA87185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4" authorId="0" shapeId="0" xr:uid="{E444C9DA-5330-41BE-B73D-89F83FD8B9E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4" authorId="0" shapeId="0" xr:uid="{778F4E79-3651-4F46-BB85-4F1C91FD3B6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4" authorId="0" shapeId="0" xr:uid="{633C39B1-2984-4795-BE7C-1A25B0ECA28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4" authorId="0" shapeId="0" xr:uid="{27B57F52-6DD0-411E-A6E3-81712896B1E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4" authorId="0" shapeId="0" xr:uid="{B59FAD22-2B57-4FD6-87EA-AFE7297C96B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4" authorId="0" shapeId="0" xr:uid="{ACFCAF8F-08A6-4358-B66C-2AED6BEB47B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4" authorId="0" shapeId="0" xr:uid="{29076A86-6D80-4959-AC40-90CBAAB11EE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4" authorId="0" shapeId="0" xr:uid="{64D82DB1-0328-4806-93B0-CA9FE33A9EA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4" authorId="0" shapeId="0" xr:uid="{02C47789-53DB-4F4F-A92B-9021E5FB97E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4" authorId="0" shapeId="0" xr:uid="{0C687007-34B9-45A6-9CB3-0B479243382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4" authorId="0" shapeId="0" xr:uid="{F391F78E-F4AE-43DC-B1A5-E4DFE8590B4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4" authorId="0" shapeId="0" xr:uid="{A7475800-1BD4-434E-8858-3BD9D9A90D3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4" authorId="0" shapeId="0" xr:uid="{0526CD7E-C815-4EE7-BBAC-CD4FB6FF13F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4" authorId="0" shapeId="0" xr:uid="{47B280B1-09F7-4A81-99AA-89785F30C2F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4" authorId="0" shapeId="0" xr:uid="{730D917F-34D7-49A8-A0EE-28B7184964D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4" authorId="0" shapeId="0" xr:uid="{AB825078-8715-4EC0-A55D-694FDD0A536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4" authorId="0" shapeId="0" xr:uid="{CAC8C721-24EB-40CC-92A4-32DC57FEB3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4" authorId="0" shapeId="0" xr:uid="{819F06A6-9DBF-48ED-B729-8469F1CB38B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4" authorId="0" shapeId="0" xr:uid="{75EEA8AE-DDA6-488F-A2F6-CC77D2953AA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4" authorId="0" shapeId="0" xr:uid="{1B23485F-6C9D-45C3-8913-D16D1F6050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4" authorId="0" shapeId="0" xr:uid="{1470150B-5050-4E56-983E-68AC5A8D3A4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4" authorId="0" shapeId="0" xr:uid="{AA868991-E232-4ABE-A060-9539334F744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4" authorId="0" shapeId="0" xr:uid="{556C1FC2-CB0C-4C11-BFC4-0DC822DC0E3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4" authorId="0" shapeId="0" xr:uid="{889945C4-898B-4BA2-B5FC-CA84F73972E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4" authorId="0" shapeId="0" xr:uid="{82B1FAC5-6057-4F55-A64A-9767454C24F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4" authorId="0" shapeId="0" xr:uid="{CB0AB388-B5D6-4357-B61A-0F9ECF9F30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5" authorId="0" shapeId="0" xr:uid="{B6BB4528-EDEF-470E-B7D5-62634ADE65F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5" authorId="0" shapeId="0" xr:uid="{36A7AEDC-C795-4467-B355-A139381460C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5" authorId="0" shapeId="0" xr:uid="{61C089A7-6765-4E66-AE3E-90DCBEADD4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5" authorId="0" shapeId="0" xr:uid="{13F03664-6389-469E-AA48-FD37FA054F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5" authorId="0" shapeId="0" xr:uid="{FDBD914A-2E4F-4695-B3F5-60E414A564A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5" authorId="0" shapeId="0" xr:uid="{D7F148D8-7173-4861-A6D4-78F9A05536E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5" authorId="0" shapeId="0" xr:uid="{60735DF1-4C01-4E66-905B-FF6C2F95E1C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5" authorId="0" shapeId="0" xr:uid="{685B6530-BC00-4C89-B979-27D8620D544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5" authorId="0" shapeId="0" xr:uid="{4A513818-B38D-4BF3-8C8C-B0503858CB5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5" authorId="0" shapeId="0" xr:uid="{89E7C882-D73F-4C8E-9A68-931C5093871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5" authorId="0" shapeId="0" xr:uid="{30F4CB4B-749B-4B36-8D28-E9C4A3B908B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5" authorId="0" shapeId="0" xr:uid="{549C37A6-8401-4BE8-8647-9B37E669BD4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5" authorId="0" shapeId="0" xr:uid="{A314B7CF-8E19-4EDC-B5D5-ADFAE4B9759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5" authorId="0" shapeId="0" xr:uid="{6C22A0A8-9A7E-41BA-9803-B16773FC97F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5" authorId="0" shapeId="0" xr:uid="{3E0C4874-9008-4EE0-AE19-9E9BED33D4C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5" authorId="0" shapeId="0" xr:uid="{FA8198E7-DAE1-49F2-9E02-D6227A8069E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5" authorId="0" shapeId="0" xr:uid="{7FAC5AE8-1B74-4B7E-B73C-16B5E1EDCC4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5" authorId="0" shapeId="0" xr:uid="{41E8FFE5-83A8-407C-9B13-195D25B8566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5" authorId="0" shapeId="0" xr:uid="{FAB437F8-4CB5-4EB6-AA31-59F7621CB44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5" authorId="0" shapeId="0" xr:uid="{E7049E4A-7742-43C8-BC79-4D2138708C7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5" authorId="0" shapeId="0" xr:uid="{31D00949-3403-4923-809C-A402AF9EA2B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5" authorId="0" shapeId="0" xr:uid="{D695ABB2-E27A-496A-8ED4-C72BE6BC074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5" authorId="0" shapeId="0" xr:uid="{7275471B-64A5-49D8-85E6-56001494D61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5" authorId="0" shapeId="0" xr:uid="{B1D10F30-2809-42E7-9FE6-46C94948C55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5" authorId="0" shapeId="0" xr:uid="{C64864D0-66F0-4F3A-9358-DD78DDA662B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5" authorId="0" shapeId="0" xr:uid="{FAC88099-F0A1-49EE-8C64-DEB638097FD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5" authorId="0" shapeId="0" xr:uid="{B5CF238D-CCC5-44B0-B9A5-92D0584227A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5" authorId="0" shapeId="0" xr:uid="{68F798DE-2AE7-4659-8954-D6C38B4CF6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5" authorId="0" shapeId="0" xr:uid="{DE5AFBDF-EBD8-46CA-8A4E-423755EAFC5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5" authorId="0" shapeId="0" xr:uid="{7953DAC6-E3B9-4AA6-85AE-3634D28D81E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5" authorId="0" shapeId="0" xr:uid="{99979E94-69C6-4983-9210-A6A2F825300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5" authorId="0" shapeId="0" xr:uid="{853DD5F6-7CF6-461F-97E0-0C62D336C01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5" authorId="0" shapeId="0" xr:uid="{211F0469-8602-43B0-874B-B89448634E0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5" authorId="0" shapeId="0" xr:uid="{15E33190-B187-461F-8773-C06ADFC22C2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5" authorId="0" shapeId="0" xr:uid="{A86E3C56-ECD0-4BF1-976E-E7AD9C555A1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5" authorId="0" shapeId="0" xr:uid="{2D73751E-DA53-479C-9516-BCDE84B18F3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5" authorId="0" shapeId="0" xr:uid="{C9567018-77F5-4088-B184-8F4703EB32B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5" authorId="0" shapeId="0" xr:uid="{F9C51302-CE9B-438A-98BE-E807E6D118C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5" authorId="0" shapeId="0" xr:uid="{825EE11B-A81A-4C94-A943-9D8909359D3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5" authorId="0" shapeId="0" xr:uid="{5A89BFC4-104D-44DB-8D4C-1A5B5F51512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5" authorId="0" shapeId="0" xr:uid="{41F6D19B-9652-4BFB-A000-B8A3F6C5E70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5" authorId="0" shapeId="0" xr:uid="{F8132607-7149-44BC-BD77-46DA5B5A7FA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5" authorId="0" shapeId="0" xr:uid="{38041C17-389D-420D-B8B4-ED78E0383CE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5" authorId="0" shapeId="0" xr:uid="{6346C1D3-7936-4FAD-9D2B-2082ADAB7EF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5" authorId="0" shapeId="0" xr:uid="{3D04B258-97AF-4473-A945-D790F28746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6" authorId="0" shapeId="0" xr:uid="{D38A129A-9180-4566-A35E-B5F3ED2276A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6" authorId="0" shapeId="0" xr:uid="{D8E0A1A8-9CE3-4E1B-928B-97280C365B5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6" authorId="0" shapeId="0" xr:uid="{51EEE6A3-EBFE-4A73-AF72-9716FAFE6D1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6" authorId="0" shapeId="0" xr:uid="{2D7ABD57-9028-4102-A8FE-E3B1BC10123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6" authorId="0" shapeId="0" xr:uid="{5CB1A584-AA94-4412-A806-DB61360D2A0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6" authorId="0" shapeId="0" xr:uid="{9EAEDC92-E88B-453E-B52A-8B73FE29702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6" authorId="0" shapeId="0" xr:uid="{7B462EDF-1C5F-446C-96AB-AFEBA0C0226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6" authorId="0" shapeId="0" xr:uid="{84C626F3-C3B3-4526-926D-85DA33177BF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6" authorId="0" shapeId="0" xr:uid="{9B014EE8-3CA3-4864-9C79-5B86BD4773A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6" authorId="0" shapeId="0" xr:uid="{908BD2DF-B87C-4C1A-9FB1-46FA340D6FD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6" authorId="0" shapeId="0" xr:uid="{96A4B5A9-A280-49C3-8608-2E36EBD8A04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6" authorId="0" shapeId="0" xr:uid="{662967AE-0DC1-4D60-B548-D7EA5F3D9F2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6" authorId="0" shapeId="0" xr:uid="{B0310CFA-1290-4F0A-8A53-5F5DCD0C6C8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6" authorId="0" shapeId="0" xr:uid="{AADA5302-C17D-4866-8983-0C8E9593759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6" authorId="0" shapeId="0" xr:uid="{945DDE36-2C76-4B29-A1EC-2AD335B367B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6" authorId="0" shapeId="0" xr:uid="{73EA1BBC-3D02-4D0F-A27A-17C0BA211C3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6" authorId="0" shapeId="0" xr:uid="{A53F6F93-AD4C-4BFA-B298-72216FEAF67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6" authorId="0" shapeId="0" xr:uid="{973DB047-9169-488C-BC0E-F60814A8E35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6" authorId="0" shapeId="0" xr:uid="{2A7C8F5D-0405-4F32-BCA4-CF4F2FE7CE6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6" authorId="0" shapeId="0" xr:uid="{BB2FCE55-520F-46EF-BAB7-F370D3408A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6" authorId="0" shapeId="0" xr:uid="{0082E8C3-EA4E-4C98-8B1F-E659DF4578B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6" authorId="0" shapeId="0" xr:uid="{A258EB8F-A009-4AAA-B88A-9C45944B9F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6" authorId="0" shapeId="0" xr:uid="{7250A8FA-5F3A-4A52-BED5-5F8AE0B02D9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6" authorId="0" shapeId="0" xr:uid="{1E4A8A23-64C0-4D31-8234-D6BD885D964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6" authorId="0" shapeId="0" xr:uid="{92BC4658-BB6D-482D-8C36-33FD5CE6C21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6" authorId="0" shapeId="0" xr:uid="{646D1388-8CB5-4970-B79B-3FBDEDCE2CD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6" authorId="0" shapeId="0" xr:uid="{014EEDBD-A36E-4B3F-9253-AC881019D2A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6" authorId="0" shapeId="0" xr:uid="{461A0159-C656-4B84-9ED7-CBFC0C89028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6" authorId="0" shapeId="0" xr:uid="{C9FFA208-9956-4425-941B-8CBC127501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6" authorId="0" shapeId="0" xr:uid="{D5BEE1B9-8E52-4134-A940-198EBADC467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6" authorId="0" shapeId="0" xr:uid="{0ED7B459-7373-48D1-93ED-364597E0E4C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6" authorId="0" shapeId="0" xr:uid="{27B05A09-3CD9-4C1E-AC3C-E4FE11C8A8A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6" authorId="0" shapeId="0" xr:uid="{25F59981-07FA-4280-8B7E-68757CCFC24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6" authorId="0" shapeId="0" xr:uid="{142BB08E-ACFD-47DD-A868-07E8C09A016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6" authorId="0" shapeId="0" xr:uid="{4F84252F-8939-4ADB-914F-E642F540F31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6" authorId="0" shapeId="0" xr:uid="{31E74D22-D533-45E1-90B6-9D30B0B542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6" authorId="0" shapeId="0" xr:uid="{9C019B44-BE89-4F46-B256-4E2757C9CC5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6" authorId="0" shapeId="0" xr:uid="{D7EB89C1-D3BF-47D0-911C-A9A25A5F870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6" authorId="0" shapeId="0" xr:uid="{4A996FF5-37FD-440D-987E-2D380947E0F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6" authorId="0" shapeId="0" xr:uid="{D2FF39FA-5B18-488F-97D3-21C075B35D1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6" authorId="0" shapeId="0" xr:uid="{459B99F1-F0CD-47AE-9C96-487B270A27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6" authorId="0" shapeId="0" xr:uid="{32B574DF-D1C8-48AB-82EF-F1F3093B49E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6" authorId="0" shapeId="0" xr:uid="{9F923564-4F97-4B57-93C1-BAC5023BB43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6" authorId="0" shapeId="0" xr:uid="{1A36CEB7-AE25-4042-9F17-746A52B5B55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6" authorId="0" shapeId="0" xr:uid="{3BE2FD78-6B7D-4274-B9E6-4E7BB830F2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7" authorId="0" shapeId="0" xr:uid="{9ACFAFE9-5048-40FA-A3F6-75A909FEF98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7" authorId="0" shapeId="0" xr:uid="{3E5C0D63-03DE-4F11-A932-95AAD630936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7" authorId="0" shapeId="0" xr:uid="{CF0A2DA3-A3B0-4800-8BB6-35A75FB31C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7" authorId="0" shapeId="0" xr:uid="{7037CFC6-3BDB-4C65-B392-8F7CF8C7595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7" authorId="0" shapeId="0" xr:uid="{AAB5D220-24DF-4B1F-BA9E-D4CA0F8DC65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7" authorId="0" shapeId="0" xr:uid="{98D5D494-393D-4E1B-A629-EAC25D1F3F3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7" authorId="0" shapeId="0" xr:uid="{F1FC6A70-831E-48A1-B275-CB3B5513852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7" authorId="0" shapeId="0" xr:uid="{EC5F6A7F-212C-4723-B308-08835E3C301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7" authorId="0" shapeId="0" xr:uid="{ABA64EB8-1AD2-4822-A850-B6DFF1E9E64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7" authorId="0" shapeId="0" xr:uid="{232E60DD-4442-42A3-8BFA-198C4666704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7" authorId="0" shapeId="0" xr:uid="{9456625B-0477-4769-9574-F651CCB17B2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7" authorId="0" shapeId="0" xr:uid="{F74D77FA-5A5C-430B-A1F4-EBD285CDF51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7" authorId="0" shapeId="0" xr:uid="{B53F0AD5-5199-4395-B363-1F08FBE8672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7" authorId="0" shapeId="0" xr:uid="{5B7C996F-B1C5-452E-AA77-42D51F72EB3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7" authorId="0" shapeId="0" xr:uid="{9D2EBD1F-D5BE-407B-B4E1-5B8759BF91E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7" authorId="0" shapeId="0" xr:uid="{9397DD6C-347C-40D3-8CFD-BF684FA3EDB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7" authorId="0" shapeId="0" xr:uid="{180EAF38-E99A-473A-A56F-3CB546C7CBD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7" authorId="0" shapeId="0" xr:uid="{C74369C8-E4A1-4295-8151-10537A7159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7" authorId="0" shapeId="0" xr:uid="{2B3CB5C9-24A5-412F-A4DA-B5E6F065B13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7" authorId="0" shapeId="0" xr:uid="{8027A678-8029-45F5-9DB2-786FC1C87B2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7" authorId="0" shapeId="0" xr:uid="{99E1A2E6-03F3-4B52-894C-2F18F766ED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7" authorId="0" shapeId="0" xr:uid="{D0AF1CF0-A0E8-4D8E-BA63-32DA1614E8F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7" authorId="0" shapeId="0" xr:uid="{E6703CC5-4116-4915-8C53-7D31A13B971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7" authorId="0" shapeId="0" xr:uid="{14AEDEF6-97EB-4D37-8673-3A6E59A41E1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7" authorId="0" shapeId="0" xr:uid="{FE8B798D-A1FB-421D-B635-53F09CD36E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7" authorId="0" shapeId="0" xr:uid="{3C4FB9FC-69B6-4B17-9F6E-80D4B483FFB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7" authorId="0" shapeId="0" xr:uid="{51CAD184-F43F-401B-BC8B-EA956393BC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7" authorId="0" shapeId="0" xr:uid="{0A145ED8-30D8-462B-8725-9162E0B3ED0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7" authorId="0" shapeId="0" xr:uid="{04F3D92D-3A81-4A94-AE73-D29E8872E95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7" authorId="0" shapeId="0" xr:uid="{CA5BD5B2-97AC-4E9F-84C3-B5B59BF9810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7" authorId="0" shapeId="0" xr:uid="{A313ECFE-26C0-462B-B424-BB6510F551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7" authorId="0" shapeId="0" xr:uid="{4F2E1F89-4B7A-4735-8B2F-9ECB1F5F7FA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7" authorId="0" shapeId="0" xr:uid="{71E6C49B-441F-435F-9618-F822BEE042D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7" authorId="0" shapeId="0" xr:uid="{0A36B6BA-D4F4-49DD-8B56-5118630305A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7" authorId="0" shapeId="0" xr:uid="{5FBBE52F-C780-4D61-BABF-19C885C7FE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7" authorId="0" shapeId="0" xr:uid="{9B10972B-BB28-4BA1-9F17-4DB834F32EB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7" authorId="0" shapeId="0" xr:uid="{094F52DC-51F2-495A-A4FB-74F08301C4E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7" authorId="0" shapeId="0" xr:uid="{8D96521B-8BE2-4137-AEEA-2B5FEBA267F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7" authorId="0" shapeId="0" xr:uid="{B3ADFC3D-E27A-401B-8D22-6C7ACD0BFCC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7" authorId="0" shapeId="0" xr:uid="{C086906A-2858-4690-88AC-1099D86BFE0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7" authorId="0" shapeId="0" xr:uid="{FF4D1D0E-59F1-4EB8-8E36-280532B4AC3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7" authorId="0" shapeId="0" xr:uid="{F6F88810-341B-4A89-883F-1BFC6D0B409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7" authorId="0" shapeId="0" xr:uid="{85501AC3-8363-4985-B085-8B7746F0527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7" authorId="0" shapeId="0" xr:uid="{617692E7-D4D8-437E-8C60-098508907A0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7" authorId="0" shapeId="0" xr:uid="{20E11DED-525D-4D2D-9C97-059C4809184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8" authorId="0" shapeId="0" xr:uid="{82E2999E-9B76-4F87-BC73-A25823E1991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8" authorId="0" shapeId="0" xr:uid="{79DC1E01-0310-4217-A946-FCFD66FB818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8" authorId="0" shapeId="0" xr:uid="{E183BDD3-6291-4B2D-94EF-E4FA15EB47D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8" authorId="0" shapeId="0" xr:uid="{4CE63886-CA44-42D6-A0EC-324A673DD74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8" authorId="0" shapeId="0" xr:uid="{5B8FC488-2EFD-48BC-BFF3-CDB3AA49032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8" authorId="0" shapeId="0" xr:uid="{FB4379F1-89B2-4B71-9F66-4C03367637D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8" authorId="0" shapeId="0" xr:uid="{E88A2485-1B6E-4562-9B55-5F1DFC1D68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8" authorId="0" shapeId="0" xr:uid="{F7B8D480-1AD4-4B63-BCC2-F2465117B35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8" authorId="0" shapeId="0" xr:uid="{47A122A7-06BB-4EB9-A332-28BCD925FDC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8" authorId="0" shapeId="0" xr:uid="{8C52C2E8-73C5-414E-B33F-D17D9234E22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8" authorId="0" shapeId="0" xr:uid="{25BC4AC5-EDD5-431F-A28C-209811AEB78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8" authorId="0" shapeId="0" xr:uid="{C7B71CB3-6B3B-46DD-88BC-17A1B7D634D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8" authorId="0" shapeId="0" xr:uid="{6AF9F476-8CCC-4B60-9B76-62F6964469B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8" authorId="0" shapeId="0" xr:uid="{78413D9C-570D-4B88-BB3C-79A3AFCFB0A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8" authorId="0" shapeId="0" xr:uid="{79958F20-EEEE-44E7-B9E2-38D315D59E9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8" authorId="0" shapeId="0" xr:uid="{9324B356-71E9-4C32-AC73-B2FB6247370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8" authorId="0" shapeId="0" xr:uid="{DA7FB2AE-58F6-42BB-A64F-DA710358B3B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8" authorId="0" shapeId="0" xr:uid="{CCB7511D-88D7-4029-9E90-AAE6348E20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8" authorId="0" shapeId="0" xr:uid="{B265FDEB-C5CB-46AC-A912-C5724CEDAA2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8" authorId="0" shapeId="0" xr:uid="{BC774DB9-535D-4EEB-91AA-492BD6652C7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8" authorId="0" shapeId="0" xr:uid="{D9B7AE91-F9AF-48DC-AB94-A3CC09E5179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8" authorId="0" shapeId="0" xr:uid="{D734EFF7-5784-4CD7-9B75-37ACD98DE7E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8" authorId="0" shapeId="0" xr:uid="{D9E5FE73-0C5E-48EA-A4CD-3C606F71B68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8" authorId="0" shapeId="0" xr:uid="{41FEA848-815B-4790-9F63-DF748FDD9AF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8" authorId="0" shapeId="0" xr:uid="{AB5C2DCD-9AFD-4FF2-B81D-EF7714ACCBA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8" authorId="0" shapeId="0" xr:uid="{2BADECA2-DD8F-4824-904B-E7D95F67ECA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8" authorId="0" shapeId="0" xr:uid="{5D6AB6F7-AC41-4E00-A263-B52A75755DA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8" authorId="0" shapeId="0" xr:uid="{CF6FA45C-0E16-443B-8666-0FF4FD424FD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8" authorId="0" shapeId="0" xr:uid="{D6F92D9B-E07F-423C-9718-CA71AC21D7D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8" authorId="0" shapeId="0" xr:uid="{D95D0B0B-3A4C-40E3-ADA7-0BCBEC7BC96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8" authorId="0" shapeId="0" xr:uid="{F70A548B-8B48-484D-B0DA-D1C7732368E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8" authorId="0" shapeId="0" xr:uid="{214AD6DB-83DA-4B63-ADB7-7393E4918C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8" authorId="0" shapeId="0" xr:uid="{00E8BFCB-8054-45A1-B63D-9770DA85719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8" authorId="0" shapeId="0" xr:uid="{0494677B-56DC-4C6C-83C3-FD8C9AFD634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8" authorId="0" shapeId="0" xr:uid="{587D5349-417C-4CF0-95FB-ECF2C22A4E9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8" authorId="0" shapeId="0" xr:uid="{CF515BE5-C255-4A2D-AE69-BF4025811D8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8" authorId="0" shapeId="0" xr:uid="{4478B44D-5E16-412E-9FC8-1A6F0BD4E6C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8" authorId="0" shapeId="0" xr:uid="{3A0AE3F3-BE28-4132-9BCB-7A23F3C4253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8" authorId="0" shapeId="0" xr:uid="{ED2DA783-C54B-4455-BE89-69882D84B0B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8" authorId="0" shapeId="0" xr:uid="{5E052021-AD2F-4E95-810E-0DC1BAD556E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8" authorId="0" shapeId="0" xr:uid="{1D3C0C38-903D-42C5-AFF4-AFB3CF7F7C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8" authorId="0" shapeId="0" xr:uid="{0C729E78-6292-4866-9CBE-2CEDB99DB46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8" authorId="0" shapeId="0" xr:uid="{35A64D03-A31A-4BE3-8415-328E5070BA2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8" authorId="0" shapeId="0" xr:uid="{48DD1C62-99C3-418F-B67D-C4B4578D18B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8" authorId="0" shapeId="0" xr:uid="{DCF94408-B66B-4660-9466-B3D01E7551A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9" authorId="0" shapeId="0" xr:uid="{69AB024F-FF30-4C66-B2E2-B2C7BEC129F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9" authorId="0" shapeId="0" xr:uid="{74FA5976-AAAA-4CCE-9C9B-9FF05EC7085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9" authorId="0" shapeId="0" xr:uid="{2ECC849B-30A2-40B5-A136-93F3E231E0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9" authorId="0" shapeId="0" xr:uid="{E79555B0-BC34-4F50-B1E0-B591A9782C2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9" authorId="0" shapeId="0" xr:uid="{E923DB47-143C-4014-9DE7-BC682D0AF31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9" authorId="0" shapeId="0" xr:uid="{2819E2DD-743F-46AE-8740-FB9403240B7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9" authorId="0" shapeId="0" xr:uid="{95F0C7A7-BD2D-4387-AA91-C6C215516F0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9" authorId="0" shapeId="0" xr:uid="{99DA1C83-3CBC-4931-9647-D8E2394625E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9" authorId="0" shapeId="0" xr:uid="{67879878-AE70-4AFF-89F9-F371096C4F1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9" authorId="0" shapeId="0" xr:uid="{C2148B41-553B-474D-8C64-4EAA3808271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9" authorId="0" shapeId="0" xr:uid="{5394FFA8-719C-4A48-95CC-0927B242470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9" authorId="0" shapeId="0" xr:uid="{E404CA8A-9686-448F-B281-F193029C71B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9" authorId="0" shapeId="0" xr:uid="{2FA5227D-E593-4DA6-B63B-C61D53AAE5D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9" authorId="0" shapeId="0" xr:uid="{767524C2-77E1-4FD1-A35C-BEE5E8AA5E0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9" authorId="0" shapeId="0" xr:uid="{38F9122C-32C5-40F8-B89B-A3151452A8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9" authorId="0" shapeId="0" xr:uid="{7A7A522C-6B18-4EB2-9769-F5BE1E9182E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9" authorId="0" shapeId="0" xr:uid="{50F52A8A-96E3-4FC4-A1D7-18F1E6961A9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9" authorId="0" shapeId="0" xr:uid="{02DBEC64-85FA-4007-9F0D-C02980B68CC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9" authorId="0" shapeId="0" xr:uid="{E9AFD8AD-7758-4B11-952F-B1AC80E051B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9" authorId="0" shapeId="0" xr:uid="{51F34B3B-5BDA-49F0-8E55-0B039D5FB2D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9" authorId="0" shapeId="0" xr:uid="{861054D8-1CA5-4230-AFE3-128F4A56119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9" authorId="0" shapeId="0" xr:uid="{AD373602-62D0-4B3D-91C8-09BA39B2F43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9" authorId="0" shapeId="0" xr:uid="{6368B36F-3496-462A-8D78-635D914220F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9" authorId="0" shapeId="0" xr:uid="{38154A2D-5AB7-4241-9962-5B10001075F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9" authorId="0" shapeId="0" xr:uid="{CBED9BB9-A181-46C0-BD09-EC41C60D683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9" authorId="0" shapeId="0" xr:uid="{E6C80C60-6F17-43C2-886D-E1E442042BE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9" authorId="0" shapeId="0" xr:uid="{4C88DE54-7E91-4274-8248-6D047BA5323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9" authorId="0" shapeId="0" xr:uid="{DB543A9B-8FD8-4821-A73D-55F3B3C799E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9" authorId="0" shapeId="0" xr:uid="{8AA1F026-3753-47D5-B48B-9C08E43E460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9" authorId="0" shapeId="0" xr:uid="{E0CB70B0-BBCC-4FF1-BDDF-1F9C244F3A4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9" authorId="0" shapeId="0" xr:uid="{945FE587-AAC5-432F-BA56-ACA785F4F24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9" authorId="0" shapeId="0" xr:uid="{80604D1C-FD1D-4B44-9F3E-158DFDF54BB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9" authorId="0" shapeId="0" xr:uid="{97A35097-DBB4-45BA-8DD4-281D4918EBF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9" authorId="0" shapeId="0" xr:uid="{798412E8-2018-4CB6-8852-5CDD1DC852D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9" authorId="0" shapeId="0" xr:uid="{6C903351-1B11-4004-9F19-E41F5D3253A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9" authorId="0" shapeId="0" xr:uid="{55A8468F-CA92-402D-9D75-586D59662D1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9" authorId="0" shapeId="0" xr:uid="{40A5FF2B-7BF9-4A9B-8B88-E193A1731D4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9" authorId="0" shapeId="0" xr:uid="{D0E061B2-BAB0-45E7-9F14-A86327433A8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9" authorId="0" shapeId="0" xr:uid="{EF97C363-A1F3-4237-BED6-276F969F157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9" authorId="0" shapeId="0" xr:uid="{D03A93E3-48B3-4086-9727-A1FF6106F6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9" authorId="0" shapeId="0" xr:uid="{BD496BDB-CEF7-46AF-8843-4C97B0991CC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9" authorId="0" shapeId="0" xr:uid="{3566A51A-487E-4C45-929E-149DE305E7A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9" authorId="0" shapeId="0" xr:uid="{FACF4E71-1CB9-4274-A99A-41D58B6DFED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9" authorId="0" shapeId="0" xr:uid="{05CC73B2-14A3-43BD-8676-CC92470B9A6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9" authorId="0" shapeId="0" xr:uid="{C99CF4BA-9190-431E-9714-60642DBA365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0" authorId="0" shapeId="0" xr:uid="{427891D2-6F89-4113-845B-8751801ACCA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0" authorId="0" shapeId="0" xr:uid="{05FC35E0-28A2-4B96-BA40-49220CF63C5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0" authorId="0" shapeId="0" xr:uid="{1E3E23D1-2E42-4481-9228-A6B51E8ED21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0" authorId="0" shapeId="0" xr:uid="{6C3E7074-58EB-42E2-B234-0124DA11C3F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0" authorId="0" shapeId="0" xr:uid="{A4FFE2F5-13B0-4D4B-8912-E1D4AE66A32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0" authorId="0" shapeId="0" xr:uid="{F156BE5A-8596-4A88-B7B6-60559A087EC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0" authorId="0" shapeId="0" xr:uid="{950295E7-C538-4412-93B6-D17D1A1F44B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0" authorId="0" shapeId="0" xr:uid="{2E331412-77E5-4C3B-9F10-B3F5E89C0EC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0" authorId="0" shapeId="0" xr:uid="{8A0CDCA5-18B6-4E1F-8E9C-758CE2B74F3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0" authorId="0" shapeId="0" xr:uid="{571612FB-A069-45AF-AD3A-56BDE8294C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0" authorId="0" shapeId="0" xr:uid="{1747675C-401F-4A64-8041-AD402ACC109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0" authorId="0" shapeId="0" xr:uid="{12C16258-7E69-452A-BCE7-2F1A34BE4B6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0" authorId="0" shapeId="0" xr:uid="{3FBBECB2-9102-42D2-9CB6-0520A5E6631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0" authorId="0" shapeId="0" xr:uid="{9471655B-1B30-45EB-80F8-8884A2F6F15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0" authorId="0" shapeId="0" xr:uid="{3B72F8C7-CA7A-40C6-BC64-CF7BC14DF9E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0" authorId="0" shapeId="0" xr:uid="{DDF8444E-C6BC-4EFA-B305-564B8E7D1E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0" authorId="0" shapeId="0" xr:uid="{1794F0FF-E71B-4296-84AD-140AAA935B3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0" authorId="0" shapeId="0" xr:uid="{46CDD949-17C4-4BCF-B512-1D07728ADC6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0" authorId="0" shapeId="0" xr:uid="{69944BC8-1D14-4CDF-8AF8-B3F362E61AB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0" authorId="0" shapeId="0" xr:uid="{05B75047-536B-4995-B68F-76D3BB8CBD7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0" authorId="0" shapeId="0" xr:uid="{96F6029F-0BD3-4900-BC91-0083E1D2E5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0" authorId="0" shapeId="0" xr:uid="{AA34652D-9BB1-468F-A162-D462317F2DE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0" authorId="0" shapeId="0" xr:uid="{C7D47564-1593-4A5C-AB4C-F5323308910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0" authorId="0" shapeId="0" xr:uid="{3FB8AC56-797D-40E8-82EB-A8289B95433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0" authorId="0" shapeId="0" xr:uid="{6FBF6214-2241-4761-B375-314AF067003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0" authorId="0" shapeId="0" xr:uid="{E97E1746-66F4-4FF9-81C6-B87BC551C04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0" authorId="0" shapeId="0" xr:uid="{8A8F7FD8-A82E-42CB-B364-FF6D354DED5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0" authorId="0" shapeId="0" xr:uid="{4F419055-923A-413D-96D0-C1FC2AF830A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0" authorId="0" shapeId="0" xr:uid="{11C06E34-3878-4A07-B7DF-1DED6BD0AC4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0" authorId="0" shapeId="0" xr:uid="{55D9F8F3-B195-453D-A4E3-ED089C53402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0" authorId="0" shapeId="0" xr:uid="{6B940B2A-11D2-48DB-9620-387FBD5978E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0" authorId="0" shapeId="0" xr:uid="{BCBBE26D-2DB7-4B8B-89E3-B522FAF835B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0" authorId="0" shapeId="0" xr:uid="{00AE163D-F99C-4E20-9183-4178B9BF3E3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0" authorId="0" shapeId="0" xr:uid="{43ABF02B-E521-407D-9FAC-71F50DBD3A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0" authorId="0" shapeId="0" xr:uid="{B42A2845-A2B2-49A3-B489-BD95B29E2AE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0" authorId="0" shapeId="0" xr:uid="{DB19773D-C6B7-4EEF-9D52-4F380354E6B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0" authorId="0" shapeId="0" xr:uid="{1664B465-9243-497C-88DA-4E9B4079CE5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0" authorId="0" shapeId="0" xr:uid="{B0B78034-6D82-4D10-9E01-8465ADD6251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0" authorId="0" shapeId="0" xr:uid="{9AC2D384-9682-4C8E-8225-E22D02BCFE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0" authorId="0" shapeId="0" xr:uid="{8DB22759-BE81-419D-A6D4-D0A0F602B0C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0" authorId="0" shapeId="0" xr:uid="{FD1BD773-20BF-4C71-A824-0CC2FCE5932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0" authorId="0" shapeId="0" xr:uid="{27DE0BE3-CDE4-4844-9EB1-60A856C05F9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0" authorId="0" shapeId="0" xr:uid="{8C2968AD-C8F9-4C19-AD66-3C8FA8534BF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0" authorId="0" shapeId="0" xr:uid="{B845CD05-753F-42D7-9830-D53053515BD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0" authorId="0" shapeId="0" xr:uid="{0B6533DB-EBAE-48E5-ACA6-6B1C750B689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1" authorId="0" shapeId="0" xr:uid="{13275AE6-5B97-491C-A9F4-CED6B6F3EBB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1" authorId="0" shapeId="0" xr:uid="{DC4FF49D-2AC1-4257-94FF-7BEBC6149C4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1" authorId="0" shapeId="0" xr:uid="{B2D3B96D-329D-4183-975B-B62701A07B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1" authorId="0" shapeId="0" xr:uid="{DBEEDA74-77E5-4C55-AFEF-D67375CA16C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1" authorId="0" shapeId="0" xr:uid="{D178E883-B19B-4378-B9A2-277E34ADB56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1" authorId="0" shapeId="0" xr:uid="{037710BE-F691-4480-93D3-98FA0412951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1" authorId="0" shapeId="0" xr:uid="{F9A3B983-4B36-40F1-A6F1-49F874462FD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1" authorId="0" shapeId="0" xr:uid="{5978298B-8498-4B86-8DD1-11F8DB01582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1" authorId="0" shapeId="0" xr:uid="{200352E5-100A-4250-822A-09F4558D8C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1" authorId="0" shapeId="0" xr:uid="{7BBC500E-7CDA-45A1-AD61-5BE1FA85CD2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1" authorId="0" shapeId="0" xr:uid="{6EE3FC08-CCE5-4635-AEC2-59C49A85A9C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1" authorId="0" shapeId="0" xr:uid="{2326858C-3E86-424D-9A5A-79B6F94FE12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1" authorId="0" shapeId="0" xr:uid="{4618C488-F2FB-4235-9C16-7F47FCECD34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1" authorId="0" shapeId="0" xr:uid="{2FA9A5AC-9384-4AD3-A163-D3CDDC327CD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1" authorId="0" shapeId="0" xr:uid="{D51F83E1-83C9-43AA-A8C6-CAE5542DD2B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1" authorId="0" shapeId="0" xr:uid="{87AC368E-325F-4969-9D57-F4E1F5C408D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1" authorId="0" shapeId="0" xr:uid="{0494BA4A-018B-4720-BB07-B38E3C35842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1" authorId="0" shapeId="0" xr:uid="{9465D6E1-A1AA-481B-A378-7F85EBE3B30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1" authorId="0" shapeId="0" xr:uid="{9691DBB2-CE30-490F-A248-D73CFDB3A4E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1" authorId="0" shapeId="0" xr:uid="{EA720096-7E10-41AA-BE25-47768F2B487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1" authorId="0" shapeId="0" xr:uid="{5CE5C8A4-C05C-4AE4-B6FD-5B00693CF43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1" authorId="0" shapeId="0" xr:uid="{714522F9-1BFF-4444-BD36-F395E9D3618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1" authorId="0" shapeId="0" xr:uid="{04507533-60F8-4CA0-B518-C6CB108E6B7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1" authorId="0" shapeId="0" xr:uid="{E4C76BFA-A775-4E99-921C-2F74AECC67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1" authorId="0" shapeId="0" xr:uid="{25510243-82E8-4861-A7DB-77027F3BB46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1" authorId="0" shapeId="0" xr:uid="{DD9085CA-24BA-47DD-8BAB-FB1E65270AD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1" authorId="0" shapeId="0" xr:uid="{22107231-FA03-4EEF-A91A-92FAC50ABAA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1" authorId="0" shapeId="0" xr:uid="{3429E82B-3D3C-4775-9973-8A6D95D56F4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1" authorId="0" shapeId="0" xr:uid="{5A338E19-65D2-4BBE-B7A0-B6B7B423945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1" authorId="0" shapeId="0" xr:uid="{389C1AAD-75F4-4478-ABF6-002BDDD98A6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1" authorId="0" shapeId="0" xr:uid="{53A64594-0376-43F8-9AE4-A0805CBC263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1" authorId="0" shapeId="0" xr:uid="{562F65BD-CE9C-424A-B124-6D65C9FB950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1" authorId="0" shapeId="0" xr:uid="{C6435D08-F772-4D0A-B18F-C31FDF37D7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1" authorId="0" shapeId="0" xr:uid="{3FFA8C7E-EA25-45AD-92C0-4355B1F86A1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1" authorId="0" shapeId="0" xr:uid="{833C0237-0ADD-4C2C-A5E7-2E0D1AE635E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1" authorId="0" shapeId="0" xr:uid="{A67C7FB5-2DC2-4C3B-A3EB-EBE917FF318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1" authorId="0" shapeId="0" xr:uid="{9E5D41C4-DB12-4686-A103-A9610EEFE58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1" authorId="0" shapeId="0" xr:uid="{F11CFD47-713A-4D80-8A09-7AD32E86C6C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1" authorId="0" shapeId="0" xr:uid="{1E862E77-6662-4E8E-8B23-4A2AB813BA7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1" authorId="0" shapeId="0" xr:uid="{68A841C2-65DE-4438-AFF9-8970ADD81C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1" authorId="0" shapeId="0" xr:uid="{FF83F0A4-6B30-4B3E-81F7-6EC65BABC9B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1" authorId="0" shapeId="0" xr:uid="{7C2703FB-0D91-46D9-AE37-765363A229A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1" authorId="0" shapeId="0" xr:uid="{A8CD1175-0BC5-49EC-A162-E09432374C4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1" authorId="0" shapeId="0" xr:uid="{80FA5285-FB2B-45ED-A9A1-8B91291100B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1" authorId="0" shapeId="0" xr:uid="{2507A15E-0BF0-408F-BC25-4D5EB0D0975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2" authorId="0" shapeId="0" xr:uid="{508272F5-5278-48F4-9B72-EEF9FA5C755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2" authorId="0" shapeId="0" xr:uid="{125A3144-B081-4AA6-BEA2-F3E9D34B0AB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2" authorId="0" shapeId="0" xr:uid="{0E6D99D0-33B0-437A-8A73-E257DE1385A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2" authorId="0" shapeId="0" xr:uid="{FD582EB1-648B-410E-85CD-1DFE4DB44AC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2" authorId="0" shapeId="0" xr:uid="{7272555C-40D1-4176-BDA7-CE21708F222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2" authorId="0" shapeId="0" xr:uid="{DC140DD2-6364-4121-9B0A-4D7B4773FF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2" authorId="0" shapeId="0" xr:uid="{A7B19DEC-911C-4D3B-B0A9-2284DB20EFE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2" authorId="0" shapeId="0" xr:uid="{E65F7245-C001-4C69-A7A7-41A90B70A5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2" authorId="0" shapeId="0" xr:uid="{927825D3-E083-4C11-9416-BFDC7BD1BBA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2" authorId="0" shapeId="0" xr:uid="{0D5FFAA6-069D-49DA-A7F7-51B2F8FF74E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2" authorId="0" shapeId="0" xr:uid="{DD8B22DF-AFBD-49D7-A871-88838130ABE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2" authorId="0" shapeId="0" xr:uid="{E2DE115C-B609-4583-9AB6-4469584C8EA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2" authorId="0" shapeId="0" xr:uid="{5263047C-F8BD-4157-95AE-EAC8631DA4F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2" authorId="0" shapeId="0" xr:uid="{359635C2-B6A2-4907-ACBB-80A098ED240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2" authorId="0" shapeId="0" xr:uid="{9164A537-7401-4D3B-9B65-B9EE51FB84D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2" authorId="0" shapeId="0" xr:uid="{ADA7C35E-F00C-4E1E-A8F8-F2D796DFAE5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2" authorId="0" shapeId="0" xr:uid="{78D6F27F-7432-4178-94CC-A0EE7DCD7CC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2" authorId="0" shapeId="0" xr:uid="{F5E0E986-0579-4E56-8730-1BE4ACA172E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2" authorId="0" shapeId="0" xr:uid="{4F149BDC-179B-4739-BD62-62E9FECCC44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2" authorId="0" shapeId="0" xr:uid="{60734881-E219-45FE-9650-BA05D8794DD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2" authorId="0" shapeId="0" xr:uid="{0F752623-83F2-4289-8898-2085D0B6798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2" authorId="0" shapeId="0" xr:uid="{06D4D9B5-3CB3-4464-B4E2-9D336609D7E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2" authorId="0" shapeId="0" xr:uid="{D79338CC-2606-45F8-9E27-7C983647433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2" authorId="0" shapeId="0" xr:uid="{C0B64809-706D-41F8-8008-910001164EE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2" authorId="0" shapeId="0" xr:uid="{2303A7E7-A1DC-4FE6-AB2B-7BE994CCB53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2" authorId="0" shapeId="0" xr:uid="{EEB4CF7C-3DBD-410E-A8B9-2D473F9D87E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2" authorId="0" shapeId="0" xr:uid="{0F019F90-35CC-4EE0-8715-1FB43094AE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2" authorId="0" shapeId="0" xr:uid="{9E47811F-9CFD-44F8-B12A-739A7FDF0A9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2" authorId="0" shapeId="0" xr:uid="{02F1D875-E9A3-4E24-B5FA-0F5C0661002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2" authorId="0" shapeId="0" xr:uid="{029EB5D3-7DA9-4205-BB74-DEB49AA89BD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2" authorId="0" shapeId="0" xr:uid="{0F550879-9D87-4079-B7F1-0170FBC2CB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2" authorId="0" shapeId="0" xr:uid="{AB96630D-5A43-484C-8899-E83F30D655C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2" authorId="0" shapeId="0" xr:uid="{AD9FC96D-3FC8-4701-9920-7FC225CAA1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2" authorId="0" shapeId="0" xr:uid="{AA8200E7-C9F4-4C62-9942-41DAE2CD9AD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2" authorId="0" shapeId="0" xr:uid="{1A8037B2-B52F-4312-8F15-D7AF1593FF8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2" authorId="0" shapeId="0" xr:uid="{F2434D02-12E9-4E3B-8906-93E1329E602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2" authorId="0" shapeId="0" xr:uid="{659B41E9-B2D3-4D0E-9BD1-15616269495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2" authorId="0" shapeId="0" xr:uid="{E359FC86-FA95-4048-9CD8-CD13A080F08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2" authorId="0" shapeId="0" xr:uid="{501168F4-5736-47CB-BB46-0C526F5476C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2" authorId="0" shapeId="0" xr:uid="{852B4740-E0FD-4BC7-A939-D129D0392FA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2" authorId="0" shapeId="0" xr:uid="{C3E00781-F955-4756-B068-908110C127A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2" authorId="0" shapeId="0" xr:uid="{9EA6B107-D89E-43EF-9370-EDB1C6FD4B0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2" authorId="0" shapeId="0" xr:uid="{8F995A90-91BD-4C94-9FD0-7C48B0CC661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2" authorId="0" shapeId="0" xr:uid="{C8763ED7-6F5B-4520-8497-A54460D7B1F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2" authorId="0" shapeId="0" xr:uid="{2712DF5C-8CA4-4876-BE92-40D74E6EE9B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3" authorId="0" shapeId="0" xr:uid="{56552DFF-DB30-4045-BDE9-E634BF8906D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3" authorId="0" shapeId="0" xr:uid="{B2B988F5-72D5-4008-A10D-DE79D6BDA99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3" authorId="0" shapeId="0" xr:uid="{557B685D-B2C3-4FC3-AE12-48811AC307D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3" authorId="0" shapeId="0" xr:uid="{F58E285F-1C36-4BCC-BEB3-F20A040928D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3" authorId="0" shapeId="0" xr:uid="{A6836C42-7CED-4A3C-B83B-241148719B0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3" authorId="0" shapeId="0" xr:uid="{CFBA0A92-E9AC-4A8C-B3DA-6D32189CFB5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3" authorId="0" shapeId="0" xr:uid="{ADB16632-0033-4FE9-8674-2A97B33197C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3" authorId="0" shapeId="0" xr:uid="{F79CB558-93FB-4468-8EDC-3EE0D4DB3FC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3" authorId="0" shapeId="0" xr:uid="{9D2FE229-721C-4D3D-9CC2-97D05E16A2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3" authorId="0" shapeId="0" xr:uid="{D46E526F-BB13-4B2F-810A-656E9CCF65C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3" authorId="0" shapeId="0" xr:uid="{73A45D4F-68DF-4C2F-B0C3-7B64C42AC15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3" authorId="0" shapeId="0" xr:uid="{FBBD068D-13A5-4CE5-A795-29C22510173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3" authorId="0" shapeId="0" xr:uid="{52CF8B10-E06F-4D30-930E-138101910E3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3" authorId="0" shapeId="0" xr:uid="{35D75439-758D-489E-BAEB-2A5C22676DC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3" authorId="0" shapeId="0" xr:uid="{EE30C79F-C508-4B8F-959C-176ED95A7A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3" authorId="0" shapeId="0" xr:uid="{07CEB394-70C5-4A65-8959-08FB6DF3CE5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3" authorId="0" shapeId="0" xr:uid="{44563C9A-46A4-46A4-9209-7920D3E27AD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3" authorId="0" shapeId="0" xr:uid="{7C0661AB-2F84-417F-8583-C713C2D3D6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3" authorId="0" shapeId="0" xr:uid="{82A78A63-6C79-47C3-AF38-1F0BAB28ACD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3" authorId="0" shapeId="0" xr:uid="{5BDE069B-FBA8-4342-9CF6-1DC9732EDD8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3" authorId="0" shapeId="0" xr:uid="{7D140DB4-6A5C-411E-85BD-06FABD4519F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3" authorId="0" shapeId="0" xr:uid="{1EE18747-721D-4F5B-88B3-CE61E49F17C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3" authorId="0" shapeId="0" xr:uid="{1D03258E-6D2E-447E-AFAB-6FD61C2D5F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3" authorId="0" shapeId="0" xr:uid="{BEA477AC-2CD4-4C30-B522-264CA32ECD1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3" authorId="0" shapeId="0" xr:uid="{A85C7F7B-6FA8-49C3-8F99-78F6AC30540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3" authorId="0" shapeId="0" xr:uid="{35267FCF-624B-4417-8F82-FC0BBB285CA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3" authorId="0" shapeId="0" xr:uid="{C34142C6-76B2-4EBB-B0D3-D96F71FD86C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3" authorId="0" shapeId="0" xr:uid="{7F1B7314-8D72-46FB-8F94-5D0712311F2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3" authorId="0" shapeId="0" xr:uid="{DBD2961E-8CB0-4BD0-9EC5-E2C004E9B0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3" authorId="0" shapeId="0" xr:uid="{AAF77876-1260-4FD0-84A2-65522339F22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3" authorId="0" shapeId="0" xr:uid="{3AD47015-3BFE-46F4-B487-23C00CA2912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3" authorId="0" shapeId="0" xr:uid="{92A2D286-84EC-4669-AA1E-26C812812C9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3" authorId="0" shapeId="0" xr:uid="{EE953005-EEF6-4957-87F1-EF3ED285F5B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3" authorId="0" shapeId="0" xr:uid="{57CCEF2C-2854-43BD-BF78-F129F899F75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3" authorId="0" shapeId="0" xr:uid="{FD3CC295-9853-4F58-8C17-2D58AC189C5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3" authorId="0" shapeId="0" xr:uid="{7A9512EB-5DDC-4624-A403-3D757C16231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3" authorId="0" shapeId="0" xr:uid="{12021179-97C6-425F-903D-6F688CE499D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3" authorId="0" shapeId="0" xr:uid="{2304B827-5422-4540-95C3-62EE9AD8EA9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3" authorId="0" shapeId="0" xr:uid="{A9DA2344-6D7F-4EDB-AA75-CABE69ED5ED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3" authorId="0" shapeId="0" xr:uid="{8412A2DE-AC90-4BD9-B408-4D81207CC38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3" authorId="0" shapeId="0" xr:uid="{3B90E12E-DF4E-4A9E-8397-811E4628EE9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3" authorId="0" shapeId="0" xr:uid="{CC605C07-1513-4D91-835B-B318ED99DA0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3" authorId="0" shapeId="0" xr:uid="{C446FF7F-C963-45C8-ADA7-02D621B6675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3" authorId="0" shapeId="0" xr:uid="{40D357F1-7289-4178-B4F5-68BD01BAB17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3" authorId="0" shapeId="0" xr:uid="{B84E3227-A2FF-41C3-90CB-AF6C990CE8B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4" authorId="0" shapeId="0" xr:uid="{A8C86E73-08C0-49B0-AD7D-78E7CC727DF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4" authorId="0" shapeId="0" xr:uid="{F4909566-7891-4AA6-851F-7BD347AC9AE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4" authorId="0" shapeId="0" xr:uid="{90F39D68-3E1E-465D-B480-EDD612713A2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4" authorId="0" shapeId="0" xr:uid="{82293ADB-91D0-4A70-BFB6-4FD2AB44E5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4" authorId="0" shapeId="0" xr:uid="{8CAA801C-E059-4DA0-801B-DA26906B8F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4" authorId="0" shapeId="0" xr:uid="{79791599-DDE6-4080-813C-9B7837007DA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4" authorId="0" shapeId="0" xr:uid="{69DB605F-CE0B-447B-AD8B-F6D9B952FD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4" authorId="0" shapeId="0" xr:uid="{09BF2055-4931-4BA6-A2A0-E266106B7EC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4" authorId="0" shapeId="0" xr:uid="{F1120338-33E2-4893-8114-D9714F51554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4" authorId="0" shapeId="0" xr:uid="{442B4D30-1B76-4402-849C-6C4C87CF26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4" authorId="0" shapeId="0" xr:uid="{B50E13BB-CC95-420E-A11A-D2E1437E1C8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4" authorId="0" shapeId="0" xr:uid="{57299858-676A-4ECF-A013-1A06F1201D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4" authorId="0" shapeId="0" xr:uid="{266C8586-AD5D-410A-B1B2-D1CCDDD140B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4" authorId="0" shapeId="0" xr:uid="{84BF887C-9B70-40CD-80EC-D146E51443C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4" authorId="0" shapeId="0" xr:uid="{E0D0C7CD-3FBA-49E9-B398-BCE39E3B207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4" authorId="0" shapeId="0" xr:uid="{08AC0001-AA04-4938-B9ED-61F34603EA0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4" authorId="0" shapeId="0" xr:uid="{89FCDA70-B647-4183-A052-0A1BBCCA2FD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4" authorId="0" shapeId="0" xr:uid="{9DCE4907-EFDE-4815-B538-3EE115219B7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4" authorId="0" shapeId="0" xr:uid="{A655E9AB-6404-43C2-A564-A3897347D1A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4" authorId="0" shapeId="0" xr:uid="{678AF7C2-E7CC-4C1B-83C9-3AB7F559137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4" authorId="0" shapeId="0" xr:uid="{FBC8DC85-5392-4669-86B9-96579EEBF1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4" authorId="0" shapeId="0" xr:uid="{21452631-2096-40B2-AB30-8A7F9A43046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4" authorId="0" shapeId="0" xr:uid="{BD7A3E0A-6885-4B3F-8E07-38F5F361BDC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4" authorId="0" shapeId="0" xr:uid="{145971A2-725B-4322-894C-67DA1081FB0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4" authorId="0" shapeId="0" xr:uid="{EEB8487A-34C8-45B6-A8F2-1438ABB3D32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4" authorId="0" shapeId="0" xr:uid="{91B57CC1-ABAA-48AD-B47D-6C09FD54B13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4" authorId="0" shapeId="0" xr:uid="{E08A9A22-0A38-4092-84F6-629383BA703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4" authorId="0" shapeId="0" xr:uid="{CE2E293D-73DE-4A00-BBF3-A61F090E6A8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4" authorId="0" shapeId="0" xr:uid="{42806952-1203-49A1-A89B-9F81C48C690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4" authorId="0" shapeId="0" xr:uid="{90C435BF-DF22-48D8-8F61-DF1710083FC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4" authorId="0" shapeId="0" xr:uid="{612C9C1C-CF57-4312-99AF-696266E36C1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4" authorId="0" shapeId="0" xr:uid="{B4FF1E40-E496-4009-B585-8A44E6E0021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4" authorId="0" shapeId="0" xr:uid="{BDEB9085-9D37-423A-A133-AC431CCD58A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4" authorId="0" shapeId="0" xr:uid="{EF697F9C-DFA5-4A59-A625-8C44D26ADF4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4" authorId="0" shapeId="0" xr:uid="{46EC6E10-0F17-4D47-AB30-619ED8A7F70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4" authorId="0" shapeId="0" xr:uid="{13776AF6-2284-4108-A7B1-777968D43FA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4" authorId="0" shapeId="0" xr:uid="{36F5FEA1-DAFD-442B-8526-E5E2FE65C9E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4" authorId="0" shapeId="0" xr:uid="{FAE7672A-8FB2-4C26-A220-3E49563AAC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4" authorId="0" shapeId="0" xr:uid="{8FB8AEE0-B146-48AA-8E91-FB629412C3C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4" authorId="0" shapeId="0" xr:uid="{BE588A3D-AAA0-4E2C-950C-9B1FE70623E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4" authorId="0" shapeId="0" xr:uid="{05191843-779A-4826-A0F8-CF89617C163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4" authorId="0" shapeId="0" xr:uid="{B6F7C5DD-4E7B-436B-9CE2-D4E5B11AD0E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4" authorId="0" shapeId="0" xr:uid="{59EA1784-7669-4691-A43D-D07B2F627B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4" authorId="0" shapeId="0" xr:uid="{37D2B3F9-EA17-4875-B7FD-EE6091A8787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4" authorId="0" shapeId="0" xr:uid="{9F4AEDF2-FB6B-4DDE-952A-9B404D5F983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5" authorId="0" shapeId="0" xr:uid="{8AAAD1F9-D42F-43F1-BE27-810CC0D60DE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5" authorId="0" shapeId="0" xr:uid="{2AF58F07-C75D-4876-9ACF-4D9B59FBAAF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5" authorId="0" shapeId="0" xr:uid="{09467F3E-1AFD-462B-BBEF-7AF1AB8EC39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5" authorId="0" shapeId="0" xr:uid="{6B208760-C8D2-4845-A87E-B6024D6CDAE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5" authorId="0" shapeId="0" xr:uid="{E9862FF0-FD1A-46F5-B415-26CE2902158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5" authorId="0" shapeId="0" xr:uid="{11F96802-FF03-4F4A-A7C0-77502E7A967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5" authorId="0" shapeId="0" xr:uid="{C4FE78F6-C6B8-4645-8AD2-9BC8636D817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5" authorId="0" shapeId="0" xr:uid="{090492E3-9AE0-4CF8-A4CF-66C98A4BE92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5" authorId="0" shapeId="0" xr:uid="{28B3F265-E982-4FDF-A202-EF7B530AD1A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5" authorId="0" shapeId="0" xr:uid="{DEF781AA-2453-4BAC-85E4-F43B294C5D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5" authorId="0" shapeId="0" xr:uid="{81E35B16-1A6E-4F77-A2A9-5F3B89E5720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5" authorId="0" shapeId="0" xr:uid="{36CE8A1E-B596-487C-B33A-10B2237B8FD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5" authorId="0" shapeId="0" xr:uid="{5C881D2E-6F43-4235-BBE0-29A1F0591AB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5" authorId="0" shapeId="0" xr:uid="{14F7D0B0-39A1-4102-8138-13F4417085E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5" authorId="0" shapeId="0" xr:uid="{F16A3C12-00CF-413E-8A03-ADFB16F6A73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5" authorId="0" shapeId="0" xr:uid="{D030128C-BCBB-4FEC-807B-DCD1131E1CC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5" authorId="0" shapeId="0" xr:uid="{84D9ABFE-CD52-44E5-A700-002944C56CF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5" authorId="0" shapeId="0" xr:uid="{6F7E4879-B2DA-4F61-8F51-AD67B323410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5" authorId="0" shapeId="0" xr:uid="{8B2A08CC-86BE-4424-BCA4-1E37D23D6BD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5" authorId="0" shapeId="0" xr:uid="{F2DC516C-419D-469E-A643-05DC038638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5" authorId="0" shapeId="0" xr:uid="{1EEF958A-DD3B-42D4-811A-8F1D0CB08BB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5" authorId="0" shapeId="0" xr:uid="{A1AA562F-B404-4D8F-A959-2EF17EF9873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5" authorId="0" shapeId="0" xr:uid="{87A769B2-558A-4EC2-B37A-4EBCC7C0B2F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5" authorId="0" shapeId="0" xr:uid="{720768C6-266B-4792-ACF2-DD6871456C9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5" authorId="0" shapeId="0" xr:uid="{DB52B432-6D0E-41C1-AC11-FA0AAE74900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5" authorId="0" shapeId="0" xr:uid="{57BBCD2E-9AE3-4131-A289-925E3A47C46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5" authorId="0" shapeId="0" xr:uid="{129EC030-2290-4A6D-8E05-41A5E8AB142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5" authorId="0" shapeId="0" xr:uid="{99B7CA7A-2930-4280-A14F-6D53BF42E4C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5" authorId="0" shapeId="0" xr:uid="{238AAFA6-313B-4617-A727-38F9C73C62E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5" authorId="0" shapeId="0" xr:uid="{7FCECB99-93EC-4879-8123-168E9D92339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5" authorId="0" shapeId="0" xr:uid="{973886C7-081D-42B4-82E5-01CE2329D8B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5" authorId="0" shapeId="0" xr:uid="{06541500-4527-44B8-A54D-CF5F995D2A3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5" authorId="0" shapeId="0" xr:uid="{374710B2-6023-419E-831A-6F086ADE9CC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5" authorId="0" shapeId="0" xr:uid="{CEE545E2-F5E4-4C79-B457-17613954576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5" authorId="0" shapeId="0" xr:uid="{1AE226B5-7D05-4E07-B723-CFE9186ED96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5" authorId="0" shapeId="0" xr:uid="{F66B0AFC-BD03-4435-BF5B-3A91B8EDF36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5" authorId="0" shapeId="0" xr:uid="{5ADF76E3-923A-4F33-BC5B-2304833F9DB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5" authorId="0" shapeId="0" xr:uid="{8422D5B8-1B6D-44B8-8E1C-FA80C9D7E9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5" authorId="0" shapeId="0" xr:uid="{79AE738A-3370-4BDF-BD3E-12F7FCCA68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5" authorId="0" shapeId="0" xr:uid="{FEF240F9-74B9-4DE7-9A5A-6FA67A1AAED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5" authorId="0" shapeId="0" xr:uid="{8FE5C677-EA01-4998-81AE-81C2595164E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5" authorId="0" shapeId="0" xr:uid="{7DEB4F0B-E6DD-47D2-B866-F6907FAC61E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5" authorId="0" shapeId="0" xr:uid="{862F3416-3950-497B-A6D2-DAE6D515F2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5" authorId="0" shapeId="0" xr:uid="{19A9A044-7412-4465-AEE5-EC32B2BBA4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5" authorId="0" shapeId="0" xr:uid="{0C3C6346-EB99-4461-B02E-8AAD6C4B41A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6" authorId="0" shapeId="0" xr:uid="{D6B3A29C-485B-4C58-ADE4-B1B445C1860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6" authorId="0" shapeId="0" xr:uid="{A62F28F0-5528-427A-9EB0-2171CF32AA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6" authorId="0" shapeId="0" xr:uid="{5D184106-65FE-4814-88EC-F8365AEA3E4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6" authorId="0" shapeId="0" xr:uid="{E8743441-FD03-4568-A342-64115971BE5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6" authorId="0" shapeId="0" xr:uid="{A9841D56-AA2D-4701-9F0B-5B08C1E75F3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6" authorId="0" shapeId="0" xr:uid="{B9FCC36F-2163-4F27-B6B3-CBDE4206C54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6" authorId="0" shapeId="0" xr:uid="{CBE5DBB3-A114-4D5F-B980-45101387508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6" authorId="0" shapeId="0" xr:uid="{A4B660C5-B589-4E33-8D61-7EB8506F6FB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6" authorId="0" shapeId="0" xr:uid="{14872F19-BF85-47D7-853D-D82A61F9A8B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6" authorId="0" shapeId="0" xr:uid="{55044A44-EB4C-4434-97D2-140E2BAA73E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6" authorId="0" shapeId="0" xr:uid="{6554BDD1-9416-4BD6-BE0B-991A12F7538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6" authorId="0" shapeId="0" xr:uid="{C36B1BB9-8BCB-4D6A-A1A2-24F67696ED9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6" authorId="0" shapeId="0" xr:uid="{E574EE70-E6C6-46C8-996E-A0C868067DA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6" authorId="0" shapeId="0" xr:uid="{7887E7E5-2AD9-443E-BA90-7499117B4EE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6" authorId="0" shapeId="0" xr:uid="{CC9697B9-E307-4889-89DA-3C31336E131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6" authorId="0" shapeId="0" xr:uid="{059A021C-1C49-42A1-8B75-7A00AC79A22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6" authorId="0" shapeId="0" xr:uid="{5FE3F121-A638-4DD3-B902-A994AFBAC6E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6" authorId="0" shapeId="0" xr:uid="{35483BEE-B6EC-4AAB-A160-50D6F2CDD99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6" authorId="0" shapeId="0" xr:uid="{37946155-7846-4DE6-9936-26EEFE1EC55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6" authorId="0" shapeId="0" xr:uid="{2CD04716-08AF-429B-AA3C-486CA4B5632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6" authorId="0" shapeId="0" xr:uid="{26848674-383B-4078-8189-0B3114CCBFC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6" authorId="0" shapeId="0" xr:uid="{21440C13-0254-46EB-ADF9-6725BB47BBB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6" authorId="0" shapeId="0" xr:uid="{0C24AB0F-66B5-4AA0-A9C1-CCE61E0A08A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6" authorId="0" shapeId="0" xr:uid="{B2EB6160-0689-4323-B39E-220C9FBCC8C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6" authorId="0" shapeId="0" xr:uid="{35C83436-9A1C-4CFA-96C4-B38E66536CA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6" authorId="0" shapeId="0" xr:uid="{3735D54C-7B8F-4970-A55B-B03FFC59966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6" authorId="0" shapeId="0" xr:uid="{3A839286-11CA-4188-AAA9-F3589E40047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6" authorId="0" shapeId="0" xr:uid="{626C15E6-B5C4-4143-89E1-C2DA7726790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6" authorId="0" shapeId="0" xr:uid="{A63628FB-0404-41E2-961D-60C06718A3B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6" authorId="0" shapeId="0" xr:uid="{6672BDE1-6B26-4B68-9E3A-581C7C10249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6" authorId="0" shapeId="0" xr:uid="{53E2D200-841A-4525-908D-9809BB84E71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6" authorId="0" shapeId="0" xr:uid="{B0310E65-7EA6-4E1A-9D83-6AAA2B50332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6" authorId="0" shapeId="0" xr:uid="{6C07B18F-A1A0-46BE-9851-EEA57F74008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6" authorId="0" shapeId="0" xr:uid="{8BB38BDA-2A44-4B3A-BCAF-99232130B24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6" authorId="0" shapeId="0" xr:uid="{0EC576BD-0F93-459E-B391-5E2E490CFB2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6" authorId="0" shapeId="0" xr:uid="{57759222-41E3-4D5B-A732-43CF1892BB6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6" authorId="0" shapeId="0" xr:uid="{ABC66DD0-6506-4E34-885C-6364919E326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6" authorId="0" shapeId="0" xr:uid="{22AAAE82-8CD2-4D1A-8F75-ED7A81BE993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6" authorId="0" shapeId="0" xr:uid="{60F9C6AA-F73C-49BF-AA65-09CA056CE88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6" authorId="0" shapeId="0" xr:uid="{42F75353-9B64-4810-97DF-EE546C5E741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6" authorId="0" shapeId="0" xr:uid="{EADF4EDA-114C-4824-9440-DAC8C11C851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6" authorId="0" shapeId="0" xr:uid="{D0E3DD4F-BA37-483C-A89F-AFD57D3EBA4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6" authorId="0" shapeId="0" xr:uid="{012BDE9B-4A64-4594-BD4C-FB9917D40F5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6" authorId="0" shapeId="0" xr:uid="{475243E1-95E3-4D13-B28C-4275DB55244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6" authorId="0" shapeId="0" xr:uid="{C591A8E7-E9DB-4EC3-9890-4F2B0F98C16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7" authorId="0" shapeId="0" xr:uid="{4E05952F-E8CE-4D85-B094-0F8C0EDA997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7" authorId="0" shapeId="0" xr:uid="{E4F6C085-B51D-43C3-9864-FF8EC43A6EC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7" authorId="0" shapeId="0" xr:uid="{73CD76D8-7E61-4116-93DB-50CF65B8AFA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7" authorId="0" shapeId="0" xr:uid="{A85644E9-5830-4CF2-8648-2B4331572D7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7" authorId="0" shapeId="0" xr:uid="{E54075F9-4F08-4527-9F81-188454FB092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7" authorId="0" shapeId="0" xr:uid="{F91F4BD0-79E1-46D4-BEE4-602718367B2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7" authorId="0" shapeId="0" xr:uid="{CC03A1D7-F7A7-4EFD-822F-DF818443E0E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7" authorId="0" shapeId="0" xr:uid="{67128F1F-2D30-4968-B463-D8383F74E65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7" authorId="0" shapeId="0" xr:uid="{689182A3-F80E-43D8-9B32-77C2C995FEF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7" authorId="0" shapeId="0" xr:uid="{D7329F1C-F975-4899-B8DD-DDE5FBED4BA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7" authorId="0" shapeId="0" xr:uid="{A695E804-4881-4B10-A564-E7BCE466181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7" authorId="0" shapeId="0" xr:uid="{3362084C-5BEC-43E0-93DB-351CCFB3616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7" authorId="0" shapeId="0" xr:uid="{BA6E4872-1D33-4569-B989-E88380877E2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7" authorId="0" shapeId="0" xr:uid="{3407574B-C542-4F5B-97BD-BFC272F6553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7" authorId="0" shapeId="0" xr:uid="{F1A5AEDE-16B4-4BD1-B4AC-0AFD9F4F19D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7" authorId="0" shapeId="0" xr:uid="{F5F40995-C900-4719-9C10-0C624B39D3C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7" authorId="0" shapeId="0" xr:uid="{DB63C6FF-D89F-4BB2-9A24-5FB7C772DE5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7" authorId="0" shapeId="0" xr:uid="{EC300AF9-DCFB-4C95-9366-0D9E803F0CE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7" authorId="0" shapeId="0" xr:uid="{4F55CBA4-115D-46D0-91DF-52C214B4E69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7" authorId="0" shapeId="0" xr:uid="{7122E6DE-B7DF-46BC-ABF2-A4B5756A803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7" authorId="0" shapeId="0" xr:uid="{96EAE310-DD0A-4B83-AB15-3F06C7DE9D3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7" authorId="0" shapeId="0" xr:uid="{02E1160B-54BA-400B-BE68-A85C5996F97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7" authorId="0" shapeId="0" xr:uid="{C599FE35-7823-4C4B-A876-F2A81156CE7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7" authorId="0" shapeId="0" xr:uid="{03C41207-CEB3-48DA-83B5-BB70D45EC18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7" authorId="0" shapeId="0" xr:uid="{1B5044B0-922B-40C6-AEE5-0CB56E8629F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7" authorId="0" shapeId="0" xr:uid="{6DF3F257-B591-402B-9DB6-3509B7F0D66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7" authorId="0" shapeId="0" xr:uid="{F82282BE-24E0-4635-A436-3B84396EF0F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7" authorId="0" shapeId="0" xr:uid="{035441F2-8730-4BE2-A423-C1BD95276CB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7" authorId="0" shapeId="0" xr:uid="{17F75338-D1ED-4DA0-8276-8E0FE3F6B16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7" authorId="0" shapeId="0" xr:uid="{9D938440-ECAE-4236-936B-30582B9C7B6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7" authorId="0" shapeId="0" xr:uid="{5B523A95-F57E-4D65-B93A-5F06CC80F3D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7" authorId="0" shapeId="0" xr:uid="{FA2C6211-D938-4266-93C1-C4FC3E943DC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7" authorId="0" shapeId="0" xr:uid="{B82EA648-D723-4F15-AA36-3D5BA3D4D23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7" authorId="0" shapeId="0" xr:uid="{611D297E-92FB-4617-AD19-587D8A253B6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7" authorId="0" shapeId="0" xr:uid="{6C60B539-5D94-44E8-9FAC-81B0B1425A5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7" authorId="0" shapeId="0" xr:uid="{2035C272-084B-4D71-BE7C-88A7B1C5FB2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7" authorId="0" shapeId="0" xr:uid="{E2FBD470-0E9C-4C39-B5E1-6A12F0CA8B0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7" authorId="0" shapeId="0" xr:uid="{E62301A4-12CB-4F68-959D-7C61325297F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7" authorId="0" shapeId="0" xr:uid="{B019CCA6-A874-4FD3-B92C-6FD310DB80D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7" authorId="0" shapeId="0" xr:uid="{8DC1338E-E08C-4DF8-AB34-0AA6EA02897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7" authorId="0" shapeId="0" xr:uid="{33138B00-767E-44DE-B38C-045F35B9062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7" authorId="0" shapeId="0" xr:uid="{5678E3A8-9F47-4DA2-AF2D-DB008EE3987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7" authorId="0" shapeId="0" xr:uid="{5E6DBFE6-C62F-48C8-9836-52806EAE178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7" authorId="0" shapeId="0" xr:uid="{10A5ABBE-BF1E-4BBF-B5A0-E5E23FFEE30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7" authorId="0" shapeId="0" xr:uid="{F582F08F-7F0A-40BA-A8C5-794F72F81E6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B18" authorId="0" shapeId="0" xr:uid="{66AF1641-92E5-4424-901F-195686DABE8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C18" authorId="0" shapeId="0" xr:uid="{373285DF-3B7E-4277-AAA0-933221AC247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D18" authorId="0" shapeId="0" xr:uid="{37591A87-CA1A-4C63-B835-C4832A88155A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E18" authorId="0" shapeId="0" xr:uid="{5A8F5BAC-F02E-4D5F-90C4-905FFE0B20E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F18" authorId="0" shapeId="0" xr:uid="{441E63E3-6EDD-4EAB-A97D-12843EF8387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G18" authorId="0" shapeId="0" xr:uid="{85334E74-3A11-4529-8A6C-2FE7C25859D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H18" authorId="0" shapeId="0" xr:uid="{869BC82A-7FE1-408E-8526-5543C98A6DC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I18" authorId="0" shapeId="0" xr:uid="{980388A8-F77E-4E15-A762-09ADBB19668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J18" authorId="0" shapeId="0" xr:uid="{B6C5E74B-FB3D-45FC-B600-E593786E8E6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K18" authorId="0" shapeId="0" xr:uid="{DDEA9D44-A0B5-4785-9E21-A0B83520995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L18" authorId="0" shapeId="0" xr:uid="{2B90C19E-42F5-4A61-86AE-757D079EF62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M18" authorId="0" shapeId="0" xr:uid="{E9266CFD-684A-4036-9507-B0C2769D4C5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N18" authorId="0" shapeId="0" xr:uid="{AC558179-5E79-4563-B894-58A365EFCB0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O18" authorId="0" shapeId="0" xr:uid="{C61B152A-D1EC-4984-BEA8-A74E35B640C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P18" authorId="0" shapeId="0" xr:uid="{5FFB1A8F-4E07-4A85-A319-9A7BEBEAADE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Q18" authorId="0" shapeId="0" xr:uid="{6911401F-EEE8-49F5-B428-A3854A2E222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R18" authorId="0" shapeId="0" xr:uid="{FD603D1D-958A-4E32-A7AC-1347A21D29A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S18" authorId="0" shapeId="0" xr:uid="{6352CC59-0F31-4997-AFDA-1161A5ADA0D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T18" authorId="0" shapeId="0" xr:uid="{D0DF45DF-D0E2-4910-B6F9-24200E3CF405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U18" authorId="0" shapeId="0" xr:uid="{A31EBCFB-3CD2-4F92-B560-34973EF30B9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V18" authorId="0" shapeId="0" xr:uid="{C53DAAA7-B76F-4541-B4BA-808E2235F1F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W18" authorId="0" shapeId="0" xr:uid="{1BA40D2E-0A6F-4B8A-B93D-7BDE4FFE55A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X18" authorId="0" shapeId="0" xr:uid="{C373443B-5838-4D8A-9479-69BF0218E4FC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Y18" authorId="0" shapeId="0" xr:uid="{23247373-0B73-4566-B51D-FE77D18A4DF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Z18" authorId="0" shapeId="0" xr:uid="{0869FBE1-E8E4-4723-917B-4D2F786BE89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A18" authorId="0" shapeId="0" xr:uid="{57A983DD-8E89-46D3-910E-715E5D30DD04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B18" authorId="0" shapeId="0" xr:uid="{CB9DF749-1B53-4A75-8ED4-DB9BBC9C2D0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C18" authorId="0" shapeId="0" xr:uid="{F09CBABE-F727-4E76-9628-DA4CC410C7B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D18" authorId="0" shapeId="0" xr:uid="{45AFE54D-B547-4F30-937C-B8E025A08661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E18" authorId="0" shapeId="0" xr:uid="{075C0CC6-C038-4C28-B01D-5E623FDC42A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F18" authorId="0" shapeId="0" xr:uid="{E19C31DE-6553-4EFF-96BC-55BDD84B931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G18" authorId="0" shapeId="0" xr:uid="{5F7D1FC0-BA3E-4786-9060-759A2D293B20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H18" authorId="0" shapeId="0" xr:uid="{536AD075-8D15-4003-940D-515A42AA8EBB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I18" authorId="0" shapeId="0" xr:uid="{A43661EB-D76D-43EB-9ED9-CD86D987A242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J18" authorId="0" shapeId="0" xr:uid="{29C62F11-A835-4466-9647-FDBF977FB8CD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K18" authorId="0" shapeId="0" xr:uid="{97A96592-593D-4CB4-B9BF-B70FE9388523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L18" authorId="0" shapeId="0" xr:uid="{62B6082D-21CC-4BAD-8866-23BEC130CD1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M18" authorId="0" shapeId="0" xr:uid="{3DFD4563-405A-448D-BE9A-B368596F4327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N18" authorId="0" shapeId="0" xr:uid="{4BCB8EAC-416A-4F42-9E7F-28B86E340886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O18" authorId="0" shapeId="0" xr:uid="{1F0825A7-40E7-4624-9E04-76F263218D5E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P18" authorId="0" shapeId="0" xr:uid="{60E0EB0E-7DD6-4021-BFFD-8CD8207C779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Q18" authorId="0" shapeId="0" xr:uid="{1CC09208-C725-4B4B-8627-1C0BA649109F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R18" authorId="0" shapeId="0" xr:uid="{68ED88EC-DCB0-485C-851F-A55477EE60E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S18" authorId="0" shapeId="0" xr:uid="{F8EF13E9-2331-4570-80E6-A2082A632399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  <comment ref="AT18" authorId="0" shapeId="0" xr:uid="{F93982FD-447A-4B88-A28A-E4DB39C10A48}">
      <text>
        <r>
          <rPr>
            <b/>
            <sz val="9"/>
            <color indexed="81"/>
            <rFont val="Tahoma"/>
            <charset val="1"/>
          </rPr>
          <t>Climate Lead Group:</t>
        </r>
        <r>
          <rPr>
            <sz val="9"/>
            <color indexed="81"/>
            <rFont val="Tahoma"/>
            <charset val="1"/>
          </rPr>
          <t xml:space="preserve">
=TWh*3.6 para convertir a PJ</t>
        </r>
      </text>
    </comment>
  </commentList>
</comments>
</file>

<file path=xl/sharedStrings.xml><?xml version="1.0" encoding="utf-8"?>
<sst xmlns="http://schemas.openxmlformats.org/spreadsheetml/2006/main" count="618" uniqueCount="169">
  <si>
    <t>País</t>
  </si>
  <si>
    <t>Argentina</t>
  </si>
  <si>
    <t>Bolivia</t>
  </si>
  <si>
    <t>Brasil</t>
  </si>
  <si>
    <t>Chile</t>
  </si>
  <si>
    <t>Colombia</t>
  </si>
  <si>
    <t>Costa Rica</t>
  </si>
  <si>
    <t>Ecuador</t>
  </si>
  <si>
    <t>Guatemala</t>
  </si>
  <si>
    <t>Honduras</t>
  </si>
  <si>
    <t>México</t>
  </si>
  <si>
    <t>Panamá</t>
  </si>
  <si>
    <t>Paraguay</t>
  </si>
  <si>
    <t>Perú</t>
  </si>
  <si>
    <t>Uruguay</t>
  </si>
  <si>
    <t>LATAM Total</t>
  </si>
  <si>
    <t>Conversión: 1 TWh = 3.6 PJ. Fuente: Hoja 'Demanda TWh'.</t>
  </si>
  <si>
    <t>Demanda de Electricidad en América Latina (PJ)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</si>
  <si>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</si>
  <si>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</si>
  <si>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</si>
  <si>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</si>
  <si>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</si>
  <si>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</si>
  <si>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</si>
  <si>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</si>
  <si>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</si>
  <si>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</si>
  <si>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</si>
  <si>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</si>
  <si>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</si>
  <si>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</si>
  <si>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</si>
  <si>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</si>
  <si>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</si>
  <si>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</si>
  <si>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</si>
  <si>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</si>
  <si>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</si>
  <si>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</si>
  <si>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</si>
  <si>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</si>
  <si>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</si>
  <si>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</si>
  <si>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</si>
  <si>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</si>
  <si>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</si>
  <si>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</si>
  <si>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</si>
  <si>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</si>
  <si>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</si>
  <si>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</si>
  <si>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</si>
  <si>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</si>
  <si>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</si>
  <si>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ELCARGXX03</t>
  </si>
  <si>
    <t>Output demand of dispatch-readys in Argentina</t>
  </si>
  <si>
    <t>not needed</t>
  </si>
  <si>
    <t>User defined</t>
  </si>
  <si>
    <t>ELCBOLXX03</t>
  </si>
  <si>
    <t>Output demand of dispatch-readys in Bolivia</t>
  </si>
  <si>
    <t>ELCBRAXX03</t>
  </si>
  <si>
    <t>Output demand of dispatch-readys in Brazil</t>
  </si>
  <si>
    <t>ELCBRBXX03</t>
  </si>
  <si>
    <t>Output demand of dispatch-readys in Barbados</t>
  </si>
  <si>
    <t>ELCCHLXX03</t>
  </si>
  <si>
    <t>Output demand of dispatch-readys in Chile</t>
  </si>
  <si>
    <t>ELCCOLXX03</t>
  </si>
  <si>
    <t>Output demand of dispatch-readys in Colombia</t>
  </si>
  <si>
    <t>ELCCRIXX03</t>
  </si>
  <si>
    <t>Output demand of dispatch-readys in Costa Rica</t>
  </si>
  <si>
    <t>ELCDOMXX03</t>
  </si>
  <si>
    <t>Output demand of dispatch-readys in Dominican Republic</t>
  </si>
  <si>
    <t>ELCECUXX03</t>
  </si>
  <si>
    <t>Output demand of dispatch-readys in Ecuador</t>
  </si>
  <si>
    <t>ELCGTMXX03</t>
  </si>
  <si>
    <t>Output demand of dispatch-readys in Guatemala</t>
  </si>
  <si>
    <t>ELCHNDXX03</t>
  </si>
  <si>
    <t>Output demand of dispatch-readys in Honduras</t>
  </si>
  <si>
    <t>ELCMEXXX03</t>
  </si>
  <si>
    <t>Output demand of dispatch-readys in Mexico</t>
  </si>
  <si>
    <t>ELCNICXX03</t>
  </si>
  <si>
    <t>Output demand of dispatch-readys in Nicaragua</t>
  </si>
  <si>
    <t>ELCPANXX03</t>
  </si>
  <si>
    <t>Output demand of dispatch-readys in Panama</t>
  </si>
  <si>
    <t>ELCPERXX03</t>
  </si>
  <si>
    <t>Output demand of dispatch-readys in Peru</t>
  </si>
  <si>
    <t>ELCPRYXX03</t>
  </si>
  <si>
    <t>Output demand of dispatch-readys in Paraguay</t>
  </si>
  <si>
    <t>ELCSLVXX03</t>
  </si>
  <si>
    <t>Output demand of dispatch-readys in El Salvador</t>
  </si>
  <si>
    <t>ELCURYXX03</t>
  </si>
  <si>
    <t>Output demand of dispatch-readys in Uruguay</t>
  </si>
  <si>
    <t>ELCHTIXX03</t>
  </si>
  <si>
    <t>Output demand of dispatch-ready in Haiti</t>
  </si>
  <si>
    <t>Grupo</t>
  </si>
  <si>
    <t>CAGR_2025_2035_%</t>
  </si>
  <si>
    <t>CAGR_2035_2050_%</t>
  </si>
  <si>
    <t>2024_PJ</t>
  </si>
  <si>
    <t>2025_PJ</t>
  </si>
  <si>
    <t>2026_PJ</t>
  </si>
  <si>
    <t>2027_PJ</t>
  </si>
  <si>
    <t>2028_PJ</t>
  </si>
  <si>
    <t>2029_PJ</t>
  </si>
  <si>
    <t>2030_PJ</t>
  </si>
  <si>
    <t>2031_PJ</t>
  </si>
  <si>
    <t>2032_PJ</t>
  </si>
  <si>
    <t>2033_PJ</t>
  </si>
  <si>
    <t>2034_PJ</t>
  </si>
  <si>
    <t>2035_PJ</t>
  </si>
  <si>
    <t>2036_PJ</t>
  </si>
  <si>
    <t>2037_PJ</t>
  </si>
  <si>
    <t>2038_PJ</t>
  </si>
  <si>
    <t>2039_PJ</t>
  </si>
  <si>
    <t>2040_PJ</t>
  </si>
  <si>
    <t>2041_PJ</t>
  </si>
  <si>
    <t>2042_PJ</t>
  </si>
  <si>
    <t>2043_PJ</t>
  </si>
  <si>
    <t>2044_PJ</t>
  </si>
  <si>
    <t>2045_PJ</t>
  </si>
  <si>
    <t>2046_PJ</t>
  </si>
  <si>
    <t>2047_PJ</t>
  </si>
  <si>
    <t>2048_PJ</t>
  </si>
  <si>
    <t>2049_PJ</t>
  </si>
  <si>
    <t>2050_PJ</t>
  </si>
  <si>
    <t>BR</t>
  </si>
  <si>
    <t>Sudamérica</t>
  </si>
  <si>
    <t>AR</t>
  </si>
  <si>
    <t>CL</t>
  </si>
  <si>
    <t>CO</t>
  </si>
  <si>
    <t>PE</t>
  </si>
  <si>
    <t>EC</t>
  </si>
  <si>
    <t>PY</t>
  </si>
  <si>
    <t>UY</t>
  </si>
  <si>
    <t>BO</t>
  </si>
  <si>
    <t>MX</t>
  </si>
  <si>
    <t>GT</t>
  </si>
  <si>
    <t>PA</t>
  </si>
  <si>
    <t>CR</t>
  </si>
  <si>
    <t>HN</t>
  </si>
  <si>
    <t>El Salvador</t>
  </si>
  <si>
    <t>SV</t>
  </si>
  <si>
    <t>Nicaragua</t>
  </si>
  <si>
    <t>NI</t>
  </si>
  <si>
    <t>Rep. Dominicana</t>
  </si>
  <si>
    <t>DO</t>
  </si>
  <si>
    <t>Caribe</t>
  </si>
  <si>
    <t>Haití</t>
  </si>
  <si>
    <t>HT</t>
  </si>
  <si>
    <t>Barbados</t>
  </si>
  <si>
    <t>BB</t>
  </si>
  <si>
    <t>Total</t>
  </si>
  <si>
    <t>Código_OSTRAM</t>
  </si>
  <si>
    <t>ISO3</t>
  </si>
  <si>
    <t>Centroamérica</t>
  </si>
  <si>
    <t>Ancla</t>
  </si>
  <si>
    <t>REST17</t>
  </si>
  <si>
    <t>Subtotal</t>
  </si>
  <si>
    <t>CSA18</t>
  </si>
  <si>
    <t>LAC19</t>
  </si>
  <si>
    <t>Escenario</t>
  </si>
  <si>
    <t>NZE</t>
  </si>
  <si>
    <t>Brasil (WEO)</t>
  </si>
  <si>
    <t>Resto C&amp;S Am (17)</t>
  </si>
  <si>
    <t>Σ C&amp;S Am (18)</t>
  </si>
  <si>
    <t>WEO C&amp;S Am NZE'</t>
  </si>
  <si>
    <t>WEO</t>
  </si>
  <si>
    <t>Ref</t>
  </si>
  <si>
    <t>Σ LAC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</si>
</sst>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4"/>
      <color rgb="FF000000"/>
      <name val="Aptos Narrow"/>
      <scheme val="minor"/>
    </font>
    <font>
      <i/>
      <sz val="9"/>
      <color rgb="FF666666"/>
      <name val="Aptos Narrow"/>
      <scheme val="minor"/>
    </font>
    <font>
      <b/>
      <sz val="10"/>
      <color rgb="FFFFFFFF"/>
      <name val="Aptos Narrow"/>
      <scheme val="minor"/>
    </font>
    <font>
      <b/>
      <sz val="10"/>
      <color rgb="FF000000"/>
      <name val="Aptos Narrow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rgb="FF000000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1" applyFont="1"/>
    <xf numFmtId="0" fontId="5" fillId="2" borderId="0" xfId="1" applyFont="1" applyFill="1" applyAlignment="1">
      <alignment horizontal="center"/>
    </xf>
    <xf numFmtId="1" fontId="5" fillId="2" borderId="0" xfId="1" applyNumberFormat="1" applyFont="1" applyFill="1" applyAlignment="1">
      <alignment horizontal="center"/>
    </xf>
    <xf numFmtId="1" fontId="5" fillId="3" borderId="1" xfId="1" applyNumberFormat="1" applyFont="1" applyFill="1" applyBorder="1" applyAlignment="1">
      <alignment horizontal="center"/>
    </xf>
    <xf numFmtId="1" fontId="5" fillId="3" borderId="0" xfId="1" applyNumberFormat="1" applyFont="1" applyFill="1" applyAlignment="1">
      <alignment horizontal="center"/>
    </xf>
    <xf numFmtId="1" fontId="5" fillId="4" borderId="1" xfId="1" applyNumberFormat="1" applyFont="1" applyFill="1" applyBorder="1" applyAlignment="1">
      <alignment horizontal="center"/>
    </xf>
    <xf numFmtId="1" fontId="5" fillId="4" borderId="0" xfId="1" applyNumberFormat="1" applyFont="1" applyFill="1" applyAlignment="1">
      <alignment horizontal="center"/>
    </xf>
    <xf numFmtId="0" fontId="2" fillId="5" borderId="0" xfId="1" applyFill="1"/>
    <xf numFmtId="164" fontId="2" fillId="5" borderId="0" xfId="1" applyNumberFormat="1" applyFill="1"/>
    <xf numFmtId="164" fontId="2" fillId="5" borderId="1" xfId="1" applyNumberFormat="1" applyFill="1" applyBorder="1"/>
    <xf numFmtId="164" fontId="2" fillId="0" borderId="0" xfId="1" applyNumberFormat="1"/>
    <xf numFmtId="164" fontId="2" fillId="0" borderId="1" xfId="1" applyNumberFormat="1" applyBorder="1"/>
    <xf numFmtId="0" fontId="6" fillId="0" borderId="2" xfId="1" applyFont="1" applyBorder="1"/>
    <xf numFmtId="164" fontId="6" fillId="0" borderId="2" xfId="1" applyNumberFormat="1" applyFont="1" applyBorder="1"/>
    <xf numFmtId="164" fontId="6" fillId="0" borderId="3" xfId="1" applyNumberFormat="1" applyFont="1" applyBorder="1"/>
    <xf numFmtId="0" fontId="9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8E8C11F8-1E74-4DD1-9122-863F989AC9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IDB_RELAC_Tx/Documentos%20compartidos/02_Data/GTR-report-excel-files-link_-Global-Electricity-Transmission-Report-and-Database-2025-34/3.2%20Latin%20America_2025%20GETR.xlsx" TargetMode="External"/><Relationship Id="rId1" Type="http://schemas.openxmlformats.org/officeDocument/2006/relationships/externalLinkPath" Target="https://clgcr.sharepoint.com/sites/IDB_RELAC_Tx/Documentos%20compartidos/02_Data/GTR-report-excel-files-link_-Global-Electricity-Transmission-Report-and-Database-2025-34/3.2%20Latin%20America_2025%20GET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Regional Analysis"/>
      <sheetName val="Argentina"/>
      <sheetName val="Bolivia"/>
      <sheetName val="Brazil"/>
      <sheetName val="Chile"/>
      <sheetName val="Colombia"/>
      <sheetName val="Costa Rica"/>
      <sheetName val="Ecuador"/>
      <sheetName val="Guatemala"/>
      <sheetName val="Honduras"/>
      <sheetName val="Mexico"/>
      <sheetName val="Panama"/>
      <sheetName val="Paraguay"/>
      <sheetName val="Peru"/>
      <sheetName val="Uruguay"/>
      <sheetName val="Demanda TWh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B4">
            <v>97.593000000000004</v>
          </cell>
          <cell r="C4">
            <v>102.96</v>
          </cell>
          <cell r="D4">
            <v>105.935</v>
          </cell>
          <cell r="E4">
            <v>104.605</v>
          </cell>
          <cell r="F4">
            <v>110.77500000000001</v>
          </cell>
          <cell r="G4">
            <v>116.381</v>
          </cell>
          <cell r="H4">
            <v>121.19199999999999</v>
          </cell>
          <cell r="I4">
            <v>125.22</v>
          </cell>
          <cell r="J4">
            <v>126.42100000000001</v>
          </cell>
          <cell r="K4">
            <v>132.1</v>
          </cell>
          <cell r="L4">
            <v>133.11099999999999</v>
          </cell>
          <cell r="M4">
            <v>132.43600000000001</v>
          </cell>
          <cell r="N4">
            <v>133.00800000000001</v>
          </cell>
          <cell r="O4">
            <v>128.88</v>
          </cell>
          <cell r="P4">
            <v>127.306</v>
          </cell>
          <cell r="Q4">
            <v>133.87700000000001</v>
          </cell>
          <cell r="R4">
            <v>138.76</v>
          </cell>
          <cell r="S4">
            <v>140.88399999999999</v>
          </cell>
          <cell r="T4">
            <v>140.227</v>
          </cell>
          <cell r="U4">
            <v>143</v>
          </cell>
          <cell r="V4">
            <v>145</v>
          </cell>
          <cell r="W4">
            <v>148</v>
          </cell>
          <cell r="X4">
            <v>150</v>
          </cell>
          <cell r="Y4">
            <v>153</v>
          </cell>
          <cell r="Z4">
            <v>156</v>
          </cell>
          <cell r="AA4">
            <v>159</v>
          </cell>
          <cell r="AB4">
            <v>162</v>
          </cell>
          <cell r="AC4">
            <v>165</v>
          </cell>
          <cell r="AD4">
            <v>168</v>
          </cell>
          <cell r="AE4">
            <v>170.85599999999999</v>
          </cell>
          <cell r="AF4">
            <v>173.76055199999999</v>
          </cell>
          <cell r="AG4">
            <v>176.71448138399998</v>
          </cell>
          <cell r="AH4">
            <v>179.71862756752796</v>
          </cell>
          <cell r="AI4">
            <v>182.77384423617593</v>
          </cell>
          <cell r="AJ4">
            <v>185.88099958819092</v>
          </cell>
          <cell r="AK4">
            <v>189.04097658119014</v>
          </cell>
          <cell r="AL4">
            <v>192.25467318307034</v>
          </cell>
          <cell r="AM4">
            <v>195.52300262718251</v>
          </cell>
          <cell r="AN4">
            <v>198.84689367184458</v>
          </cell>
          <cell r="AO4">
            <v>202.22729086426591</v>
          </cell>
          <cell r="AP4">
            <v>205.66515480895842</v>
          </cell>
          <cell r="AQ4">
            <v>209.16146244071069</v>
          </cell>
          <cell r="AR4">
            <v>212.71720730220275</v>
          </cell>
          <cell r="AS4">
            <v>216.33339982634018</v>
          </cell>
          <cell r="AT4">
            <v>220.01106762338796</v>
          </cell>
        </row>
        <row r="5">
          <cell r="B5">
            <v>4.4889999999999999</v>
          </cell>
          <cell r="C5">
            <v>4.8559999999999999</v>
          </cell>
          <cell r="D5">
            <v>5.3789999999999996</v>
          </cell>
          <cell r="E5">
            <v>5.6230000000000002</v>
          </cell>
          <cell r="F5">
            <v>6.0170000000000003</v>
          </cell>
          <cell r="G5">
            <v>6.2329999999999997</v>
          </cell>
          <cell r="H5">
            <v>6.6120000000000001</v>
          </cell>
          <cell r="I5">
            <v>6.9619999999999997</v>
          </cell>
          <cell r="J5">
            <v>7.3920000000000003</v>
          </cell>
          <cell r="K5">
            <v>7.87453</v>
          </cell>
          <cell r="L5">
            <v>8.2011000000000003</v>
          </cell>
          <cell r="M5">
            <v>8.3739899999999992</v>
          </cell>
          <cell r="N5">
            <v>8.4501299999999997</v>
          </cell>
          <cell r="O5">
            <v>8.6796200000000017</v>
          </cell>
          <cell r="P5">
            <v>8.3651299999999988</v>
          </cell>
          <cell r="Q5">
            <v>9.0110400000000013</v>
          </cell>
          <cell r="R5">
            <v>9.5050000000000008</v>
          </cell>
          <cell r="S5">
            <v>10.678000000000001</v>
          </cell>
          <cell r="T5">
            <v>11.103</v>
          </cell>
          <cell r="U5">
            <v>11.715</v>
          </cell>
          <cell r="V5">
            <v>12.095000000000001</v>
          </cell>
          <cell r="W5">
            <v>12.427</v>
          </cell>
          <cell r="X5">
            <v>12.757999999999999</v>
          </cell>
          <cell r="Y5">
            <v>13.102</v>
          </cell>
          <cell r="Z5">
            <v>13.448</v>
          </cell>
          <cell r="AA5">
            <v>13.798999999999999</v>
          </cell>
          <cell r="AB5">
            <v>14.148999999999999</v>
          </cell>
          <cell r="AC5">
            <v>14.503</v>
          </cell>
          <cell r="AD5">
            <v>14.856</v>
          </cell>
          <cell r="AE5">
            <v>15.2689968</v>
          </cell>
          <cell r="AF5">
            <v>15.693474911040001</v>
          </cell>
          <cell r="AG5">
            <v>16.129753513566914</v>
          </cell>
          <cell r="AH5">
            <v>16.578160661244077</v>
          </cell>
          <cell r="AI5">
            <v>17.039033527626664</v>
          </cell>
          <cell r="AJ5">
            <v>17.512718659694688</v>
          </cell>
          <cell r="AK5">
            <v>17.999572238434201</v>
          </cell>
          <cell r="AL5">
            <v>18.499960346662672</v>
          </cell>
          <cell r="AM5">
            <v>19.014259244299893</v>
          </cell>
          <cell r="AN5">
            <v>19.542855651291433</v>
          </cell>
          <cell r="AO5">
            <v>20.086147038397336</v>
          </cell>
          <cell r="AP5">
            <v>20.644541926064782</v>
          </cell>
          <cell r="AQ5">
            <v>21.218460191609385</v>
          </cell>
          <cell r="AR5">
            <v>21.808333384936127</v>
          </cell>
          <cell r="AS5">
            <v>22.414605053037352</v>
          </cell>
          <cell r="AT5">
            <v>23.037731073511793</v>
          </cell>
        </row>
        <row r="6">
          <cell r="B6">
            <v>356.12900000000002</v>
          </cell>
          <cell r="C6">
            <v>377.03</v>
          </cell>
          <cell r="D6">
            <v>388.47199999999998</v>
          </cell>
          <cell r="E6">
            <v>384.30599999999998</v>
          </cell>
          <cell r="F6">
            <v>415.6680963</v>
          </cell>
          <cell r="G6">
            <v>433.01583199999993</v>
          </cell>
          <cell r="H6">
            <v>448.12639000000001</v>
          </cell>
          <cell r="I6">
            <v>463.14249999999998</v>
          </cell>
          <cell r="J6">
            <v>474.82345000000004</v>
          </cell>
          <cell r="K6">
            <v>465.70843000000002</v>
          </cell>
          <cell r="L6">
            <v>461.77954999999997</v>
          </cell>
          <cell r="M6">
            <v>467.16118</v>
          </cell>
          <cell r="N6">
            <v>474.82015999999999</v>
          </cell>
          <cell r="O6">
            <v>482.23700000000002</v>
          </cell>
          <cell r="P6">
            <v>474.209</v>
          </cell>
          <cell r="Q6">
            <v>501.774</v>
          </cell>
          <cell r="R6">
            <v>508.50599999999997</v>
          </cell>
          <cell r="S6">
            <v>527.36699999999996</v>
          </cell>
          <cell r="T6">
            <v>560</v>
          </cell>
          <cell r="U6">
            <v>585</v>
          </cell>
          <cell r="V6">
            <v>612</v>
          </cell>
          <cell r="W6">
            <v>639</v>
          </cell>
          <cell r="X6">
            <v>668</v>
          </cell>
          <cell r="Y6">
            <v>698</v>
          </cell>
          <cell r="Z6">
            <v>729</v>
          </cell>
          <cell r="AA6">
            <v>762</v>
          </cell>
          <cell r="AB6">
            <v>797</v>
          </cell>
          <cell r="AC6">
            <v>833</v>
          </cell>
          <cell r="AD6">
            <v>870</v>
          </cell>
          <cell r="AE6">
            <v>883.31100000000004</v>
          </cell>
          <cell r="AF6">
            <v>896.8256583000001</v>
          </cell>
          <cell r="AG6">
            <v>910.54709087199024</v>
          </cell>
          <cell r="AH6">
            <v>924.47846136233181</v>
          </cell>
          <cell r="AI6">
            <v>938.62298182117559</v>
          </cell>
          <cell r="AJ6">
            <v>952.98391344303968</v>
          </cell>
          <cell r="AK6">
            <v>967.56456731871833</v>
          </cell>
          <cell r="AL6">
            <v>982.36830519869477</v>
          </cell>
          <cell r="AM6">
            <v>997.39854026823491</v>
          </cell>
          <cell r="AN6">
            <v>1012.658737934339</v>
          </cell>
          <cell r="AO6">
            <v>1028.1524166247345</v>
          </cell>
          <cell r="AP6">
            <v>1043.8831485990931</v>
          </cell>
          <cell r="AQ6">
            <v>1059.8545607726594</v>
          </cell>
          <cell r="AR6">
            <v>1076.0703355524811</v>
          </cell>
          <cell r="AS6">
            <v>1092.5342116864342</v>
          </cell>
          <cell r="AT6">
            <v>1109.2499851252367</v>
          </cell>
        </row>
        <row r="7">
          <cell r="B7">
            <v>50.610999999999997</v>
          </cell>
          <cell r="C7">
            <v>53.008000000000003</v>
          </cell>
          <cell r="D7">
            <v>53.179000000000002</v>
          </cell>
          <cell r="E7">
            <v>53.442</v>
          </cell>
          <cell r="F7">
            <v>55.26</v>
          </cell>
          <cell r="G7">
            <v>58.493000000000002</v>
          </cell>
          <cell r="H7">
            <v>61.555999999999997</v>
          </cell>
          <cell r="I7">
            <v>63.192</v>
          </cell>
          <cell r="J7">
            <v>64.575272727272733</v>
          </cell>
          <cell r="K7">
            <v>66.546999999999997</v>
          </cell>
          <cell r="L7">
            <v>67.784999999999997</v>
          </cell>
          <cell r="M7">
            <v>68.268000000000001</v>
          </cell>
          <cell r="N7">
            <v>70.778999999999996</v>
          </cell>
          <cell r="O7">
            <v>71.790999999999997</v>
          </cell>
          <cell r="P7">
            <v>71.739000000000004</v>
          </cell>
          <cell r="Q7">
            <v>75.131</v>
          </cell>
          <cell r="R7">
            <v>76.756</v>
          </cell>
          <cell r="S7">
            <v>78.576262032601861</v>
          </cell>
          <cell r="T7">
            <v>80.439691424984488</v>
          </cell>
          <cell r="U7">
            <v>82.4</v>
          </cell>
          <cell r="V7">
            <v>86.1</v>
          </cell>
          <cell r="W7">
            <v>89.2</v>
          </cell>
          <cell r="X7">
            <v>91.5</v>
          </cell>
          <cell r="Y7">
            <v>92.7</v>
          </cell>
          <cell r="Z7">
            <v>95.9</v>
          </cell>
          <cell r="AA7">
            <v>97.7</v>
          </cell>
          <cell r="AB7">
            <v>100.3</v>
          </cell>
          <cell r="AC7">
            <v>102.5</v>
          </cell>
          <cell r="AD7">
            <v>104.5</v>
          </cell>
          <cell r="AE7">
            <v>105.68085000000001</v>
          </cell>
          <cell r="AF7">
            <v>106.87504360500002</v>
          </cell>
          <cell r="AG7">
            <v>108.08273159773653</v>
          </cell>
          <cell r="AH7">
            <v>109.30406646479096</v>
          </cell>
          <cell r="AI7">
            <v>110.53920241584311</v>
          </cell>
          <cell r="AJ7">
            <v>111.78829540314214</v>
          </cell>
          <cell r="AK7">
            <v>113.05150314119766</v>
          </cell>
          <cell r="AL7">
            <v>114.3289851266932</v>
          </cell>
          <cell r="AM7">
            <v>115.62090265862484</v>
          </cell>
          <cell r="AN7">
            <v>116.92741885866731</v>
          </cell>
          <cell r="AO7">
            <v>118.24869869177026</v>
          </cell>
          <cell r="AP7">
            <v>119.58490898698727</v>
          </cell>
          <cell r="AQ7">
            <v>120.93621845854024</v>
          </cell>
          <cell r="AR7">
            <v>122.30279772712176</v>
          </cell>
          <cell r="AS7">
            <v>123.68481934143824</v>
          </cell>
          <cell r="AT7">
            <v>125.0824577999965</v>
          </cell>
        </row>
        <row r="8">
          <cell r="B8">
            <v>50.814999999999998</v>
          </cell>
          <cell r="C8">
            <v>52.853000000000002</v>
          </cell>
          <cell r="D8">
            <v>53.869699999999995</v>
          </cell>
          <cell r="E8">
            <v>54.664212883619989</v>
          </cell>
          <cell r="F8">
            <v>56.13703089821</v>
          </cell>
          <cell r="G8">
            <v>57.148181092240002</v>
          </cell>
          <cell r="H8">
            <v>59.369895064359994</v>
          </cell>
          <cell r="I8">
            <v>60.890316124419989</v>
          </cell>
          <cell r="J8">
            <v>63.571227102530003</v>
          </cell>
          <cell r="K8">
            <v>66.174748760099988</v>
          </cell>
          <cell r="L8">
            <v>66.319480309869988</v>
          </cell>
          <cell r="M8">
            <v>66.893037174069988</v>
          </cell>
          <cell r="N8">
            <v>69.126732224679998</v>
          </cell>
          <cell r="O8">
            <v>71.925020711790012</v>
          </cell>
          <cell r="P8">
            <v>70.422134228979957</v>
          </cell>
          <cell r="Q8">
            <v>74.116613501749981</v>
          </cell>
          <cell r="R8">
            <v>76.653968109350032</v>
          </cell>
          <cell r="S8">
            <v>79.981999999999999</v>
          </cell>
          <cell r="T8">
            <v>82.08</v>
          </cell>
          <cell r="U8">
            <v>80.671999999999997</v>
          </cell>
          <cell r="V8">
            <v>82.867999999999995</v>
          </cell>
          <cell r="W8">
            <v>84.924999999999997</v>
          </cell>
          <cell r="X8">
            <v>86.888999999999996</v>
          </cell>
          <cell r="Y8">
            <v>88.8</v>
          </cell>
          <cell r="Z8">
            <v>90.757999999999996</v>
          </cell>
          <cell r="AA8">
            <v>92.903999999999996</v>
          </cell>
          <cell r="AB8">
            <v>94.953000000000003</v>
          </cell>
          <cell r="AC8">
            <v>97.024000000000001</v>
          </cell>
          <cell r="AD8">
            <v>99.355000000000004</v>
          </cell>
          <cell r="AE8">
            <v>101.90842350000001</v>
          </cell>
          <cell r="AF8">
            <v>104.52746998395001</v>
          </cell>
          <cell r="AG8">
            <v>107.21382596253754</v>
          </cell>
          <cell r="AH8">
            <v>109.96922128977477</v>
          </cell>
          <cell r="AI8">
            <v>112.79543027692198</v>
          </cell>
          <cell r="AJ8">
            <v>115.69427283503887</v>
          </cell>
          <cell r="AK8">
            <v>118.66761564689938</v>
          </cell>
          <cell r="AL8">
            <v>121.7173733690247</v>
          </cell>
          <cell r="AM8">
            <v>124.84550986460864</v>
          </cell>
          <cell r="AN8">
            <v>128.0540394681291</v>
          </cell>
          <cell r="AO8">
            <v>131.34502828246002</v>
          </cell>
          <cell r="AP8">
            <v>134.72059550931925</v>
          </cell>
          <cell r="AQ8">
            <v>138.18291481390875</v>
          </cell>
          <cell r="AR8">
            <v>141.73421572462621</v>
          </cell>
          <cell r="AS8">
            <v>145.37678506874911</v>
          </cell>
          <cell r="AT8">
            <v>149.11296844501598</v>
          </cell>
        </row>
        <row r="9">
          <cell r="B9">
            <v>7.82</v>
          </cell>
          <cell r="C9">
            <v>8.1739999999999995</v>
          </cell>
          <cell r="D9">
            <v>8.36</v>
          </cell>
          <cell r="E9">
            <v>8.2490000000000006</v>
          </cell>
          <cell r="F9">
            <v>8.4949999999999992</v>
          </cell>
          <cell r="G9">
            <v>8.5229999999999997</v>
          </cell>
          <cell r="H9">
            <v>10.09314</v>
          </cell>
          <cell r="I9">
            <v>10.171899999999999</v>
          </cell>
          <cell r="J9">
            <v>10.3231</v>
          </cell>
          <cell r="K9">
            <v>10.60731</v>
          </cell>
          <cell r="L9">
            <v>10.932079999999999</v>
          </cell>
          <cell r="M9">
            <v>11.01932</v>
          </cell>
          <cell r="N9">
            <v>11.114700000000001</v>
          </cell>
          <cell r="O9">
            <v>11.334110000000001</v>
          </cell>
          <cell r="P9">
            <v>11.019860000000001</v>
          </cell>
          <cell r="Q9">
            <v>11.522530000000001</v>
          </cell>
          <cell r="R9">
            <v>11.869059999999999</v>
          </cell>
          <cell r="S9">
            <v>12.2911</v>
          </cell>
          <cell r="T9">
            <v>12.7906</v>
          </cell>
          <cell r="U9">
            <v>13.241</v>
          </cell>
          <cell r="V9">
            <v>13.641999999999999</v>
          </cell>
          <cell r="W9">
            <v>13.993</v>
          </cell>
          <cell r="X9">
            <v>14.38</v>
          </cell>
          <cell r="Y9">
            <v>14.76</v>
          </cell>
          <cell r="Z9">
            <v>15.122999999999999</v>
          </cell>
          <cell r="AA9">
            <v>15.472</v>
          </cell>
          <cell r="AB9">
            <v>15.813000000000001</v>
          </cell>
          <cell r="AC9">
            <v>16.145</v>
          </cell>
          <cell r="AD9">
            <v>16.47</v>
          </cell>
          <cell r="AE9">
            <v>16.78</v>
          </cell>
          <cell r="AF9">
            <v>17.071999999999999</v>
          </cell>
          <cell r="AG9">
            <v>17.343</v>
          </cell>
          <cell r="AH9">
            <v>17.593</v>
          </cell>
          <cell r="AI9">
            <v>17.821000000000002</v>
          </cell>
          <cell r="AJ9">
            <v>18.029</v>
          </cell>
          <cell r="AK9">
            <v>18.413017700000001</v>
          </cell>
          <cell r="AL9">
            <v>18.805214977010003</v>
          </cell>
          <cell r="AM9">
            <v>19.20576605602032</v>
          </cell>
          <cell r="AN9">
            <v>19.614848873013553</v>
          </cell>
          <cell r="AO9">
            <v>20.032645154008744</v>
          </cell>
          <cell r="AP9">
            <v>20.459340495789132</v>
          </cell>
          <cell r="AQ9">
            <v>20.895124448349442</v>
          </cell>
          <cell r="AR9">
            <v>21.340190599099287</v>
          </cell>
          <cell r="AS9">
            <v>21.794736658860103</v>
          </cell>
          <cell r="AT9">
            <v>22.258964549693825</v>
          </cell>
        </row>
        <row r="10">
          <cell r="B10">
            <v>10.722</v>
          </cell>
          <cell r="C10">
            <v>11.336</v>
          </cell>
          <cell r="D10">
            <v>12.266999999999999</v>
          </cell>
          <cell r="E10">
            <v>13.221</v>
          </cell>
          <cell r="F10">
            <v>14.077</v>
          </cell>
          <cell r="G10">
            <v>15.249000000000001</v>
          </cell>
          <cell r="H10">
            <v>16.175000000000001</v>
          </cell>
          <cell r="I10">
            <v>16.742000000000001</v>
          </cell>
          <cell r="J10">
            <v>17.958301091525954</v>
          </cell>
          <cell r="K10">
            <v>18.926508412499164</v>
          </cell>
          <cell r="L10">
            <v>18.89742542606097</v>
          </cell>
          <cell r="M10">
            <v>19.428000000000001</v>
          </cell>
          <cell r="N10">
            <v>20</v>
          </cell>
          <cell r="O10">
            <v>20.479650000000003</v>
          </cell>
          <cell r="P10">
            <v>20.095490000000002</v>
          </cell>
          <cell r="Q10">
            <v>22.889380000000003</v>
          </cell>
          <cell r="R10">
            <v>23.89114</v>
          </cell>
          <cell r="S10">
            <v>25.422580000000004</v>
          </cell>
          <cell r="T10">
            <v>25.596820000000001</v>
          </cell>
          <cell r="U10">
            <v>40.837000000000003</v>
          </cell>
          <cell r="V10">
            <v>42.722999999999999</v>
          </cell>
          <cell r="W10">
            <v>44.715000000000003</v>
          </cell>
          <cell r="X10">
            <v>47.902999999999999</v>
          </cell>
          <cell r="Y10">
            <v>51.319000000000003</v>
          </cell>
          <cell r="Z10">
            <v>54.978000000000002</v>
          </cell>
          <cell r="AA10">
            <v>58.898000000000003</v>
          </cell>
          <cell r="AB10">
            <v>62.604999999999997</v>
          </cell>
          <cell r="AC10">
            <v>66.545000000000002</v>
          </cell>
          <cell r="AD10">
            <v>70.733000000000004</v>
          </cell>
          <cell r="AE10">
            <v>72.006194000000008</v>
          </cell>
          <cell r="AF10">
            <v>73.302305492000002</v>
          </cell>
          <cell r="AG10">
            <v>74.621746990855996</v>
          </cell>
          <cell r="AH10">
            <v>75.964938436691412</v>
          </cell>
          <cell r="AI10">
            <v>77.332307328551863</v>
          </cell>
          <cell r="AJ10">
            <v>78.724288860465805</v>
          </cell>
          <cell r="AK10">
            <v>80.141326059954196</v>
          </cell>
          <cell r="AL10">
            <v>81.583869929033369</v>
          </cell>
          <cell r="AM10">
            <v>83.052379587755965</v>
          </cell>
          <cell r="AN10">
            <v>84.547322420335576</v>
          </cell>
          <cell r="AO10">
            <v>86.069174223901612</v>
          </cell>
          <cell r="AP10">
            <v>87.618419359931849</v>
          </cell>
          <cell r="AQ10">
            <v>89.195550908410624</v>
          </cell>
          <cell r="AR10">
            <v>90.801070824762022</v>
          </cell>
          <cell r="AS10">
            <v>92.435490099607733</v>
          </cell>
          <cell r="AT10">
            <v>94.099328921400669</v>
          </cell>
        </row>
        <row r="11">
          <cell r="B11">
            <v>6.1130000000000004</v>
          </cell>
          <cell r="C11">
            <v>6.5336000000000007</v>
          </cell>
          <cell r="D11">
            <v>6.43</v>
          </cell>
          <cell r="E11">
            <v>6.6764999999999999</v>
          </cell>
          <cell r="F11">
            <v>6.8536999999999999</v>
          </cell>
          <cell r="G11">
            <v>7.0851000000000006</v>
          </cell>
          <cell r="H11">
            <v>7.3138999999999994</v>
          </cell>
          <cell r="I11">
            <v>7.4447999999999999</v>
          </cell>
          <cell r="J11">
            <v>7.7608000000000006</v>
          </cell>
          <cell r="K11">
            <v>8.1852</v>
          </cell>
          <cell r="L11">
            <v>8.579600000000001</v>
          </cell>
          <cell r="M11">
            <v>8.7270000000000003</v>
          </cell>
          <cell r="N11">
            <v>9.4060000000000006</v>
          </cell>
          <cell r="O11">
            <v>9.2963742009225339</v>
          </cell>
          <cell r="P11">
            <v>8.4555343361678439</v>
          </cell>
          <cell r="Q11">
            <v>10.853109999999999</v>
          </cell>
          <cell r="R11">
            <v>11.412840000000001</v>
          </cell>
          <cell r="S11">
            <v>14.11059</v>
          </cell>
          <cell r="T11">
            <v>13.623799999999999</v>
          </cell>
          <cell r="U11">
            <v>13.440860000000001</v>
          </cell>
          <cell r="V11">
            <v>13.2258</v>
          </cell>
          <cell r="W11">
            <v>14.086020000000001</v>
          </cell>
          <cell r="X11">
            <v>14.301069999999999</v>
          </cell>
          <cell r="Y11">
            <v>14.94623</v>
          </cell>
          <cell r="Z11">
            <v>15.698919999999999</v>
          </cell>
          <cell r="AA11">
            <v>15.913969999999999</v>
          </cell>
          <cell r="AB11">
            <v>16.344079999999998</v>
          </cell>
          <cell r="AC11">
            <v>16.66666</v>
          </cell>
          <cell r="AD11">
            <v>17.2043</v>
          </cell>
          <cell r="AE11">
            <v>17.677418250000002</v>
          </cell>
          <cell r="AF11">
            <v>18.163547251875002</v>
          </cell>
          <cell r="AG11">
            <v>18.663044801301567</v>
          </cell>
          <cell r="AH11">
            <v>19.17627853333736</v>
          </cell>
          <cell r="AI11">
            <v>19.703626193004141</v>
          </cell>
          <cell r="AJ11">
            <v>20.245475913311758</v>
          </cell>
          <cell r="AK11">
            <v>20.802226500927834</v>
          </cell>
          <cell r="AL11">
            <v>21.374287729703351</v>
          </cell>
          <cell r="AM11">
            <v>21.962080642270195</v>
          </cell>
          <cell r="AN11">
            <v>22.566037859932628</v>
          </cell>
          <cell r="AO11">
            <v>23.186603901080776</v>
          </cell>
          <cell r="AP11">
            <v>23.824235508360498</v>
          </cell>
          <cell r="AQ11">
            <v>24.479401984840415</v>
          </cell>
          <cell r="AR11">
            <v>25.152585539423526</v>
          </cell>
          <cell r="AS11">
            <v>25.844281641757675</v>
          </cell>
          <cell r="AT11">
            <v>26.554999386906012</v>
          </cell>
        </row>
        <row r="12">
          <cell r="B12">
            <v>4.5111999999999997</v>
          </cell>
          <cell r="C12">
            <v>4.9793000000000003</v>
          </cell>
          <cell r="D12">
            <v>5.2267000000000001</v>
          </cell>
          <cell r="E12">
            <v>5.0816999999999997</v>
          </cell>
          <cell r="F12">
            <v>5.1221000000000005</v>
          </cell>
          <cell r="G12">
            <v>5.2338999999999993</v>
          </cell>
          <cell r="H12">
            <v>5.3090000000000002</v>
          </cell>
          <cell r="I12">
            <v>5.4548000000000005</v>
          </cell>
          <cell r="J12">
            <v>5.5567000000000002</v>
          </cell>
          <cell r="K12">
            <v>5.8117000000000001</v>
          </cell>
          <cell r="L12">
            <v>5.9053999999999993</v>
          </cell>
          <cell r="M12">
            <v>6.1763000000000003</v>
          </cell>
          <cell r="N12">
            <v>6.1902910000000002</v>
          </cell>
          <cell r="O12">
            <v>6.3555401099999997</v>
          </cell>
          <cell r="P12">
            <v>5.5050600000000003</v>
          </cell>
          <cell r="Q12">
            <v>6.5808203999999995</v>
          </cell>
          <cell r="R12">
            <v>6.3794677000000002</v>
          </cell>
          <cell r="S12">
            <v>6.5999302999999996</v>
          </cell>
          <cell r="T12">
            <v>7.1026005999999997</v>
          </cell>
          <cell r="U12">
            <v>12.40225</v>
          </cell>
          <cell r="V12">
            <v>12.841430000000001</v>
          </cell>
          <cell r="W12">
            <v>13.320459999999999</v>
          </cell>
          <cell r="X12">
            <v>13.833489999999999</v>
          </cell>
          <cell r="Y12">
            <v>14.35604</v>
          </cell>
          <cell r="Z12">
            <v>14.918469999999999</v>
          </cell>
          <cell r="AA12">
            <v>15.519489999999999</v>
          </cell>
          <cell r="AB12">
            <v>16.161439999999999</v>
          </cell>
          <cell r="AC12">
            <v>16.850540000000002</v>
          </cell>
          <cell r="AD12">
            <v>17.60426</v>
          </cell>
          <cell r="AE12">
            <v>18.409299999999998</v>
          </cell>
          <cell r="AF12">
            <v>18.875055289999999</v>
          </cell>
          <cell r="AG12">
            <v>19.352594188836999</v>
          </cell>
          <cell r="AH12">
            <v>19.842214821814576</v>
          </cell>
          <cell r="AI12">
            <v>20.344222856806486</v>
          </cell>
          <cell r="AJ12">
            <v>20.85893169508369</v>
          </cell>
          <cell r="AK12">
            <v>21.386662666969311</v>
          </cell>
          <cell r="AL12">
            <v>21.927745232443637</v>
          </cell>
          <cell r="AM12">
            <v>22.482517186824463</v>
          </cell>
          <cell r="AN12">
            <v>23.051324871651126</v>
          </cell>
          <cell r="AO12">
            <v>23.634523390903901</v>
          </cell>
          <cell r="AP12">
            <v>24.232476832693774</v>
          </cell>
          <cell r="AQ12">
            <v>24.84555849656093</v>
          </cell>
          <cell r="AR12">
            <v>25.474151126523925</v>
          </cell>
          <cell r="AS12">
            <v>26.118647150024984</v>
          </cell>
          <cell r="AT12">
            <v>26.779448922920619</v>
          </cell>
        </row>
        <row r="13">
          <cell r="B13">
            <v>175.37100000000001</v>
          </cell>
          <cell r="C13">
            <v>180.46899999999999</v>
          </cell>
          <cell r="D13">
            <v>183.91300000000001</v>
          </cell>
          <cell r="E13">
            <v>181.465</v>
          </cell>
          <cell r="F13">
            <v>186.63900000000001</v>
          </cell>
          <cell r="G13">
            <v>200.946</v>
          </cell>
          <cell r="H13">
            <v>206.48</v>
          </cell>
          <cell r="I13">
            <v>206.12999001400001</v>
          </cell>
          <cell r="J13">
            <v>208.01400000000001</v>
          </cell>
          <cell r="K13">
            <v>212.2</v>
          </cell>
          <cell r="L13">
            <v>218.072</v>
          </cell>
          <cell r="M13">
            <v>200.32900000000001</v>
          </cell>
          <cell r="N13">
            <v>218.083</v>
          </cell>
          <cell r="O13">
            <v>274.916</v>
          </cell>
          <cell r="P13">
            <v>266.16768000000002</v>
          </cell>
          <cell r="Q13">
            <v>277.25799999999998</v>
          </cell>
          <cell r="R13">
            <v>288.68700000000001</v>
          </cell>
          <cell r="S13">
            <v>298.59899999999999</v>
          </cell>
          <cell r="T13">
            <v>309.87252115539434</v>
          </cell>
          <cell r="U13">
            <v>374.46499999999997</v>
          </cell>
          <cell r="V13">
            <v>382.98899999999998</v>
          </cell>
          <cell r="W13">
            <v>391.35599999999999</v>
          </cell>
          <cell r="X13">
            <v>400.00200000000001</v>
          </cell>
          <cell r="Y13">
            <v>408.82900000000001</v>
          </cell>
          <cell r="Z13">
            <v>417.97300000000001</v>
          </cell>
          <cell r="AA13">
            <v>427.29</v>
          </cell>
          <cell r="AB13">
            <v>437.05700000000002</v>
          </cell>
          <cell r="AC13">
            <v>447.096</v>
          </cell>
          <cell r="AD13">
            <v>457.69799999999998</v>
          </cell>
          <cell r="AE13">
            <v>468.661</v>
          </cell>
          <cell r="AF13">
            <v>480.142</v>
          </cell>
          <cell r="AG13">
            <v>491.959</v>
          </cell>
          <cell r="AH13">
            <v>504.26</v>
          </cell>
          <cell r="AI13">
            <v>510.51282399999997</v>
          </cell>
          <cell r="AJ13">
            <v>516.84318301759993</v>
          </cell>
          <cell r="AK13">
            <v>523.25203848701813</v>
          </cell>
          <cell r="AL13">
            <v>529.74036376425715</v>
          </cell>
          <cell r="AM13">
            <v>536.30914427493394</v>
          </cell>
          <cell r="AN13">
            <v>542.95937766394309</v>
          </cell>
          <cell r="AO13">
            <v>549.69207394697594</v>
          </cell>
          <cell r="AP13">
            <v>556.50825566391848</v>
          </cell>
          <cell r="AQ13">
            <v>563.40895803415106</v>
          </cell>
          <cell r="AR13">
            <v>570.39522911377446</v>
          </cell>
          <cell r="AS13">
            <v>577.46812995478524</v>
          </cell>
          <cell r="AT13">
            <v>584.62873476622451</v>
          </cell>
        </row>
        <row r="14">
          <cell r="B14">
            <v>4.8849999999999998</v>
          </cell>
          <cell r="C14">
            <v>5.2030000000000003</v>
          </cell>
          <cell r="D14">
            <v>5.3940000000000001</v>
          </cell>
          <cell r="E14">
            <v>5.6580000000000004</v>
          </cell>
          <cell r="F14">
            <v>5.9409999999999998</v>
          </cell>
          <cell r="G14">
            <v>6.2569999999999997</v>
          </cell>
          <cell r="H14">
            <v>6.798</v>
          </cell>
          <cell r="I14">
            <v>7.0960000000000001</v>
          </cell>
          <cell r="J14">
            <v>7.3460000000000001</v>
          </cell>
          <cell r="K14">
            <v>8.0174599999999998</v>
          </cell>
          <cell r="L14">
            <v>8.3182200000000002</v>
          </cell>
          <cell r="M14">
            <v>8.474120000000001</v>
          </cell>
          <cell r="N14">
            <v>8.3598700000000008</v>
          </cell>
          <cell r="O14">
            <v>8.4132900000000017</v>
          </cell>
          <cell r="P14">
            <v>8.0969700000000007</v>
          </cell>
          <cell r="Q14">
            <v>8.4261499999999998</v>
          </cell>
          <cell r="R14">
            <v>8.6363899999999987</v>
          </cell>
          <cell r="S14">
            <v>8.8456011782211856</v>
          </cell>
          <cell r="T14">
            <v>9.0598803671612842</v>
          </cell>
          <cell r="U14">
            <v>12.478200000000001</v>
          </cell>
          <cell r="V14">
            <v>13.1686</v>
          </cell>
          <cell r="W14">
            <v>14.000399999999999</v>
          </cell>
          <cell r="X14">
            <v>14.8056</v>
          </cell>
          <cell r="Y14">
            <v>15.217600000000001</v>
          </cell>
          <cell r="Z14">
            <v>16.011700000000001</v>
          </cell>
          <cell r="AA14">
            <v>16.869599999999998</v>
          </cell>
          <cell r="AB14">
            <v>17.302799999999998</v>
          </cell>
          <cell r="AC14">
            <v>18.291799999999999</v>
          </cell>
          <cell r="AD14">
            <v>19.068999999999999</v>
          </cell>
          <cell r="AE14">
            <v>19.735900000000001</v>
          </cell>
          <cell r="AF14">
            <v>20.487099999999998</v>
          </cell>
          <cell r="AG14">
            <v>21.101713</v>
          </cell>
          <cell r="AH14">
            <v>21.734764390000002</v>
          </cell>
          <cell r="AI14">
            <v>22.386807321700005</v>
          </cell>
          <cell r="AJ14">
            <v>23.058411541351006</v>
          </cell>
          <cell r="AK14">
            <v>23.750163887591537</v>
          </cell>
          <cell r="AL14">
            <v>24.462668804219284</v>
          </cell>
          <cell r="AM14">
            <v>25.196548868345864</v>
          </cell>
          <cell r="AN14">
            <v>25.952445334396241</v>
          </cell>
          <cell r="AO14">
            <v>26.73101869442813</v>
          </cell>
          <cell r="AP14">
            <v>27.532949255260974</v>
          </cell>
          <cell r="AQ14">
            <v>28.358937732918804</v>
          </cell>
          <cell r="AR14">
            <v>29.209705864906368</v>
          </cell>
          <cell r="AS14">
            <v>30.08599704085356</v>
          </cell>
          <cell r="AT14">
            <v>30.988576952079168</v>
          </cell>
        </row>
        <row r="15">
          <cell r="B15">
            <v>7.7018130000000005</v>
          </cell>
          <cell r="C15">
            <v>8.299372</v>
          </cell>
          <cell r="D15">
            <v>8.8889910000000008</v>
          </cell>
          <cell r="E15">
            <v>9.5317810000000005</v>
          </cell>
          <cell r="F15">
            <v>10.198274</v>
          </cell>
          <cell r="G15">
            <v>11.020664</v>
          </cell>
          <cell r="H15">
            <v>12.07793</v>
          </cell>
          <cell r="I15">
            <v>12.52516</v>
          </cell>
          <cell r="J15">
            <v>13.451377000000001</v>
          </cell>
          <cell r="K15">
            <v>14.187899999999999</v>
          </cell>
          <cell r="L15">
            <v>14.849342</v>
          </cell>
          <cell r="M15">
            <v>15.576632999999999</v>
          </cell>
          <cell r="N15">
            <v>16.578968</v>
          </cell>
          <cell r="O15">
            <v>17.320917000000001</v>
          </cell>
          <cell r="P15">
            <v>17.957414</v>
          </cell>
          <cell r="Q15">
            <v>18.585269</v>
          </cell>
          <cell r="R15">
            <v>19.635952</v>
          </cell>
          <cell r="S15">
            <v>22.079861000000001</v>
          </cell>
          <cell r="T15">
            <v>26.143000000000001</v>
          </cell>
          <cell r="U15">
            <v>26.306000000000001</v>
          </cell>
          <cell r="V15">
            <v>28.131</v>
          </cell>
          <cell r="W15">
            <v>30.027999999999999</v>
          </cell>
          <cell r="X15">
            <v>32.046999999999997</v>
          </cell>
          <cell r="Y15">
            <v>34.209000000000003</v>
          </cell>
          <cell r="Z15">
            <v>36.564</v>
          </cell>
          <cell r="AA15">
            <v>37.938000000000002</v>
          </cell>
          <cell r="AB15">
            <v>39.314999999999998</v>
          </cell>
          <cell r="AC15">
            <v>40.695</v>
          </cell>
          <cell r="AD15">
            <v>42.079000000000001</v>
          </cell>
          <cell r="AE15">
            <v>43.248796200000001</v>
          </cell>
          <cell r="AF15">
            <v>44.451112734360002</v>
          </cell>
          <cell r="AG15">
            <v>45.686853668375214</v>
          </cell>
          <cell r="AH15">
            <v>46.956948200356045</v>
          </cell>
          <cell r="AI15">
            <v>48.262351360325944</v>
          </cell>
          <cell r="AJ15">
            <v>49.604044728143009</v>
          </cell>
          <cell r="AK15">
            <v>50.983037171585387</v>
          </cell>
          <cell r="AL15">
            <v>52.400365604955461</v>
          </cell>
          <cell r="AM15">
            <v>53.857095768773227</v>
          </cell>
          <cell r="AN15">
            <v>55.354323031145128</v>
          </cell>
          <cell r="AO15">
            <v>56.893173211410968</v>
          </cell>
          <cell r="AP15">
            <v>58.474803426688197</v>
          </cell>
          <cell r="AQ15">
            <v>60.100402961950131</v>
          </cell>
          <cell r="AR15">
            <v>61.771194164292346</v>
          </cell>
          <cell r="AS15">
            <v>63.488433362059673</v>
          </cell>
          <cell r="AT15">
            <v>65.253411809524934</v>
          </cell>
        </row>
        <row r="16">
          <cell r="B16">
            <v>22.29</v>
          </cell>
          <cell r="C16">
            <v>24.722000000000001</v>
          </cell>
          <cell r="D16">
            <v>26.963999999999999</v>
          </cell>
          <cell r="E16">
            <v>27.087</v>
          </cell>
          <cell r="F16">
            <v>29.436</v>
          </cell>
          <cell r="G16">
            <v>31.722999999999999</v>
          </cell>
          <cell r="H16">
            <v>33.640999999999998</v>
          </cell>
          <cell r="I16">
            <v>35.613</v>
          </cell>
          <cell r="J16">
            <v>37.326000000000001</v>
          </cell>
          <cell r="K16">
            <v>39.774749999999997</v>
          </cell>
          <cell r="L16">
            <v>43.366999999999997</v>
          </cell>
          <cell r="M16">
            <v>44.222999999999999</v>
          </cell>
          <cell r="N16">
            <v>45.868000000000002</v>
          </cell>
          <cell r="O16">
            <v>49.034999999999997</v>
          </cell>
          <cell r="P16">
            <v>45.116</v>
          </cell>
          <cell r="Q16">
            <v>49.856999999999999</v>
          </cell>
          <cell r="R16">
            <v>51.051699999999997</v>
          </cell>
          <cell r="S16">
            <v>52.608157000000006</v>
          </cell>
          <cell r="T16">
            <v>52.401088999999992</v>
          </cell>
          <cell r="U16">
            <v>65.608000000000004</v>
          </cell>
          <cell r="V16">
            <v>68.317999999999998</v>
          </cell>
          <cell r="W16">
            <v>70.551000000000002</v>
          </cell>
          <cell r="X16">
            <v>72.731999999999999</v>
          </cell>
          <cell r="Y16">
            <v>75.248999999999995</v>
          </cell>
          <cell r="Z16">
            <v>77.870999999999995</v>
          </cell>
          <cell r="AA16">
            <v>80.129000000000005</v>
          </cell>
          <cell r="AB16">
            <v>82.876999999999995</v>
          </cell>
          <cell r="AC16">
            <v>84.986999999999995</v>
          </cell>
          <cell r="AD16">
            <v>87.287000000000006</v>
          </cell>
          <cell r="AE16">
            <v>89.325999999999993</v>
          </cell>
          <cell r="AF16">
            <v>91.293999999999997</v>
          </cell>
          <cell r="AG16">
            <v>94.032820000000001</v>
          </cell>
          <cell r="AH16">
            <v>96.853804600000004</v>
          </cell>
          <cell r="AI16">
            <v>99.759418738000008</v>
          </cell>
          <cell r="AJ16">
            <v>102.75220130014002</v>
          </cell>
          <cell r="AK16">
            <v>105.83476733914422</v>
          </cell>
          <cell r="AL16">
            <v>109.00981035931855</v>
          </cell>
          <cell r="AM16">
            <v>112.28010467009811</v>
          </cell>
          <cell r="AN16">
            <v>115.64850781020105</v>
          </cell>
          <cell r="AO16">
            <v>119.11796304450709</v>
          </cell>
          <cell r="AP16">
            <v>122.69150193584231</v>
          </cell>
          <cell r="AQ16">
            <v>126.37224699391759</v>
          </cell>
          <cell r="AR16">
            <v>130.16341440373512</v>
          </cell>
          <cell r="AS16">
            <v>134.06831683584718</v>
          </cell>
          <cell r="AT16">
            <v>138.0903663409226</v>
          </cell>
        </row>
        <row r="17">
          <cell r="B17">
            <v>6.5385531599999993</v>
          </cell>
          <cell r="C17">
            <v>7.0341108989999999</v>
          </cell>
          <cell r="D17">
            <v>7.0459855800000009</v>
          </cell>
          <cell r="E17">
            <v>7.2412747600000014</v>
          </cell>
          <cell r="F17">
            <v>7.5690009330000008</v>
          </cell>
          <cell r="G17">
            <v>7.964947607</v>
          </cell>
          <cell r="H17">
            <v>8.1305981819999982</v>
          </cell>
          <cell r="I17">
            <v>8.2555336361491047</v>
          </cell>
          <cell r="J17">
            <v>8.4080496999999994</v>
          </cell>
          <cell r="K17">
            <v>8.4524653999999995</v>
          </cell>
          <cell r="L17">
            <v>8.7396560999999995</v>
          </cell>
          <cell r="M17">
            <v>8.4976173999999993</v>
          </cell>
          <cell r="N17">
            <v>8.7741474000000004</v>
          </cell>
          <cell r="O17">
            <v>8.5958839000000005</v>
          </cell>
          <cell r="P17">
            <v>8.6154287000000007</v>
          </cell>
          <cell r="Q17">
            <v>8.7826481000000012</v>
          </cell>
          <cell r="R17">
            <v>9.2805318999999997</v>
          </cell>
          <cell r="S17">
            <v>9.6617008000000002</v>
          </cell>
          <cell r="T17">
            <v>10.069844999999999</v>
          </cell>
          <cell r="U17">
            <v>12.097031680000001</v>
          </cell>
          <cell r="V17">
            <v>12.248352150000001</v>
          </cell>
          <cell r="W17">
            <v>12.918491640000001</v>
          </cell>
          <cell r="X17">
            <v>13.103318250000001</v>
          </cell>
          <cell r="Y17">
            <v>13.229450660000001</v>
          </cell>
          <cell r="Z17">
            <v>13.405850630000002</v>
          </cell>
          <cell r="AA17">
            <v>13.683999999999999</v>
          </cell>
          <cell r="AB17">
            <v>13.968</v>
          </cell>
          <cell r="AC17">
            <v>14.257999999999999</v>
          </cell>
          <cell r="AD17">
            <v>14.554</v>
          </cell>
          <cell r="AE17">
            <v>14.706816999999999</v>
          </cell>
          <cell r="AF17">
            <v>14.861238578499998</v>
          </cell>
          <cell r="AG17">
            <v>15.017281583574247</v>
          </cell>
          <cell r="AH17">
            <v>15.174963040201776</v>
          </cell>
          <cell r="AI17">
            <v>15.334300152123895</v>
          </cell>
          <cell r="AJ17">
            <v>15.495310303721196</v>
          </cell>
          <cell r="AK17">
            <v>15.658011061910267</v>
          </cell>
          <cell r="AL17">
            <v>15.822420178060325</v>
          </cell>
          <cell r="AM17">
            <v>15.988555589929957</v>
          </cell>
          <cell r="AN17">
            <v>16.15643542362422</v>
          </cell>
          <cell r="AO17">
            <v>16.326077995572273</v>
          </cell>
          <cell r="AP17">
            <v>16.49750181452578</v>
          </cell>
          <cell r="AQ17">
            <v>16.670725583578299</v>
          </cell>
          <cell r="AR17">
            <v>16.845768202205871</v>
          </cell>
          <cell r="AS17">
            <v>17.022648768329031</v>
          </cell>
          <cell r="AT17">
            <v>17.201386580396484</v>
          </cell>
        </row>
        <row r="18">
          <cell r="B18">
            <v>805.58956616</v>
          </cell>
          <cell r="C18">
            <v>847.45738289899975</v>
          </cell>
          <cell r="D18">
            <v>871.32437658000003</v>
          </cell>
          <cell r="E18">
            <v>866.85146864362002</v>
          </cell>
          <cell r="F18">
            <v>918.18820213121012</v>
          </cell>
          <cell r="G18">
            <v>965.27362469923992</v>
          </cell>
          <cell r="H18">
            <v>1002.8748532463599</v>
          </cell>
          <cell r="I18">
            <v>1028.8399997745689</v>
          </cell>
          <cell r="J18">
            <v>1052.9272776213286</v>
          </cell>
          <cell r="K18">
            <v>1064.568002572599</v>
          </cell>
          <cell r="L18">
            <v>1074.8568538359309</v>
          </cell>
          <cell r="M18">
            <v>1065.58319757407</v>
          </cell>
          <cell r="N18">
            <v>1100.5589986246798</v>
          </cell>
          <cell r="O18">
            <v>1169.2594059227126</v>
          </cell>
          <cell r="P18">
            <v>1143.0707012651478</v>
          </cell>
          <cell r="Q18">
            <v>1208.6645610017497</v>
          </cell>
          <cell r="R18">
            <v>1241.0250497093496</v>
          </cell>
          <cell r="S18">
            <v>1287.7057823108232</v>
          </cell>
          <cell r="T18">
            <v>1340.5098475475399</v>
          </cell>
          <cell r="U18">
            <v>1473.6623416800001</v>
          </cell>
          <cell r="V18">
            <v>1525.3501821500001</v>
          </cell>
          <cell r="W18">
            <v>1578.5203716399997</v>
          </cell>
          <cell r="X18">
            <v>1632.2544782499999</v>
          </cell>
          <cell r="Y18">
            <v>1687.71732066</v>
          </cell>
          <cell r="Z18">
            <v>1747.6499406300004</v>
          </cell>
          <cell r="AA18">
            <v>1807.1170599999998</v>
          </cell>
          <cell r="AB18">
            <v>1869.8453200000004</v>
          </cell>
          <cell r="AC18">
            <v>1933.5620000000001</v>
          </cell>
          <cell r="AD18">
            <v>1999.4095600000001</v>
          </cell>
          <cell r="AE18">
            <v>2037.5766957500002</v>
          </cell>
          <cell r="AF18">
            <v>2076.3305581467253</v>
          </cell>
          <cell r="AG18">
            <v>2116.4659375627757</v>
          </cell>
          <cell r="AH18">
            <v>2157.6054493680713</v>
          </cell>
          <cell r="AI18">
            <v>2193.2273502282551</v>
          </cell>
          <cell r="AJ18">
            <v>2229.4710472889224</v>
          </cell>
          <cell r="AK18">
            <v>2266.5454858015405</v>
          </cell>
          <cell r="AL18">
            <v>2304.2960438031469</v>
          </cell>
          <cell r="AM18">
            <v>2342.7364073079029</v>
          </cell>
          <cell r="AN18">
            <v>2381.8805688725138</v>
          </cell>
          <cell r="AO18">
            <v>2421.7428350644182</v>
          </cell>
          <cell r="AP18">
            <v>2462.3378341234338</v>
          </cell>
          <cell r="AQ18">
            <v>2503.6805238221064</v>
          </cell>
          <cell r="AR18">
            <v>2545.7861995300914</v>
          </cell>
          <cell r="AS18">
            <v>2588.6705024881244</v>
          </cell>
          <cell r="AT18">
            <v>2632.3494282972179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D99722-C4E3-4BB0-BB86-9FAB5A20413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ac5f88b-8ece-42b3-9d53-d680b44988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B34F-854C-4FB9-A4BF-6F2EC26E49D2}">
  <dimension ref="A1:AJ22"/>
  <sheetViews>
    <sheetView zoomScale="85" zoomScaleNormal="85" workbookViewId="0">
      <selection activeCell="K22" sqref="K22"/>
    </sheetView>
  </sheetViews>
  <sheetFormatPr defaultRowHeight="15" x14ac:dyDescent="0.25"/>
  <cols>
    <col min="1" max="1" width="19.28515625" bestFit="1" customWidth="1"/>
    <col min="2" max="2" width="14.7109375" bestFit="1" customWidth="1"/>
    <col min="3" max="3" width="56.140625" bestFit="1" customWidth="1"/>
    <col min="4" max="4" width="15.5703125" bestFit="1" customWidth="1"/>
    <col min="5" max="5" width="16.28515625" bestFit="1" customWidth="1"/>
    <col min="6" max="6" width="15.28515625" bestFit="1" customWidth="1"/>
    <col min="7" max="7" width="20.7109375" bestFit="1" customWidth="1"/>
    <col min="8" max="8" width="24.85546875" bestFit="1" customWidth="1"/>
    <col min="9" max="36" width="10.5703125" bestFit="1" customWidth="1"/>
    <col min="37" max="41" width="8" bestFit="1" customWidth="1"/>
  </cols>
  <sheetData>
    <row r="1" spans="1:36" x14ac:dyDescent="0.2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</row>
    <row r="2" spans="1:36" x14ac:dyDescent="0.25">
      <c r="A2" t="s">
        <v>54</v>
      </c>
      <c r="B2" t="s">
        <v>55</v>
      </c>
      <c r="C2" t="s">
        <v>56</v>
      </c>
      <c r="D2" t="s">
        <v>57</v>
      </c>
      <c r="E2" t="s">
        <v>57</v>
      </c>
      <c r="F2" t="s">
        <v>57</v>
      </c>
      <c r="G2" t="s">
        <v>58</v>
      </c>
      <c r="H2">
        <v>0</v>
      </c>
      <c r="I2">
        <v>524.49</v>
      </c>
      <c r="J2">
        <v>529.1</v>
      </c>
      <c r="K2">
        <v>533.72</v>
      </c>
      <c r="L2">
        <v>538.33000000000004</v>
      </c>
      <c r="M2">
        <v>542.95000000000005</v>
      </c>
      <c r="N2">
        <v>547.55999999999995</v>
      </c>
      <c r="O2">
        <v>552.17999999999995</v>
      </c>
      <c r="P2">
        <v>556.79</v>
      </c>
      <c r="Q2">
        <v>561.41</v>
      </c>
      <c r="R2">
        <v>566.03</v>
      </c>
      <c r="S2">
        <v>570.64</v>
      </c>
      <c r="T2">
        <v>575.26</v>
      </c>
      <c r="U2">
        <v>579.87</v>
      </c>
      <c r="V2">
        <v>584.49</v>
      </c>
      <c r="W2">
        <v>589.1</v>
      </c>
      <c r="X2">
        <v>593.72</v>
      </c>
      <c r="Y2">
        <v>598.33000000000004</v>
      </c>
      <c r="Z2">
        <v>602.95000000000005</v>
      </c>
      <c r="AA2">
        <v>607.55999999999995</v>
      </c>
      <c r="AB2">
        <v>612.17999999999995</v>
      </c>
      <c r="AC2">
        <v>616.79999999999995</v>
      </c>
      <c r="AD2">
        <v>621.41</v>
      </c>
      <c r="AE2">
        <v>626.03</v>
      </c>
      <c r="AF2">
        <v>630.64</v>
      </c>
      <c r="AG2">
        <v>635.26</v>
      </c>
      <c r="AH2">
        <v>639.87</v>
      </c>
      <c r="AI2">
        <v>644.49</v>
      </c>
      <c r="AJ2">
        <v>649.1</v>
      </c>
    </row>
    <row r="3" spans="1:36" x14ac:dyDescent="0.25">
      <c r="A3" t="s">
        <v>54</v>
      </c>
      <c r="B3" t="s">
        <v>59</v>
      </c>
      <c r="C3" t="s">
        <v>60</v>
      </c>
      <c r="D3" t="s">
        <v>57</v>
      </c>
      <c r="E3" t="s">
        <v>57</v>
      </c>
      <c r="F3" t="s">
        <v>57</v>
      </c>
      <c r="G3" t="s">
        <v>58</v>
      </c>
      <c r="H3">
        <v>0</v>
      </c>
      <c r="I3">
        <v>42.81</v>
      </c>
      <c r="J3">
        <v>45.54</v>
      </c>
      <c r="K3">
        <v>48.27</v>
      </c>
      <c r="L3">
        <v>51.01</v>
      </c>
      <c r="M3">
        <v>53.74</v>
      </c>
      <c r="N3">
        <v>56.47</v>
      </c>
      <c r="O3">
        <v>59.2</v>
      </c>
      <c r="P3">
        <v>61.93</v>
      </c>
      <c r="Q3">
        <v>64.66</v>
      </c>
      <c r="R3">
        <v>67.39</v>
      </c>
      <c r="S3">
        <v>70.13</v>
      </c>
      <c r="T3">
        <v>72.86</v>
      </c>
      <c r="U3">
        <v>75.59</v>
      </c>
      <c r="V3">
        <v>78.319999999999993</v>
      </c>
      <c r="W3">
        <v>81.05</v>
      </c>
      <c r="X3">
        <v>83.78</v>
      </c>
      <c r="Y3">
        <v>86.51</v>
      </c>
      <c r="Z3">
        <v>89.25</v>
      </c>
      <c r="AA3">
        <v>91.98</v>
      </c>
      <c r="AB3">
        <v>94.71</v>
      </c>
      <c r="AC3">
        <v>97.44</v>
      </c>
      <c r="AD3">
        <v>100.17</v>
      </c>
      <c r="AE3">
        <v>102.9</v>
      </c>
      <c r="AF3">
        <v>105.63</v>
      </c>
      <c r="AG3">
        <v>108.37</v>
      </c>
      <c r="AH3">
        <v>111.1</v>
      </c>
      <c r="AI3">
        <v>113.83</v>
      </c>
      <c r="AJ3">
        <v>116.56</v>
      </c>
    </row>
    <row r="4" spans="1:36" x14ac:dyDescent="0.25">
      <c r="A4" t="s">
        <v>54</v>
      </c>
      <c r="B4" t="s">
        <v>61</v>
      </c>
      <c r="C4" t="s">
        <v>62</v>
      </c>
      <c r="D4" t="s">
        <v>57</v>
      </c>
      <c r="E4" t="s">
        <v>57</v>
      </c>
      <c r="F4" t="s">
        <v>57</v>
      </c>
      <c r="G4" t="s">
        <v>58</v>
      </c>
      <c r="H4">
        <v>0</v>
      </c>
      <c r="I4">
        <v>2599.63</v>
      </c>
      <c r="J4">
        <v>2656.56</v>
      </c>
      <c r="K4">
        <v>2713.49</v>
      </c>
      <c r="L4">
        <v>2770.42</v>
      </c>
      <c r="M4">
        <v>2827.36</v>
      </c>
      <c r="N4">
        <v>2884.29</v>
      </c>
      <c r="O4">
        <v>2941.22</v>
      </c>
      <c r="P4">
        <v>2998.15</v>
      </c>
      <c r="Q4">
        <v>3055.08</v>
      </c>
      <c r="R4">
        <v>3112.02</v>
      </c>
      <c r="S4">
        <v>3168.95</v>
      </c>
      <c r="T4">
        <v>3225.88</v>
      </c>
      <c r="U4">
        <v>3282.81</v>
      </c>
      <c r="V4">
        <v>3339.74</v>
      </c>
      <c r="W4">
        <v>3396.67</v>
      </c>
      <c r="X4">
        <v>3453.61</v>
      </c>
      <c r="Y4">
        <v>3510.54</v>
      </c>
      <c r="Z4">
        <v>3567.47</v>
      </c>
      <c r="AA4">
        <v>3624.4</v>
      </c>
      <c r="AB4">
        <v>3681.33</v>
      </c>
      <c r="AC4">
        <v>3738.27</v>
      </c>
      <c r="AD4">
        <v>3795.2</v>
      </c>
      <c r="AE4">
        <v>3852.13</v>
      </c>
      <c r="AF4">
        <v>3909.06</v>
      </c>
      <c r="AG4">
        <v>3965.99</v>
      </c>
      <c r="AH4">
        <v>4022.93</v>
      </c>
      <c r="AI4">
        <v>4079.86</v>
      </c>
      <c r="AJ4">
        <v>4136.79</v>
      </c>
    </row>
    <row r="5" spans="1:36" x14ac:dyDescent="0.25">
      <c r="A5" t="s">
        <v>54</v>
      </c>
      <c r="B5" t="s">
        <v>63</v>
      </c>
      <c r="C5" t="s">
        <v>64</v>
      </c>
      <c r="D5" t="s">
        <v>57</v>
      </c>
      <c r="E5" t="s">
        <v>57</v>
      </c>
      <c r="F5" t="s">
        <v>57</v>
      </c>
      <c r="G5" t="s">
        <v>58</v>
      </c>
      <c r="H5">
        <v>0</v>
      </c>
      <c r="I5">
        <v>3.87</v>
      </c>
      <c r="J5">
        <v>4.08</v>
      </c>
      <c r="K5">
        <v>4.29</v>
      </c>
      <c r="L5">
        <v>4.49</v>
      </c>
      <c r="M5">
        <v>4.7</v>
      </c>
      <c r="N5">
        <v>4.91</v>
      </c>
      <c r="O5">
        <v>5.12</v>
      </c>
      <c r="P5">
        <v>5.32</v>
      </c>
      <c r="Q5">
        <v>5.53</v>
      </c>
      <c r="R5">
        <v>5.74</v>
      </c>
      <c r="S5">
        <v>5.94</v>
      </c>
      <c r="T5">
        <v>6.15</v>
      </c>
      <c r="U5">
        <v>6.36</v>
      </c>
      <c r="V5">
        <v>6.56</v>
      </c>
      <c r="W5">
        <v>6.77</v>
      </c>
      <c r="X5">
        <v>6.98</v>
      </c>
      <c r="Y5">
        <v>7.18</v>
      </c>
      <c r="Z5">
        <v>7.39</v>
      </c>
      <c r="AA5">
        <v>7.6</v>
      </c>
      <c r="AB5">
        <v>7.8</v>
      </c>
      <c r="AC5">
        <v>8.01</v>
      </c>
      <c r="AD5">
        <v>8.2200000000000006</v>
      </c>
      <c r="AE5">
        <v>8.43</v>
      </c>
      <c r="AF5">
        <v>8.6300000000000008</v>
      </c>
      <c r="AG5">
        <v>8.84</v>
      </c>
      <c r="AH5">
        <v>9.0500000000000007</v>
      </c>
      <c r="AI5">
        <v>9.25</v>
      </c>
      <c r="AJ5">
        <v>9.4600000000000009</v>
      </c>
    </row>
    <row r="6" spans="1:36" x14ac:dyDescent="0.25">
      <c r="A6" t="s">
        <v>54</v>
      </c>
      <c r="B6" t="s">
        <v>65</v>
      </c>
      <c r="C6" t="s">
        <v>66</v>
      </c>
      <c r="D6" t="s">
        <v>57</v>
      </c>
      <c r="E6" t="s">
        <v>57</v>
      </c>
      <c r="F6" t="s">
        <v>57</v>
      </c>
      <c r="G6" t="s">
        <v>58</v>
      </c>
      <c r="H6">
        <v>0</v>
      </c>
      <c r="I6">
        <v>302.26</v>
      </c>
      <c r="J6">
        <v>313.41000000000003</v>
      </c>
      <c r="K6">
        <v>324.56</v>
      </c>
      <c r="L6">
        <v>335.71</v>
      </c>
      <c r="M6">
        <v>346.87</v>
      </c>
      <c r="N6">
        <v>358.02</v>
      </c>
      <c r="O6">
        <v>369.17</v>
      </c>
      <c r="P6">
        <v>380.33</v>
      </c>
      <c r="Q6">
        <v>391.48</v>
      </c>
      <c r="R6">
        <v>402.63</v>
      </c>
      <c r="S6">
        <v>413.79</v>
      </c>
      <c r="T6">
        <v>424.94</v>
      </c>
      <c r="U6">
        <v>436.09</v>
      </c>
      <c r="V6">
        <v>447.25</v>
      </c>
      <c r="W6">
        <v>458.4</v>
      </c>
      <c r="X6">
        <v>469.55</v>
      </c>
      <c r="Y6">
        <v>480.71</v>
      </c>
      <c r="Z6">
        <v>491.86</v>
      </c>
      <c r="AA6">
        <v>503.01</v>
      </c>
      <c r="AB6">
        <v>514.16999999999996</v>
      </c>
      <c r="AC6">
        <v>525.32000000000005</v>
      </c>
      <c r="AD6">
        <v>536.47</v>
      </c>
      <c r="AE6">
        <v>547.63</v>
      </c>
      <c r="AF6">
        <v>558.78</v>
      </c>
      <c r="AG6">
        <v>569.92999999999995</v>
      </c>
      <c r="AH6">
        <v>581.09</v>
      </c>
      <c r="AI6">
        <v>592.24</v>
      </c>
      <c r="AJ6">
        <v>603.39</v>
      </c>
    </row>
    <row r="7" spans="1:36" x14ac:dyDescent="0.25">
      <c r="A7" t="s">
        <v>54</v>
      </c>
      <c r="B7" t="s">
        <v>67</v>
      </c>
      <c r="C7" t="s">
        <v>68</v>
      </c>
      <c r="D7" t="s">
        <v>57</v>
      </c>
      <c r="E7" t="s">
        <v>57</v>
      </c>
      <c r="F7" t="s">
        <v>57</v>
      </c>
      <c r="G7" t="s">
        <v>58</v>
      </c>
      <c r="H7">
        <v>0</v>
      </c>
      <c r="I7">
        <v>288.23</v>
      </c>
      <c r="J7">
        <v>294.17</v>
      </c>
      <c r="K7">
        <v>300.10000000000002</v>
      </c>
      <c r="L7">
        <v>306.04000000000002</v>
      </c>
      <c r="M7">
        <v>311.98</v>
      </c>
      <c r="N7">
        <v>317.92</v>
      </c>
      <c r="O7">
        <v>323.85000000000002</v>
      </c>
      <c r="P7">
        <v>329.79</v>
      </c>
      <c r="Q7">
        <v>335.73</v>
      </c>
      <c r="R7">
        <v>341.67</v>
      </c>
      <c r="S7">
        <v>347.6</v>
      </c>
      <c r="T7">
        <v>353.54</v>
      </c>
      <c r="U7">
        <v>359.48</v>
      </c>
      <c r="V7">
        <v>365.42</v>
      </c>
      <c r="W7">
        <v>371.35</v>
      </c>
      <c r="X7">
        <v>377.29</v>
      </c>
      <c r="Y7">
        <v>383.23</v>
      </c>
      <c r="Z7">
        <v>389.17</v>
      </c>
      <c r="AA7">
        <v>395.1</v>
      </c>
      <c r="AB7">
        <v>401.04</v>
      </c>
      <c r="AC7">
        <v>406.98</v>
      </c>
      <c r="AD7">
        <v>412.92</v>
      </c>
      <c r="AE7">
        <v>418.85</v>
      </c>
      <c r="AF7">
        <v>424.79</v>
      </c>
      <c r="AG7">
        <v>430.73</v>
      </c>
      <c r="AH7">
        <v>436.67</v>
      </c>
      <c r="AI7">
        <v>442.6</v>
      </c>
      <c r="AJ7">
        <v>448.54</v>
      </c>
    </row>
    <row r="8" spans="1:36" x14ac:dyDescent="0.25">
      <c r="A8" t="s">
        <v>54</v>
      </c>
      <c r="B8" t="s">
        <v>69</v>
      </c>
      <c r="C8" t="s">
        <v>70</v>
      </c>
      <c r="D8" t="s">
        <v>57</v>
      </c>
      <c r="E8" t="s">
        <v>57</v>
      </c>
      <c r="F8" t="s">
        <v>57</v>
      </c>
      <c r="G8" t="s">
        <v>58</v>
      </c>
      <c r="H8">
        <v>0</v>
      </c>
      <c r="I8">
        <v>44.28</v>
      </c>
      <c r="J8">
        <v>45.83</v>
      </c>
      <c r="K8">
        <v>47.38</v>
      </c>
      <c r="L8">
        <v>48.93</v>
      </c>
      <c r="M8">
        <v>50.48</v>
      </c>
      <c r="N8">
        <v>52.03</v>
      </c>
      <c r="O8">
        <v>53.58</v>
      </c>
      <c r="P8">
        <v>55.13</v>
      </c>
      <c r="Q8">
        <v>56.68</v>
      </c>
      <c r="R8">
        <v>58.23</v>
      </c>
      <c r="S8">
        <v>59.78</v>
      </c>
      <c r="T8">
        <v>61.33</v>
      </c>
      <c r="U8">
        <v>62.88</v>
      </c>
      <c r="V8">
        <v>64.430000000000007</v>
      </c>
      <c r="W8">
        <v>65.98</v>
      </c>
      <c r="X8">
        <v>67.53</v>
      </c>
      <c r="Y8">
        <v>69.08</v>
      </c>
      <c r="Z8">
        <v>70.63</v>
      </c>
      <c r="AA8">
        <v>72.180000000000007</v>
      </c>
      <c r="AB8">
        <v>73.73</v>
      </c>
      <c r="AC8">
        <v>75.28</v>
      </c>
      <c r="AD8">
        <v>76.83</v>
      </c>
      <c r="AE8">
        <v>78.38</v>
      </c>
      <c r="AF8">
        <v>79.930000000000007</v>
      </c>
      <c r="AG8">
        <v>81.48</v>
      </c>
      <c r="AH8">
        <v>83.03</v>
      </c>
      <c r="AI8">
        <v>84.58</v>
      </c>
      <c r="AJ8">
        <v>86.13</v>
      </c>
    </row>
    <row r="9" spans="1:36" x14ac:dyDescent="0.25">
      <c r="A9" t="s">
        <v>54</v>
      </c>
      <c r="B9" t="s">
        <v>71</v>
      </c>
      <c r="C9" t="s">
        <v>72</v>
      </c>
      <c r="D9" t="s">
        <v>57</v>
      </c>
      <c r="E9" t="s">
        <v>57</v>
      </c>
      <c r="F9" t="s">
        <v>57</v>
      </c>
      <c r="G9" t="s">
        <v>58</v>
      </c>
      <c r="H9">
        <v>0</v>
      </c>
      <c r="I9">
        <v>86.09</v>
      </c>
      <c r="J9">
        <v>90.01</v>
      </c>
      <c r="K9">
        <v>93.94</v>
      </c>
      <c r="L9">
        <v>97.86</v>
      </c>
      <c r="M9">
        <v>101.79</v>
      </c>
      <c r="N9">
        <v>105.71</v>
      </c>
      <c r="O9">
        <v>109.64</v>
      </c>
      <c r="P9">
        <v>113.56</v>
      </c>
      <c r="Q9">
        <v>117.49</v>
      </c>
      <c r="R9">
        <v>121.41</v>
      </c>
      <c r="S9">
        <v>125.34</v>
      </c>
      <c r="T9">
        <v>129.27000000000001</v>
      </c>
      <c r="U9">
        <v>133.19</v>
      </c>
      <c r="V9">
        <v>137.12</v>
      </c>
      <c r="W9">
        <v>141.04</v>
      </c>
      <c r="X9">
        <v>144.97</v>
      </c>
      <c r="Y9">
        <v>148.88999999999999</v>
      </c>
      <c r="Z9">
        <v>152.82</v>
      </c>
      <c r="AA9">
        <v>156.74</v>
      </c>
      <c r="AB9">
        <v>160.66999999999999</v>
      </c>
      <c r="AC9">
        <v>164.59</v>
      </c>
      <c r="AD9">
        <v>168.52</v>
      </c>
      <c r="AE9">
        <v>172.45</v>
      </c>
      <c r="AF9">
        <v>176.37</v>
      </c>
      <c r="AG9">
        <v>180.3</v>
      </c>
      <c r="AH9">
        <v>184.22</v>
      </c>
      <c r="AI9">
        <v>188.15</v>
      </c>
      <c r="AJ9">
        <v>192.07</v>
      </c>
    </row>
    <row r="10" spans="1:36" x14ac:dyDescent="0.25">
      <c r="A10" t="s">
        <v>54</v>
      </c>
      <c r="B10" t="s">
        <v>73</v>
      </c>
      <c r="C10" t="s">
        <v>74</v>
      </c>
      <c r="D10" t="s">
        <v>57</v>
      </c>
      <c r="E10" t="s">
        <v>57</v>
      </c>
      <c r="F10" t="s">
        <v>57</v>
      </c>
      <c r="G10" t="s">
        <v>58</v>
      </c>
      <c r="H10">
        <v>0</v>
      </c>
      <c r="I10">
        <v>129.58000000000001</v>
      </c>
      <c r="J10">
        <v>134.09</v>
      </c>
      <c r="K10">
        <v>138.6</v>
      </c>
      <c r="L10">
        <v>143.11000000000001</v>
      </c>
      <c r="M10">
        <v>147.62</v>
      </c>
      <c r="N10">
        <v>152.12</v>
      </c>
      <c r="O10">
        <v>156.63</v>
      </c>
      <c r="P10">
        <v>161.13999999999999</v>
      </c>
      <c r="Q10">
        <v>165.65</v>
      </c>
      <c r="R10">
        <v>170.16</v>
      </c>
      <c r="S10">
        <v>174.67</v>
      </c>
      <c r="T10">
        <v>179.18</v>
      </c>
      <c r="U10">
        <v>183.69</v>
      </c>
      <c r="V10">
        <v>188.2</v>
      </c>
      <c r="W10">
        <v>192.71</v>
      </c>
      <c r="X10">
        <v>197.22</v>
      </c>
      <c r="Y10">
        <v>201.73</v>
      </c>
      <c r="Z10">
        <v>206.24</v>
      </c>
      <c r="AA10">
        <v>210.75</v>
      </c>
      <c r="AB10">
        <v>215.26</v>
      </c>
      <c r="AC10">
        <v>219.76</v>
      </c>
      <c r="AD10">
        <v>224.27</v>
      </c>
      <c r="AE10">
        <v>228.78</v>
      </c>
      <c r="AF10">
        <v>233.29</v>
      </c>
      <c r="AG10">
        <v>237.8</v>
      </c>
      <c r="AH10">
        <v>242.31</v>
      </c>
      <c r="AI10">
        <v>246.82</v>
      </c>
      <c r="AJ10">
        <v>251.33</v>
      </c>
    </row>
    <row r="11" spans="1:36" x14ac:dyDescent="0.25">
      <c r="A11" t="s">
        <v>54</v>
      </c>
      <c r="B11" t="s">
        <v>75</v>
      </c>
      <c r="C11" t="s">
        <v>76</v>
      </c>
      <c r="D11" t="s">
        <v>57</v>
      </c>
      <c r="E11" t="s">
        <v>57</v>
      </c>
      <c r="F11" t="s">
        <v>57</v>
      </c>
      <c r="G11" t="s">
        <v>58</v>
      </c>
      <c r="H11">
        <v>0</v>
      </c>
      <c r="I11">
        <v>47.17</v>
      </c>
      <c r="J11">
        <v>48.61</v>
      </c>
      <c r="K11">
        <v>50.06</v>
      </c>
      <c r="L11">
        <v>51.5</v>
      </c>
      <c r="M11">
        <v>52.94</v>
      </c>
      <c r="N11">
        <v>54.39</v>
      </c>
      <c r="O11">
        <v>55.83</v>
      </c>
      <c r="P11">
        <v>57.27</v>
      </c>
      <c r="Q11">
        <v>58.72</v>
      </c>
      <c r="R11">
        <v>60.16</v>
      </c>
      <c r="S11">
        <v>61.6</v>
      </c>
      <c r="T11">
        <v>63.05</v>
      </c>
      <c r="U11">
        <v>64.489999999999995</v>
      </c>
      <c r="V11">
        <v>65.930000000000007</v>
      </c>
      <c r="W11">
        <v>67.38</v>
      </c>
      <c r="X11">
        <v>68.819999999999993</v>
      </c>
      <c r="Y11">
        <v>70.27</v>
      </c>
      <c r="Z11">
        <v>71.709999999999994</v>
      </c>
      <c r="AA11">
        <v>73.150000000000006</v>
      </c>
      <c r="AB11">
        <v>74.599999999999994</v>
      </c>
      <c r="AC11">
        <v>76.040000000000006</v>
      </c>
      <c r="AD11">
        <v>77.48</v>
      </c>
      <c r="AE11">
        <v>78.930000000000007</v>
      </c>
      <c r="AF11">
        <v>80.37</v>
      </c>
      <c r="AG11">
        <v>81.81</v>
      </c>
      <c r="AH11">
        <v>83.26</v>
      </c>
      <c r="AI11">
        <v>84.7</v>
      </c>
      <c r="AJ11">
        <v>86.14</v>
      </c>
    </row>
    <row r="12" spans="1:36" x14ac:dyDescent="0.25">
      <c r="A12" t="s">
        <v>54</v>
      </c>
      <c r="B12" t="s">
        <v>77</v>
      </c>
      <c r="C12" t="s">
        <v>78</v>
      </c>
      <c r="D12" t="s">
        <v>57</v>
      </c>
      <c r="E12" t="s">
        <v>57</v>
      </c>
      <c r="F12" t="s">
        <v>57</v>
      </c>
      <c r="G12" t="s">
        <v>58</v>
      </c>
      <c r="H12">
        <v>0</v>
      </c>
      <c r="I12">
        <v>43.14</v>
      </c>
      <c r="J12">
        <v>44.53</v>
      </c>
      <c r="K12">
        <v>45.91</v>
      </c>
      <c r="L12">
        <v>47.3</v>
      </c>
      <c r="M12">
        <v>48.68</v>
      </c>
      <c r="N12">
        <v>50.07</v>
      </c>
      <c r="O12">
        <v>51.45</v>
      </c>
      <c r="P12">
        <v>52.84</v>
      </c>
      <c r="Q12">
        <v>54.22</v>
      </c>
      <c r="R12">
        <v>55.61</v>
      </c>
      <c r="S12">
        <v>56.99</v>
      </c>
      <c r="T12">
        <v>58.37</v>
      </c>
      <c r="U12">
        <v>59.76</v>
      </c>
      <c r="V12">
        <v>61.14</v>
      </c>
      <c r="W12">
        <v>62.53</v>
      </c>
      <c r="X12">
        <v>63.91</v>
      </c>
      <c r="Y12">
        <v>65.3</v>
      </c>
      <c r="Z12">
        <v>66.680000000000007</v>
      </c>
      <c r="AA12">
        <v>68.069999999999993</v>
      </c>
      <c r="AB12">
        <v>69.45</v>
      </c>
      <c r="AC12">
        <v>70.84</v>
      </c>
      <c r="AD12">
        <v>72.22</v>
      </c>
      <c r="AE12">
        <v>73.61</v>
      </c>
      <c r="AF12">
        <v>74.989999999999995</v>
      </c>
      <c r="AG12">
        <v>76.38</v>
      </c>
      <c r="AH12">
        <v>77.760000000000005</v>
      </c>
      <c r="AI12">
        <v>79.150000000000006</v>
      </c>
      <c r="AJ12">
        <v>80.53</v>
      </c>
    </row>
    <row r="13" spans="1:36" x14ac:dyDescent="0.25">
      <c r="A13" t="s">
        <v>54</v>
      </c>
      <c r="B13" t="s">
        <v>79</v>
      </c>
      <c r="C13" t="s">
        <v>80</v>
      </c>
      <c r="D13" t="s">
        <v>57</v>
      </c>
      <c r="E13" t="s">
        <v>57</v>
      </c>
      <c r="F13" t="s">
        <v>57</v>
      </c>
      <c r="G13" t="s">
        <v>58</v>
      </c>
      <c r="H13">
        <v>0</v>
      </c>
      <c r="I13">
        <v>1241.42</v>
      </c>
      <c r="J13">
        <v>1278.67</v>
      </c>
      <c r="K13">
        <v>1315.91</v>
      </c>
      <c r="L13">
        <v>1353.15</v>
      </c>
      <c r="M13">
        <v>1390.4</v>
      </c>
      <c r="N13">
        <v>1427.64</v>
      </c>
      <c r="O13">
        <v>1464.88</v>
      </c>
      <c r="P13">
        <v>1502.12</v>
      </c>
      <c r="Q13">
        <v>1539.37</v>
      </c>
      <c r="R13">
        <v>1576.61</v>
      </c>
      <c r="S13">
        <v>1613.85</v>
      </c>
      <c r="T13">
        <v>1651.09</v>
      </c>
      <c r="U13">
        <v>1688.34</v>
      </c>
      <c r="V13">
        <v>1725.58</v>
      </c>
      <c r="W13">
        <v>1762.82</v>
      </c>
      <c r="X13">
        <v>1800.07</v>
      </c>
      <c r="Y13">
        <v>1837.31</v>
      </c>
      <c r="Z13">
        <v>1874.55</v>
      </c>
      <c r="AA13">
        <v>1911.79</v>
      </c>
      <c r="AB13">
        <v>1949.04</v>
      </c>
      <c r="AC13">
        <v>1986.28</v>
      </c>
      <c r="AD13">
        <v>2023.52</v>
      </c>
      <c r="AE13">
        <v>2060.7600000000002</v>
      </c>
      <c r="AF13">
        <v>2098.0100000000002</v>
      </c>
      <c r="AG13">
        <v>2135.25</v>
      </c>
      <c r="AH13">
        <v>2172.4899999999998</v>
      </c>
      <c r="AI13">
        <v>2209.7399999999998</v>
      </c>
      <c r="AJ13">
        <v>2246.98</v>
      </c>
    </row>
    <row r="14" spans="1:36" x14ac:dyDescent="0.25">
      <c r="A14" t="s">
        <v>54</v>
      </c>
      <c r="B14" t="s">
        <v>81</v>
      </c>
      <c r="C14" t="s">
        <v>82</v>
      </c>
      <c r="D14" t="s">
        <v>57</v>
      </c>
      <c r="E14" t="s">
        <v>57</v>
      </c>
      <c r="F14" t="s">
        <v>57</v>
      </c>
      <c r="G14" t="s">
        <v>58</v>
      </c>
      <c r="H14">
        <v>0</v>
      </c>
      <c r="I14">
        <v>20.329999999999998</v>
      </c>
      <c r="J14">
        <v>21.26</v>
      </c>
      <c r="K14">
        <v>22.19</v>
      </c>
      <c r="L14">
        <v>23.12</v>
      </c>
      <c r="M14">
        <v>24.04</v>
      </c>
      <c r="N14">
        <v>24.97</v>
      </c>
      <c r="O14">
        <v>25.9</v>
      </c>
      <c r="P14">
        <v>26.83</v>
      </c>
      <c r="Q14">
        <v>27.76</v>
      </c>
      <c r="R14">
        <v>28.69</v>
      </c>
      <c r="S14">
        <v>29.62</v>
      </c>
      <c r="T14">
        <v>30.55</v>
      </c>
      <c r="U14">
        <v>31.48</v>
      </c>
      <c r="V14">
        <v>32.409999999999997</v>
      </c>
      <c r="W14">
        <v>33.33</v>
      </c>
      <c r="X14">
        <v>34.26</v>
      </c>
      <c r="Y14">
        <v>35.19</v>
      </c>
      <c r="Z14">
        <v>36.119999999999997</v>
      </c>
      <c r="AA14">
        <v>37.049999999999997</v>
      </c>
      <c r="AB14">
        <v>37.979999999999997</v>
      </c>
      <c r="AC14">
        <v>38.909999999999997</v>
      </c>
      <c r="AD14">
        <v>39.840000000000003</v>
      </c>
      <c r="AE14">
        <v>40.770000000000003</v>
      </c>
      <c r="AF14">
        <v>41.7</v>
      </c>
      <c r="AG14">
        <v>42.62</v>
      </c>
      <c r="AH14">
        <v>43.55</v>
      </c>
      <c r="AI14">
        <v>44.48</v>
      </c>
      <c r="AJ14">
        <v>45.41</v>
      </c>
    </row>
    <row r="15" spans="1:36" x14ac:dyDescent="0.25">
      <c r="A15" t="s">
        <v>54</v>
      </c>
      <c r="B15" t="s">
        <v>83</v>
      </c>
      <c r="C15" t="s">
        <v>84</v>
      </c>
      <c r="D15" t="s">
        <v>57</v>
      </c>
      <c r="E15" t="s">
        <v>57</v>
      </c>
      <c r="F15" t="s">
        <v>57</v>
      </c>
      <c r="G15" t="s">
        <v>58</v>
      </c>
      <c r="H15">
        <v>0</v>
      </c>
      <c r="I15">
        <v>51.8</v>
      </c>
      <c r="J15">
        <v>54.32</v>
      </c>
      <c r="K15">
        <v>56.84</v>
      </c>
      <c r="L15">
        <v>59.36</v>
      </c>
      <c r="M15">
        <v>61.89</v>
      </c>
      <c r="N15">
        <v>64.41</v>
      </c>
      <c r="O15">
        <v>66.930000000000007</v>
      </c>
      <c r="P15">
        <v>69.459999999999994</v>
      </c>
      <c r="Q15">
        <v>71.98</v>
      </c>
      <c r="R15">
        <v>74.5</v>
      </c>
      <c r="S15">
        <v>77.02</v>
      </c>
      <c r="T15">
        <v>79.55</v>
      </c>
      <c r="U15">
        <v>82.07</v>
      </c>
      <c r="V15">
        <v>84.59</v>
      </c>
      <c r="W15">
        <v>87.11</v>
      </c>
      <c r="X15">
        <v>89.64</v>
      </c>
      <c r="Y15">
        <v>92.16</v>
      </c>
      <c r="Z15">
        <v>94.68</v>
      </c>
      <c r="AA15">
        <v>97.2</v>
      </c>
      <c r="AB15">
        <v>99.73</v>
      </c>
      <c r="AC15">
        <v>102.25</v>
      </c>
      <c r="AD15">
        <v>104.77</v>
      </c>
      <c r="AE15">
        <v>107.29</v>
      </c>
      <c r="AF15">
        <v>109.82</v>
      </c>
      <c r="AG15">
        <v>112.34</v>
      </c>
      <c r="AH15">
        <v>114.86</v>
      </c>
      <c r="AI15">
        <v>117.38</v>
      </c>
      <c r="AJ15">
        <v>119.91</v>
      </c>
    </row>
    <row r="16" spans="1:36" x14ac:dyDescent="0.25">
      <c r="A16" t="s">
        <v>54</v>
      </c>
      <c r="B16" t="s">
        <v>85</v>
      </c>
      <c r="C16" t="s">
        <v>86</v>
      </c>
      <c r="D16" t="s">
        <v>57</v>
      </c>
      <c r="E16" t="s">
        <v>57</v>
      </c>
      <c r="F16" t="s">
        <v>57</v>
      </c>
      <c r="G16" t="s">
        <v>58</v>
      </c>
      <c r="H16">
        <v>0</v>
      </c>
      <c r="I16">
        <v>223.03</v>
      </c>
      <c r="J16">
        <v>232.58</v>
      </c>
      <c r="K16">
        <v>242.13</v>
      </c>
      <c r="L16">
        <v>251.67</v>
      </c>
      <c r="M16">
        <v>261.22000000000003</v>
      </c>
      <c r="N16">
        <v>270.76</v>
      </c>
      <c r="O16">
        <v>280.31</v>
      </c>
      <c r="P16">
        <v>289.86</v>
      </c>
      <c r="Q16">
        <v>299.39999999999998</v>
      </c>
      <c r="R16">
        <v>308.95</v>
      </c>
      <c r="S16">
        <v>318.49</v>
      </c>
      <c r="T16">
        <v>328.04</v>
      </c>
      <c r="U16">
        <v>337.59</v>
      </c>
      <c r="V16">
        <v>347.13</v>
      </c>
      <c r="W16">
        <v>356.68</v>
      </c>
      <c r="X16">
        <v>366.22</v>
      </c>
      <c r="Y16">
        <v>375.77</v>
      </c>
      <c r="Z16">
        <v>385.31</v>
      </c>
      <c r="AA16">
        <v>394.86</v>
      </c>
      <c r="AB16">
        <v>404.41</v>
      </c>
      <c r="AC16">
        <v>413.95</v>
      </c>
      <c r="AD16">
        <v>423.5</v>
      </c>
      <c r="AE16">
        <v>433.04</v>
      </c>
      <c r="AF16">
        <v>442.59</v>
      </c>
      <c r="AG16">
        <v>452.14</v>
      </c>
      <c r="AH16">
        <v>461.68</v>
      </c>
      <c r="AI16">
        <v>471.23</v>
      </c>
      <c r="AJ16">
        <v>480.77</v>
      </c>
    </row>
    <row r="17" spans="1:36" x14ac:dyDescent="0.25">
      <c r="A17" t="s">
        <v>54</v>
      </c>
      <c r="B17" t="s">
        <v>87</v>
      </c>
      <c r="C17" t="s">
        <v>88</v>
      </c>
      <c r="D17" t="s">
        <v>57</v>
      </c>
      <c r="E17" t="s">
        <v>57</v>
      </c>
      <c r="F17" t="s">
        <v>57</v>
      </c>
      <c r="G17" t="s">
        <v>58</v>
      </c>
      <c r="H17">
        <v>0</v>
      </c>
      <c r="I17">
        <v>81.55</v>
      </c>
      <c r="J17">
        <v>86.75</v>
      </c>
      <c r="K17">
        <v>91.95</v>
      </c>
      <c r="L17">
        <v>97.15</v>
      </c>
      <c r="M17">
        <v>102.36</v>
      </c>
      <c r="N17">
        <v>107.56</v>
      </c>
      <c r="O17">
        <v>112.76</v>
      </c>
      <c r="P17">
        <v>117.97</v>
      </c>
      <c r="Q17">
        <v>123.17</v>
      </c>
      <c r="R17">
        <v>128.37</v>
      </c>
      <c r="S17">
        <v>133.57</v>
      </c>
      <c r="T17">
        <v>138.78</v>
      </c>
      <c r="U17">
        <v>143.97999999999999</v>
      </c>
      <c r="V17">
        <v>149.18</v>
      </c>
      <c r="W17">
        <v>154.38</v>
      </c>
      <c r="X17">
        <v>159.59</v>
      </c>
      <c r="Y17">
        <v>164.79</v>
      </c>
      <c r="Z17">
        <v>169.99</v>
      </c>
      <c r="AA17">
        <v>175.2</v>
      </c>
      <c r="AB17">
        <v>180.4</v>
      </c>
      <c r="AC17">
        <v>185.6</v>
      </c>
      <c r="AD17">
        <v>190.8</v>
      </c>
      <c r="AE17">
        <v>196.01</v>
      </c>
      <c r="AF17">
        <v>201.21</v>
      </c>
      <c r="AG17">
        <v>206.41</v>
      </c>
      <c r="AH17">
        <v>211.61</v>
      </c>
      <c r="AI17">
        <v>216.82</v>
      </c>
      <c r="AJ17">
        <v>222.02</v>
      </c>
    </row>
    <row r="18" spans="1:36" x14ac:dyDescent="0.25">
      <c r="A18" t="s">
        <v>54</v>
      </c>
      <c r="B18" t="s">
        <v>89</v>
      </c>
      <c r="C18" t="s">
        <v>90</v>
      </c>
      <c r="D18" t="s">
        <v>57</v>
      </c>
      <c r="E18" t="s">
        <v>57</v>
      </c>
      <c r="F18" t="s">
        <v>57</v>
      </c>
      <c r="G18" t="s">
        <v>58</v>
      </c>
      <c r="H18">
        <v>0</v>
      </c>
      <c r="I18">
        <v>27.94</v>
      </c>
      <c r="J18">
        <v>28.58</v>
      </c>
      <c r="K18">
        <v>29.23</v>
      </c>
      <c r="L18">
        <v>29.87</v>
      </c>
      <c r="M18">
        <v>30.52</v>
      </c>
      <c r="N18">
        <v>31.16</v>
      </c>
      <c r="O18">
        <v>31.81</v>
      </c>
      <c r="P18">
        <v>32.450000000000003</v>
      </c>
      <c r="Q18">
        <v>33.1</v>
      </c>
      <c r="R18">
        <v>33.75</v>
      </c>
      <c r="S18">
        <v>34.39</v>
      </c>
      <c r="T18">
        <v>35.04</v>
      </c>
      <c r="U18">
        <v>35.68</v>
      </c>
      <c r="V18">
        <v>36.33</v>
      </c>
      <c r="W18">
        <v>36.97</v>
      </c>
      <c r="X18">
        <v>37.619999999999997</v>
      </c>
      <c r="Y18">
        <v>38.26</v>
      </c>
      <c r="Z18">
        <v>38.909999999999997</v>
      </c>
      <c r="AA18">
        <v>39.549999999999997</v>
      </c>
      <c r="AB18">
        <v>40.200000000000003</v>
      </c>
      <c r="AC18">
        <v>40.840000000000003</v>
      </c>
      <c r="AD18">
        <v>41.49</v>
      </c>
      <c r="AE18">
        <v>42.14</v>
      </c>
      <c r="AF18">
        <v>42.78</v>
      </c>
      <c r="AG18">
        <v>43.43</v>
      </c>
      <c r="AH18">
        <v>44.07</v>
      </c>
      <c r="AI18">
        <v>44.72</v>
      </c>
      <c r="AJ18">
        <v>45.36</v>
      </c>
    </row>
    <row r="19" spans="1:36" x14ac:dyDescent="0.25">
      <c r="A19" t="s">
        <v>54</v>
      </c>
      <c r="B19" t="s">
        <v>91</v>
      </c>
      <c r="C19" t="s">
        <v>92</v>
      </c>
      <c r="D19" t="s">
        <v>57</v>
      </c>
      <c r="E19" t="s">
        <v>57</v>
      </c>
      <c r="F19" t="s">
        <v>57</v>
      </c>
      <c r="G19" t="s">
        <v>58</v>
      </c>
      <c r="H19">
        <v>0</v>
      </c>
      <c r="I19">
        <v>50.51</v>
      </c>
      <c r="J19">
        <v>51.7</v>
      </c>
      <c r="K19">
        <v>52.89</v>
      </c>
      <c r="L19">
        <v>54.09</v>
      </c>
      <c r="M19">
        <v>55.28</v>
      </c>
      <c r="N19">
        <v>56.47</v>
      </c>
      <c r="O19">
        <v>57.66</v>
      </c>
      <c r="P19">
        <v>58.85</v>
      </c>
      <c r="Q19">
        <v>60.05</v>
      </c>
      <c r="R19">
        <v>61.24</v>
      </c>
      <c r="S19">
        <v>62.43</v>
      </c>
      <c r="T19">
        <v>63.62</v>
      </c>
      <c r="U19">
        <v>64.819999999999993</v>
      </c>
      <c r="V19">
        <v>66.010000000000005</v>
      </c>
      <c r="W19">
        <v>67.2</v>
      </c>
      <c r="X19">
        <v>68.39</v>
      </c>
      <c r="Y19">
        <v>69.58</v>
      </c>
      <c r="Z19">
        <v>70.78</v>
      </c>
      <c r="AA19">
        <v>71.97</v>
      </c>
      <c r="AB19">
        <v>73.16</v>
      </c>
      <c r="AC19">
        <v>74.349999999999994</v>
      </c>
      <c r="AD19">
        <v>75.540000000000006</v>
      </c>
      <c r="AE19">
        <v>76.739999999999995</v>
      </c>
      <c r="AF19">
        <v>77.930000000000007</v>
      </c>
      <c r="AG19">
        <v>79.12</v>
      </c>
      <c r="AH19">
        <v>80.31</v>
      </c>
      <c r="AI19">
        <v>81.5</v>
      </c>
      <c r="AJ19">
        <v>82.7</v>
      </c>
    </row>
    <row r="20" spans="1:36" x14ac:dyDescent="0.25">
      <c r="A20" t="s">
        <v>54</v>
      </c>
      <c r="B20" t="s">
        <v>93</v>
      </c>
      <c r="C20" t="s">
        <v>94</v>
      </c>
      <c r="D20" t="s">
        <v>57</v>
      </c>
      <c r="E20" t="s">
        <v>57</v>
      </c>
      <c r="F20" t="s">
        <v>57</v>
      </c>
      <c r="G20" t="s">
        <v>58</v>
      </c>
      <c r="H20">
        <v>0</v>
      </c>
      <c r="I20">
        <v>3.13</v>
      </c>
      <c r="J20">
        <v>3.33</v>
      </c>
      <c r="K20">
        <v>3.53</v>
      </c>
      <c r="L20">
        <v>3.73</v>
      </c>
      <c r="M20">
        <v>3.92</v>
      </c>
      <c r="N20">
        <v>4.12</v>
      </c>
      <c r="O20">
        <v>4.32</v>
      </c>
      <c r="P20">
        <v>4.5199999999999996</v>
      </c>
      <c r="Q20">
        <v>4.72</v>
      </c>
      <c r="R20">
        <v>4.92</v>
      </c>
      <c r="S20">
        <v>5.12</v>
      </c>
      <c r="T20">
        <v>5.32</v>
      </c>
      <c r="U20">
        <v>5.52</v>
      </c>
      <c r="V20">
        <v>5.72</v>
      </c>
      <c r="W20">
        <v>5.92</v>
      </c>
      <c r="X20">
        <v>6.12</v>
      </c>
      <c r="Y20">
        <v>6.32</v>
      </c>
      <c r="Z20">
        <v>6.52</v>
      </c>
      <c r="AA20">
        <v>6.72</v>
      </c>
      <c r="AB20">
        <v>6.92</v>
      </c>
      <c r="AC20">
        <v>7.12</v>
      </c>
      <c r="AD20">
        <v>7.32</v>
      </c>
      <c r="AE20">
        <v>7.52</v>
      </c>
      <c r="AF20">
        <v>7.72</v>
      </c>
      <c r="AG20">
        <v>7.91</v>
      </c>
      <c r="AH20">
        <v>8.11</v>
      </c>
      <c r="AI20">
        <v>8.31</v>
      </c>
      <c r="AJ20">
        <v>8.51</v>
      </c>
    </row>
    <row r="22" spans="1:36" x14ac:dyDescent="0.25">
      <c r="I22">
        <f>SUM(I2:I20)</f>
        <v>5811.2600000000011</v>
      </c>
      <c r="J22">
        <f t="shared" ref="J22:AJ22" si="0">SUM(J2:J20)</f>
        <v>5963.119999999999</v>
      </c>
      <c r="K22">
        <f t="shared" si="0"/>
        <v>6114.9899999999989</v>
      </c>
      <c r="L22">
        <f t="shared" si="0"/>
        <v>6266.8399999999992</v>
      </c>
      <c r="M22">
        <f t="shared" si="0"/>
        <v>6418.7400000000007</v>
      </c>
      <c r="N22">
        <f t="shared" si="0"/>
        <v>6570.58</v>
      </c>
      <c r="O22">
        <f t="shared" si="0"/>
        <v>6722.4400000000005</v>
      </c>
      <c r="P22">
        <f t="shared" si="0"/>
        <v>6874.3100000000022</v>
      </c>
      <c r="Q22">
        <f t="shared" si="0"/>
        <v>7026.2</v>
      </c>
      <c r="R22">
        <f t="shared" si="0"/>
        <v>7178.0799999999972</v>
      </c>
      <c r="S22">
        <f t="shared" si="0"/>
        <v>7329.920000000001</v>
      </c>
      <c r="T22">
        <f t="shared" si="0"/>
        <v>7481.8200000000006</v>
      </c>
      <c r="U22">
        <f t="shared" si="0"/>
        <v>7633.69</v>
      </c>
      <c r="V22">
        <f t="shared" si="0"/>
        <v>7785.5500000000011</v>
      </c>
      <c r="W22">
        <f t="shared" si="0"/>
        <v>7937.3899999999994</v>
      </c>
      <c r="X22">
        <f t="shared" si="0"/>
        <v>8089.2900000000009</v>
      </c>
      <c r="Y22">
        <f t="shared" si="0"/>
        <v>8241.15</v>
      </c>
      <c r="Z22">
        <f t="shared" si="0"/>
        <v>8393.0300000000025</v>
      </c>
      <c r="AA22">
        <f t="shared" si="0"/>
        <v>8544.8799999999992</v>
      </c>
      <c r="AB22">
        <f t="shared" si="0"/>
        <v>8696.7800000000007</v>
      </c>
      <c r="AC22">
        <f t="shared" si="0"/>
        <v>8848.630000000001</v>
      </c>
      <c r="AD22">
        <f t="shared" si="0"/>
        <v>9000.4900000000016</v>
      </c>
      <c r="AE22">
        <f t="shared" si="0"/>
        <v>9152.3900000000031</v>
      </c>
      <c r="AF22">
        <f t="shared" si="0"/>
        <v>9304.24</v>
      </c>
      <c r="AG22">
        <f t="shared" si="0"/>
        <v>9456.1100000000024</v>
      </c>
      <c r="AH22">
        <f t="shared" si="0"/>
        <v>9607.9700000000012</v>
      </c>
      <c r="AI22">
        <f t="shared" si="0"/>
        <v>9759.8499999999967</v>
      </c>
      <c r="AJ22">
        <f t="shared" si="0"/>
        <v>9911.7000000000025</v>
      </c>
    </row>
  </sheetData>
  <autoFilter ref="A1:AJ20" xr:uid="{00000000-0001-0000-0000-000000000000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A04E-8969-4EA3-ADAA-65DD1002E6C0}">
  <dimension ref="A1:AT19"/>
  <sheetViews>
    <sheetView workbookViewId="0">
      <selection activeCell="AE6" sqref="AE6"/>
    </sheetView>
  </sheetViews>
  <sheetFormatPr defaultRowHeight="13.5" x14ac:dyDescent="0.25"/>
  <cols>
    <col min="1" max="1" width="19" style="2" customWidth="1"/>
    <col min="2" max="46" width="10.42578125" style="2" customWidth="1"/>
    <col min="47" max="16384" width="9.140625" style="2"/>
  </cols>
  <sheetData>
    <row r="1" spans="1:46" ht="18.75" x14ac:dyDescent="0.3">
      <c r="A1" s="1" t="s">
        <v>17</v>
      </c>
    </row>
    <row r="2" spans="1:46" x14ac:dyDescent="0.25">
      <c r="A2" s="3" t="s">
        <v>16</v>
      </c>
    </row>
    <row r="3" spans="1:46" x14ac:dyDescent="0.25">
      <c r="A3" s="4" t="s">
        <v>0</v>
      </c>
      <c r="B3" s="5">
        <v>2006</v>
      </c>
      <c r="C3" s="5">
        <v>2007</v>
      </c>
      <c r="D3" s="5">
        <v>2008</v>
      </c>
      <c r="E3" s="5">
        <v>2009</v>
      </c>
      <c r="F3" s="5">
        <v>2010</v>
      </c>
      <c r="G3" s="5">
        <v>2011</v>
      </c>
      <c r="H3" s="5">
        <v>2012</v>
      </c>
      <c r="I3" s="5">
        <v>2013</v>
      </c>
      <c r="J3" s="5">
        <v>2014</v>
      </c>
      <c r="K3" s="5">
        <v>2015</v>
      </c>
      <c r="L3" s="5">
        <v>2016</v>
      </c>
      <c r="M3" s="5">
        <v>2017</v>
      </c>
      <c r="N3" s="5">
        <v>2018</v>
      </c>
      <c r="O3" s="5">
        <v>2019</v>
      </c>
      <c r="P3" s="5">
        <v>2020</v>
      </c>
      <c r="Q3" s="5">
        <v>2021</v>
      </c>
      <c r="R3" s="5">
        <v>2022</v>
      </c>
      <c r="S3" s="5">
        <v>2023</v>
      </c>
      <c r="T3" s="5">
        <v>2024</v>
      </c>
      <c r="U3" s="6">
        <v>2025</v>
      </c>
      <c r="V3" s="7">
        <v>2026</v>
      </c>
      <c r="W3" s="7">
        <v>2027</v>
      </c>
      <c r="X3" s="7">
        <v>2028</v>
      </c>
      <c r="Y3" s="7">
        <v>2029</v>
      </c>
      <c r="Z3" s="7">
        <v>2030</v>
      </c>
      <c r="AA3" s="7">
        <v>2031</v>
      </c>
      <c r="AB3" s="7">
        <v>2032</v>
      </c>
      <c r="AC3" s="7">
        <v>2033</v>
      </c>
      <c r="AD3" s="7">
        <v>2034</v>
      </c>
      <c r="AE3" s="8">
        <v>2035</v>
      </c>
      <c r="AF3" s="9">
        <v>2036</v>
      </c>
      <c r="AG3" s="9">
        <v>2037</v>
      </c>
      <c r="AH3" s="9">
        <v>2038</v>
      </c>
      <c r="AI3" s="9">
        <v>2039</v>
      </c>
      <c r="AJ3" s="9">
        <v>2040</v>
      </c>
      <c r="AK3" s="9">
        <v>2041</v>
      </c>
      <c r="AL3" s="9">
        <v>2042</v>
      </c>
      <c r="AM3" s="9">
        <v>2043</v>
      </c>
      <c r="AN3" s="9">
        <v>2044</v>
      </c>
      <c r="AO3" s="9">
        <v>2045</v>
      </c>
      <c r="AP3" s="9">
        <v>2046</v>
      </c>
      <c r="AQ3" s="9">
        <v>2047</v>
      </c>
      <c r="AR3" s="9">
        <v>2048</v>
      </c>
      <c r="AS3" s="9">
        <v>2049</v>
      </c>
      <c r="AT3" s="9">
        <v>2050</v>
      </c>
    </row>
    <row r="4" spans="1:46" x14ac:dyDescent="0.25">
      <c r="A4" s="10" t="s">
        <v>1</v>
      </c>
      <c r="B4" s="11">
        <f>'[1]Demanda TWh'!B4*3.6</f>
        <v>351.33480000000003</v>
      </c>
      <c r="C4" s="11">
        <f>'[1]Demanda TWh'!C4*3.6</f>
        <v>370.65600000000001</v>
      </c>
      <c r="D4" s="11">
        <f>'[1]Demanda TWh'!D4*3.6</f>
        <v>381.36600000000004</v>
      </c>
      <c r="E4" s="11">
        <f>'[1]Demanda TWh'!E4*3.6</f>
        <v>376.57800000000003</v>
      </c>
      <c r="F4" s="11">
        <f>'[1]Demanda TWh'!F4*3.6</f>
        <v>398.79</v>
      </c>
      <c r="G4" s="11">
        <f>'[1]Demanda TWh'!G4*3.6</f>
        <v>418.97160000000002</v>
      </c>
      <c r="H4" s="11">
        <f>'[1]Demanda TWh'!H4*3.6</f>
        <v>436.2912</v>
      </c>
      <c r="I4" s="11">
        <f>'[1]Demanda TWh'!I4*3.6</f>
        <v>450.79200000000003</v>
      </c>
      <c r="J4" s="11">
        <f>'[1]Demanda TWh'!J4*3.6</f>
        <v>455.11560000000003</v>
      </c>
      <c r="K4" s="11">
        <f>'[1]Demanda TWh'!K4*3.6</f>
        <v>475.56</v>
      </c>
      <c r="L4" s="11">
        <f>'[1]Demanda TWh'!L4*3.6</f>
        <v>479.19959999999998</v>
      </c>
      <c r="M4" s="11">
        <f>'[1]Demanda TWh'!M4*3.6</f>
        <v>476.76960000000003</v>
      </c>
      <c r="N4" s="11">
        <f>'[1]Demanda TWh'!N4*3.6</f>
        <v>478.82880000000006</v>
      </c>
      <c r="O4" s="11">
        <f>'[1]Demanda TWh'!O4*3.6</f>
        <v>463.96800000000002</v>
      </c>
      <c r="P4" s="11">
        <f>'[1]Demanda TWh'!P4*3.6</f>
        <v>458.30160000000001</v>
      </c>
      <c r="Q4" s="11">
        <f>'[1]Demanda TWh'!Q4*3.6</f>
        <v>481.95720000000006</v>
      </c>
      <c r="R4" s="11">
        <f>'[1]Demanda TWh'!R4*3.6</f>
        <v>499.536</v>
      </c>
      <c r="S4" s="11">
        <f>'[1]Demanda TWh'!S4*3.6</f>
        <v>507.18239999999997</v>
      </c>
      <c r="T4" s="11">
        <f>'[1]Demanda TWh'!T4*3.6</f>
        <v>504.81720000000001</v>
      </c>
      <c r="U4" s="12">
        <f>'[1]Demanda TWh'!U4*3.6</f>
        <v>514.80000000000007</v>
      </c>
      <c r="V4" s="11">
        <f>'[1]Demanda TWh'!V4*3.6</f>
        <v>522</v>
      </c>
      <c r="W4" s="11">
        <f>'[1]Demanda TWh'!W4*3.6</f>
        <v>532.80000000000007</v>
      </c>
      <c r="X4" s="11">
        <f>'[1]Demanda TWh'!X4*3.6</f>
        <v>540</v>
      </c>
      <c r="Y4" s="11">
        <f>'[1]Demanda TWh'!Y4*3.6</f>
        <v>550.80000000000007</v>
      </c>
      <c r="Z4" s="11">
        <f>'[1]Demanda TWh'!Z4*3.6</f>
        <v>561.6</v>
      </c>
      <c r="AA4" s="11">
        <f>'[1]Demanda TWh'!AA4*3.6</f>
        <v>572.4</v>
      </c>
      <c r="AB4" s="11">
        <f>'[1]Demanda TWh'!AB4*3.6</f>
        <v>583.20000000000005</v>
      </c>
      <c r="AC4" s="11">
        <f>'[1]Demanda TWh'!AC4*3.6</f>
        <v>594</v>
      </c>
      <c r="AD4" s="11">
        <f>'[1]Demanda TWh'!AD4*3.6</f>
        <v>604.80000000000007</v>
      </c>
      <c r="AE4" s="12">
        <f>'[1]Demanda TWh'!AE4*3.6</f>
        <v>615.08159999999998</v>
      </c>
      <c r="AF4" s="11">
        <f>'[1]Demanda TWh'!AF4*3.6</f>
        <v>625.53798719999998</v>
      </c>
      <c r="AG4" s="11">
        <f>'[1]Demanda TWh'!AG4*3.6</f>
        <v>636.17213298239994</v>
      </c>
      <c r="AH4" s="11">
        <f>'[1]Demanda TWh'!AH4*3.6</f>
        <v>646.9870592431007</v>
      </c>
      <c r="AI4" s="11">
        <f>'[1]Demanda TWh'!AI4*3.6</f>
        <v>657.98583925023343</v>
      </c>
      <c r="AJ4" s="11">
        <f>'[1]Demanda TWh'!AJ4*3.6</f>
        <v>669.17159851748727</v>
      </c>
      <c r="AK4" s="11">
        <f>'[1]Demanda TWh'!AK4*3.6</f>
        <v>680.54751569228449</v>
      </c>
      <c r="AL4" s="11">
        <f>'[1]Demanda TWh'!AL4*3.6</f>
        <v>692.11682345905319</v>
      </c>
      <c r="AM4" s="11">
        <f>'[1]Demanda TWh'!AM4*3.6</f>
        <v>703.88280945785709</v>
      </c>
      <c r="AN4" s="11">
        <f>'[1]Demanda TWh'!AN4*3.6</f>
        <v>715.84881721864053</v>
      </c>
      <c r="AO4" s="11">
        <f>'[1]Demanda TWh'!AO4*3.6</f>
        <v>728.01824711135725</v>
      </c>
      <c r="AP4" s="11">
        <f>'[1]Demanda TWh'!AP4*3.6</f>
        <v>740.3945573122503</v>
      </c>
      <c r="AQ4" s="11">
        <f>'[1]Demanda TWh'!AQ4*3.6</f>
        <v>752.98126478655854</v>
      </c>
      <c r="AR4" s="11">
        <f>'[1]Demanda TWh'!AR4*3.6</f>
        <v>765.78194628792994</v>
      </c>
      <c r="AS4" s="11">
        <f>'[1]Demanda TWh'!AS4*3.6</f>
        <v>778.80023937482463</v>
      </c>
      <c r="AT4" s="11">
        <f>'[1]Demanda TWh'!AT4*3.6</f>
        <v>792.03984344419666</v>
      </c>
    </row>
    <row r="5" spans="1:46" x14ac:dyDescent="0.25">
      <c r="A5" s="2" t="s">
        <v>2</v>
      </c>
      <c r="B5" s="13">
        <f>'[1]Demanda TWh'!B5*3.6</f>
        <v>16.160399999999999</v>
      </c>
      <c r="C5" s="13">
        <f>'[1]Demanda TWh'!C5*3.6</f>
        <v>17.4816</v>
      </c>
      <c r="D5" s="13">
        <f>'[1]Demanda TWh'!D5*3.6</f>
        <v>19.3644</v>
      </c>
      <c r="E5" s="13">
        <f>'[1]Demanda TWh'!E5*3.6</f>
        <v>20.242800000000003</v>
      </c>
      <c r="F5" s="13">
        <f>'[1]Demanda TWh'!F5*3.6</f>
        <v>21.661200000000001</v>
      </c>
      <c r="G5" s="13">
        <f>'[1]Demanda TWh'!G5*3.6</f>
        <v>22.438800000000001</v>
      </c>
      <c r="H5" s="13">
        <f>'[1]Demanda TWh'!H5*3.6</f>
        <v>23.8032</v>
      </c>
      <c r="I5" s="13">
        <f>'[1]Demanda TWh'!I5*3.6</f>
        <v>25.063199999999998</v>
      </c>
      <c r="J5" s="13">
        <f>'[1]Demanda TWh'!J5*3.6</f>
        <v>26.6112</v>
      </c>
      <c r="K5" s="13">
        <f>'[1]Demanda TWh'!K5*3.6</f>
        <v>28.348307999999999</v>
      </c>
      <c r="L5" s="13">
        <f>'[1]Demanda TWh'!L5*3.6</f>
        <v>29.523960000000002</v>
      </c>
      <c r="M5" s="13">
        <f>'[1]Demanda TWh'!M5*3.6</f>
        <v>30.146363999999998</v>
      </c>
      <c r="N5" s="13">
        <f>'[1]Demanda TWh'!N5*3.6</f>
        <v>30.420468</v>
      </c>
      <c r="O5" s="13">
        <f>'[1]Demanda TWh'!O5*3.6</f>
        <v>31.246632000000005</v>
      </c>
      <c r="P5" s="13">
        <f>'[1]Demanda TWh'!P5*3.6</f>
        <v>30.114467999999995</v>
      </c>
      <c r="Q5" s="13">
        <f>'[1]Demanda TWh'!Q5*3.6</f>
        <v>32.439744000000005</v>
      </c>
      <c r="R5" s="13">
        <f>'[1]Demanda TWh'!R5*3.6</f>
        <v>34.218000000000004</v>
      </c>
      <c r="S5" s="13">
        <f>'[1]Demanda TWh'!S5*3.6</f>
        <v>38.440800000000003</v>
      </c>
      <c r="T5" s="13">
        <f>'[1]Demanda TWh'!T5*3.6</f>
        <v>39.970799999999997</v>
      </c>
      <c r="U5" s="14">
        <f>'[1]Demanda TWh'!U5*3.6</f>
        <v>42.173999999999999</v>
      </c>
      <c r="V5" s="13">
        <f>'[1]Demanda TWh'!V5*3.6</f>
        <v>43.542000000000002</v>
      </c>
      <c r="W5" s="13">
        <f>'[1]Demanda TWh'!W5*3.6</f>
        <v>44.737200000000001</v>
      </c>
      <c r="X5" s="13">
        <f>'[1]Demanda TWh'!X5*3.6</f>
        <v>45.928799999999995</v>
      </c>
      <c r="Y5" s="13">
        <f>'[1]Demanda TWh'!Y5*3.6</f>
        <v>47.167200000000001</v>
      </c>
      <c r="Z5" s="13">
        <f>'[1]Demanda TWh'!Z5*3.6</f>
        <v>48.412800000000004</v>
      </c>
      <c r="AA5" s="13">
        <f>'[1]Demanda TWh'!AA5*3.6</f>
        <v>49.676400000000001</v>
      </c>
      <c r="AB5" s="13">
        <f>'[1]Demanda TWh'!AB5*3.6</f>
        <v>50.936399999999999</v>
      </c>
      <c r="AC5" s="13">
        <f>'[1]Demanda TWh'!AC5*3.6</f>
        <v>52.210799999999999</v>
      </c>
      <c r="AD5" s="13">
        <f>'[1]Demanda TWh'!AD5*3.6</f>
        <v>53.4816</v>
      </c>
      <c r="AE5" s="14">
        <f>'[1]Demanda TWh'!AE5*3.6</f>
        <v>54.968388480000002</v>
      </c>
      <c r="AF5" s="13">
        <f>'[1]Demanda TWh'!AF5*3.6</f>
        <v>56.496509679744001</v>
      </c>
      <c r="AG5" s="13">
        <f>'[1]Demanda TWh'!AG5*3.6</f>
        <v>58.06711264884089</v>
      </c>
      <c r="AH5" s="13">
        <f>'[1]Demanda TWh'!AH5*3.6</f>
        <v>59.681378380478677</v>
      </c>
      <c r="AI5" s="13">
        <f>'[1]Demanda TWh'!AI5*3.6</f>
        <v>61.340520699455993</v>
      </c>
      <c r="AJ5" s="13">
        <f>'[1]Demanda TWh'!AJ5*3.6</f>
        <v>63.04578717490088</v>
      </c>
      <c r="AK5" s="13">
        <f>'[1]Demanda TWh'!AK5*3.6</f>
        <v>64.798460058363119</v>
      </c>
      <c r="AL5" s="13">
        <f>'[1]Demanda TWh'!AL5*3.6</f>
        <v>66.599857247985625</v>
      </c>
      <c r="AM5" s="13">
        <f>'[1]Demanda TWh'!AM5*3.6</f>
        <v>68.451333279479613</v>
      </c>
      <c r="AN5" s="13">
        <f>'[1]Demanda TWh'!AN5*3.6</f>
        <v>70.354280344649155</v>
      </c>
      <c r="AO5" s="13">
        <f>'[1]Demanda TWh'!AO5*3.6</f>
        <v>72.310129338230411</v>
      </c>
      <c r="AP5" s="13">
        <f>'[1]Demanda TWh'!AP5*3.6</f>
        <v>74.320350933833225</v>
      </c>
      <c r="AQ5" s="13">
        <f>'[1]Demanda TWh'!AQ5*3.6</f>
        <v>76.386456689793789</v>
      </c>
      <c r="AR5" s="13">
        <f>'[1]Demanda TWh'!AR5*3.6</f>
        <v>78.510000185770053</v>
      </c>
      <c r="AS5" s="13">
        <f>'[1]Demanda TWh'!AS5*3.6</f>
        <v>80.692578190934469</v>
      </c>
      <c r="AT5" s="13">
        <f>'[1]Demanda TWh'!AT5*3.6</f>
        <v>82.935831864642452</v>
      </c>
    </row>
    <row r="6" spans="1:46" x14ac:dyDescent="0.25">
      <c r="A6" s="10" t="s">
        <v>3</v>
      </c>
      <c r="B6" s="11">
        <f>'[1]Demanda TWh'!B6*3.6</f>
        <v>1282.0644000000002</v>
      </c>
      <c r="C6" s="11">
        <f>'[1]Demanda TWh'!C6*3.6</f>
        <v>1357.308</v>
      </c>
      <c r="D6" s="11">
        <f>'[1]Demanda TWh'!D6*3.6</f>
        <v>1398.4992</v>
      </c>
      <c r="E6" s="11">
        <f>'[1]Demanda TWh'!E6*3.6</f>
        <v>1383.5016000000001</v>
      </c>
      <c r="F6" s="11">
        <f>'[1]Demanda TWh'!F6*3.6</f>
        <v>1496.4051466800001</v>
      </c>
      <c r="G6" s="11">
        <f>'[1]Demanda TWh'!G6*3.6</f>
        <v>1558.8569951999998</v>
      </c>
      <c r="H6" s="11">
        <f>'[1]Demanda TWh'!H6*3.6</f>
        <v>1613.2550040000001</v>
      </c>
      <c r="I6" s="11">
        <f>'[1]Demanda TWh'!I6*3.6</f>
        <v>1667.3129999999999</v>
      </c>
      <c r="J6" s="11">
        <f>'[1]Demanda TWh'!J6*3.6</f>
        <v>1709.3644200000001</v>
      </c>
      <c r="K6" s="11">
        <f>'[1]Demanda TWh'!K6*3.6</f>
        <v>1676.5503480000002</v>
      </c>
      <c r="L6" s="11">
        <f>'[1]Demanda TWh'!L6*3.6</f>
        <v>1662.4063799999999</v>
      </c>
      <c r="M6" s="11">
        <f>'[1]Demanda TWh'!M6*3.6</f>
        <v>1681.780248</v>
      </c>
      <c r="N6" s="11">
        <f>'[1]Demanda TWh'!N6*3.6</f>
        <v>1709.352576</v>
      </c>
      <c r="O6" s="11">
        <f>'[1]Demanda TWh'!O6*3.6</f>
        <v>1736.0532000000001</v>
      </c>
      <c r="P6" s="11">
        <f>'[1]Demanda TWh'!P6*3.6</f>
        <v>1707.1523999999999</v>
      </c>
      <c r="Q6" s="11">
        <f>'[1]Demanda TWh'!Q6*3.6</f>
        <v>1806.3864000000001</v>
      </c>
      <c r="R6" s="11">
        <f>'[1]Demanda TWh'!R6*3.6</f>
        <v>1830.6215999999999</v>
      </c>
      <c r="S6" s="11">
        <f>'[1]Demanda TWh'!S6*3.6</f>
        <v>1898.5211999999999</v>
      </c>
      <c r="T6" s="11">
        <f>'[1]Demanda TWh'!T6*3.6</f>
        <v>2016</v>
      </c>
      <c r="U6" s="12">
        <f>'[1]Demanda TWh'!U6*3.6</f>
        <v>2106</v>
      </c>
      <c r="V6" s="11">
        <f>'[1]Demanda TWh'!V6*3.6</f>
        <v>2203.2000000000003</v>
      </c>
      <c r="W6" s="11">
        <f>'[1]Demanda TWh'!W6*3.6</f>
        <v>2300.4</v>
      </c>
      <c r="X6" s="11">
        <f>'[1]Demanda TWh'!X6*3.6</f>
        <v>2404.8000000000002</v>
      </c>
      <c r="Y6" s="11">
        <f>'[1]Demanda TWh'!Y6*3.6</f>
        <v>2512.8000000000002</v>
      </c>
      <c r="Z6" s="11">
        <f>'[1]Demanda TWh'!Z6*3.6</f>
        <v>2624.4</v>
      </c>
      <c r="AA6" s="11">
        <f>'[1]Demanda TWh'!AA6*3.6</f>
        <v>2743.2000000000003</v>
      </c>
      <c r="AB6" s="11">
        <f>'[1]Demanda TWh'!AB6*3.6</f>
        <v>2869.2000000000003</v>
      </c>
      <c r="AC6" s="11">
        <f>'[1]Demanda TWh'!AC6*3.6</f>
        <v>2998.8</v>
      </c>
      <c r="AD6" s="11">
        <f>'[1]Demanda TWh'!AD6*3.6</f>
        <v>3132</v>
      </c>
      <c r="AE6" s="12">
        <f>'[1]Demanda TWh'!AE6*3.6</f>
        <v>3179.9196000000002</v>
      </c>
      <c r="AF6" s="11">
        <f>'[1]Demanda TWh'!AF6*3.6</f>
        <v>3228.5723698800002</v>
      </c>
      <c r="AG6" s="11">
        <f>'[1]Demanda TWh'!AG6*3.6</f>
        <v>3277.9695271391647</v>
      </c>
      <c r="AH6" s="11">
        <f>'[1]Demanda TWh'!AH6*3.6</f>
        <v>3328.1224609043948</v>
      </c>
      <c r="AI6" s="11">
        <f>'[1]Demanda TWh'!AI6*3.6</f>
        <v>3379.0427345562321</v>
      </c>
      <c r="AJ6" s="11">
        <f>'[1]Demanda TWh'!AJ6*3.6</f>
        <v>3430.742088394943</v>
      </c>
      <c r="AK6" s="11">
        <f>'[1]Demanda TWh'!AK6*3.6</f>
        <v>3483.232442347386</v>
      </c>
      <c r="AL6" s="11">
        <f>'[1]Demanda TWh'!AL6*3.6</f>
        <v>3536.5258987153011</v>
      </c>
      <c r="AM6" s="11">
        <f>'[1]Demanda TWh'!AM6*3.6</f>
        <v>3590.634744965646</v>
      </c>
      <c r="AN6" s="11">
        <f>'[1]Demanda TWh'!AN6*3.6</f>
        <v>3645.5714565636204</v>
      </c>
      <c r="AO6" s="11">
        <f>'[1]Demanda TWh'!AO6*3.6</f>
        <v>3701.3486998490444</v>
      </c>
      <c r="AP6" s="11">
        <f>'[1]Demanda TWh'!AP6*3.6</f>
        <v>3757.9793349567353</v>
      </c>
      <c r="AQ6" s="11">
        <f>'[1]Demanda TWh'!AQ6*3.6</f>
        <v>3815.476418781574</v>
      </c>
      <c r="AR6" s="11">
        <f>'[1]Demanda TWh'!AR6*3.6</f>
        <v>3873.8532079889319</v>
      </c>
      <c r="AS6" s="11">
        <f>'[1]Demanda TWh'!AS6*3.6</f>
        <v>3933.1231620711633</v>
      </c>
      <c r="AT6" s="11">
        <f>'[1]Demanda TWh'!AT6*3.6</f>
        <v>3993.2999464508521</v>
      </c>
    </row>
    <row r="7" spans="1:46" x14ac:dyDescent="0.25">
      <c r="A7" s="2" t="s">
        <v>4</v>
      </c>
      <c r="B7" s="13">
        <f>'[1]Demanda TWh'!B7*3.6</f>
        <v>182.1996</v>
      </c>
      <c r="C7" s="13">
        <f>'[1]Demanda TWh'!C7*3.6</f>
        <v>190.8288</v>
      </c>
      <c r="D7" s="13">
        <f>'[1]Demanda TWh'!D7*3.6</f>
        <v>191.4444</v>
      </c>
      <c r="E7" s="13">
        <f>'[1]Demanda TWh'!E7*3.6</f>
        <v>192.3912</v>
      </c>
      <c r="F7" s="13">
        <f>'[1]Demanda TWh'!F7*3.6</f>
        <v>198.93600000000001</v>
      </c>
      <c r="G7" s="13">
        <f>'[1]Demanda TWh'!G7*3.6</f>
        <v>210.57480000000001</v>
      </c>
      <c r="H7" s="13">
        <f>'[1]Demanda TWh'!H7*3.6</f>
        <v>221.60159999999999</v>
      </c>
      <c r="I7" s="13">
        <f>'[1]Demanda TWh'!I7*3.6</f>
        <v>227.49119999999999</v>
      </c>
      <c r="J7" s="13">
        <f>'[1]Demanda TWh'!J7*3.6</f>
        <v>232.47098181818185</v>
      </c>
      <c r="K7" s="13">
        <f>'[1]Demanda TWh'!K7*3.6</f>
        <v>239.5692</v>
      </c>
      <c r="L7" s="13">
        <f>'[1]Demanda TWh'!L7*3.6</f>
        <v>244.02599999999998</v>
      </c>
      <c r="M7" s="13">
        <f>'[1]Demanda TWh'!M7*3.6</f>
        <v>245.76480000000001</v>
      </c>
      <c r="N7" s="13">
        <f>'[1]Demanda TWh'!N7*3.6</f>
        <v>254.80439999999999</v>
      </c>
      <c r="O7" s="13">
        <f>'[1]Demanda TWh'!O7*3.6</f>
        <v>258.44760000000002</v>
      </c>
      <c r="P7" s="13">
        <f>'[1]Demanda TWh'!P7*3.6</f>
        <v>258.2604</v>
      </c>
      <c r="Q7" s="13">
        <f>'[1]Demanda TWh'!Q7*3.6</f>
        <v>270.47160000000002</v>
      </c>
      <c r="R7" s="13">
        <f>'[1]Demanda TWh'!R7*3.6</f>
        <v>276.32159999999999</v>
      </c>
      <c r="S7" s="13">
        <f>'[1]Demanda TWh'!S7*3.6</f>
        <v>282.87454331736672</v>
      </c>
      <c r="T7" s="13">
        <f>'[1]Demanda TWh'!T7*3.6</f>
        <v>289.58288912994419</v>
      </c>
      <c r="U7" s="14">
        <f>'[1]Demanda TWh'!U7*3.6</f>
        <v>296.64000000000004</v>
      </c>
      <c r="V7" s="13">
        <f>'[1]Demanda TWh'!V7*3.6</f>
        <v>309.95999999999998</v>
      </c>
      <c r="W7" s="13">
        <f>'[1]Demanda TWh'!W7*3.6</f>
        <v>321.12</v>
      </c>
      <c r="X7" s="13">
        <f>'[1]Demanda TWh'!X7*3.6</f>
        <v>329.40000000000003</v>
      </c>
      <c r="Y7" s="13">
        <f>'[1]Demanda TWh'!Y7*3.6</f>
        <v>333.72</v>
      </c>
      <c r="Z7" s="13">
        <f>'[1]Demanda TWh'!Z7*3.6</f>
        <v>345.24</v>
      </c>
      <c r="AA7" s="13">
        <f>'[1]Demanda TWh'!AA7*3.6</f>
        <v>351.72</v>
      </c>
      <c r="AB7" s="13">
        <f>'[1]Demanda TWh'!AB7*3.6</f>
        <v>361.08</v>
      </c>
      <c r="AC7" s="13">
        <f>'[1]Demanda TWh'!AC7*3.6</f>
        <v>369</v>
      </c>
      <c r="AD7" s="13">
        <f>'[1]Demanda TWh'!AD7*3.6</f>
        <v>376.2</v>
      </c>
      <c r="AE7" s="14">
        <f>'[1]Demanda TWh'!AE7*3.6</f>
        <v>380.45106000000004</v>
      </c>
      <c r="AF7" s="13">
        <f>'[1]Demanda TWh'!AF7*3.6</f>
        <v>384.75015697800006</v>
      </c>
      <c r="AG7" s="13">
        <f>'[1]Demanda TWh'!AG7*3.6</f>
        <v>389.09783375185151</v>
      </c>
      <c r="AH7" s="13">
        <f>'[1]Demanda TWh'!AH7*3.6</f>
        <v>393.49463927324746</v>
      </c>
      <c r="AI7" s="13">
        <f>'[1]Demanda TWh'!AI7*3.6</f>
        <v>397.9411286970352</v>
      </c>
      <c r="AJ7" s="13">
        <f>'[1]Demanda TWh'!AJ7*3.6</f>
        <v>402.43786345131173</v>
      </c>
      <c r="AK7" s="13">
        <f>'[1]Demanda TWh'!AK7*3.6</f>
        <v>406.9854113083116</v>
      </c>
      <c r="AL7" s="13">
        <f>'[1]Demanda TWh'!AL7*3.6</f>
        <v>411.58434645609555</v>
      </c>
      <c r="AM7" s="13">
        <f>'[1]Demanda TWh'!AM7*3.6</f>
        <v>416.23524957104945</v>
      </c>
      <c r="AN7" s="13">
        <f>'[1]Demanda TWh'!AN7*3.6</f>
        <v>420.93870789120234</v>
      </c>
      <c r="AO7" s="13">
        <f>'[1]Demanda TWh'!AO7*3.6</f>
        <v>425.69531529037295</v>
      </c>
      <c r="AP7" s="13">
        <f>'[1]Demanda TWh'!AP7*3.6</f>
        <v>430.50567235315418</v>
      </c>
      <c r="AQ7" s="13">
        <f>'[1]Demanda TWh'!AQ7*3.6</f>
        <v>435.37038645074489</v>
      </c>
      <c r="AR7" s="13">
        <f>'[1]Demanda TWh'!AR7*3.6</f>
        <v>440.29007181763831</v>
      </c>
      <c r="AS7" s="13">
        <f>'[1]Demanda TWh'!AS7*3.6</f>
        <v>445.26534962917771</v>
      </c>
      <c r="AT7" s="13">
        <f>'[1]Demanda TWh'!AT7*3.6</f>
        <v>450.2968480799874</v>
      </c>
    </row>
    <row r="8" spans="1:46" x14ac:dyDescent="0.25">
      <c r="A8" s="10" t="s">
        <v>5</v>
      </c>
      <c r="B8" s="11">
        <f>'[1]Demanda TWh'!B8*3.6</f>
        <v>182.934</v>
      </c>
      <c r="C8" s="11">
        <f>'[1]Demanda TWh'!C8*3.6</f>
        <v>190.27080000000001</v>
      </c>
      <c r="D8" s="11">
        <f>'[1]Demanda TWh'!D8*3.6</f>
        <v>193.93091999999999</v>
      </c>
      <c r="E8" s="11">
        <f>'[1]Demanda TWh'!E8*3.6</f>
        <v>196.79116638103196</v>
      </c>
      <c r="F8" s="11">
        <f>'[1]Demanda TWh'!F8*3.6</f>
        <v>202.09331123355599</v>
      </c>
      <c r="G8" s="11">
        <f>'[1]Demanda TWh'!G8*3.6</f>
        <v>205.73345193206401</v>
      </c>
      <c r="H8" s="11">
        <f>'[1]Demanda TWh'!H8*3.6</f>
        <v>213.73162223169598</v>
      </c>
      <c r="I8" s="11">
        <f>'[1]Demanda TWh'!I8*3.6</f>
        <v>219.20513804791196</v>
      </c>
      <c r="J8" s="11">
        <f>'[1]Demanda TWh'!J8*3.6</f>
        <v>228.856417569108</v>
      </c>
      <c r="K8" s="11">
        <f>'[1]Demanda TWh'!K8*3.6</f>
        <v>238.22909553635995</v>
      </c>
      <c r="L8" s="11">
        <f>'[1]Demanda TWh'!L8*3.6</f>
        <v>238.75012911553196</v>
      </c>
      <c r="M8" s="11">
        <f>'[1]Demanda TWh'!M8*3.6</f>
        <v>240.81493382665195</v>
      </c>
      <c r="N8" s="11">
        <f>'[1]Demanda TWh'!N8*3.6</f>
        <v>248.85623600884799</v>
      </c>
      <c r="O8" s="11">
        <f>'[1]Demanda TWh'!O8*3.6</f>
        <v>258.93007456244408</v>
      </c>
      <c r="P8" s="11">
        <f>'[1]Demanda TWh'!P8*3.6</f>
        <v>253.51968322432785</v>
      </c>
      <c r="Q8" s="11">
        <f>'[1]Demanda TWh'!Q8*3.6</f>
        <v>266.81980860629994</v>
      </c>
      <c r="R8" s="11">
        <f>'[1]Demanda TWh'!R8*3.6</f>
        <v>275.9542851936601</v>
      </c>
      <c r="S8" s="11">
        <f>'[1]Demanda TWh'!S8*3.6</f>
        <v>287.93520000000001</v>
      </c>
      <c r="T8" s="11">
        <f>'[1]Demanda TWh'!T8*3.6</f>
        <v>295.488</v>
      </c>
      <c r="U8" s="12">
        <f>'[1]Demanda TWh'!U8*3.6</f>
        <v>290.41919999999999</v>
      </c>
      <c r="V8" s="11">
        <f>'[1]Demanda TWh'!V8*3.6</f>
        <v>298.32479999999998</v>
      </c>
      <c r="W8" s="11">
        <f>'[1]Demanda TWh'!W8*3.6</f>
        <v>305.73</v>
      </c>
      <c r="X8" s="11">
        <f>'[1]Demanda TWh'!X8*3.6</f>
        <v>312.80039999999997</v>
      </c>
      <c r="Y8" s="11">
        <f>'[1]Demanda TWh'!Y8*3.6</f>
        <v>319.68</v>
      </c>
      <c r="Z8" s="11">
        <f>'[1]Demanda TWh'!Z8*3.6</f>
        <v>326.72879999999998</v>
      </c>
      <c r="AA8" s="11">
        <f>'[1]Demanda TWh'!AA8*3.6</f>
        <v>334.45440000000002</v>
      </c>
      <c r="AB8" s="11">
        <f>'[1]Demanda TWh'!AB8*3.6</f>
        <v>341.83080000000001</v>
      </c>
      <c r="AC8" s="11">
        <f>'[1]Demanda TWh'!AC8*3.6</f>
        <v>349.28640000000001</v>
      </c>
      <c r="AD8" s="11">
        <f>'[1]Demanda TWh'!AD8*3.6</f>
        <v>357.678</v>
      </c>
      <c r="AE8" s="12">
        <f>'[1]Demanda TWh'!AE8*3.6</f>
        <v>366.87032460000006</v>
      </c>
      <c r="AF8" s="11">
        <f>'[1]Demanda TWh'!AF8*3.6</f>
        <v>376.29889194222005</v>
      </c>
      <c r="AG8" s="11">
        <f>'[1]Demanda TWh'!AG8*3.6</f>
        <v>385.96977346513518</v>
      </c>
      <c r="AH8" s="11">
        <f>'[1]Demanda TWh'!AH8*3.6</f>
        <v>395.88919664318917</v>
      </c>
      <c r="AI8" s="11">
        <f>'[1]Demanda TWh'!AI8*3.6</f>
        <v>406.06354899691911</v>
      </c>
      <c r="AJ8" s="11">
        <f>'[1]Demanda TWh'!AJ8*3.6</f>
        <v>416.49938220613996</v>
      </c>
      <c r="AK8" s="11">
        <f>'[1]Demanda TWh'!AK8*3.6</f>
        <v>427.20341632883776</v>
      </c>
      <c r="AL8" s="11">
        <f>'[1]Demanda TWh'!AL8*3.6</f>
        <v>438.18254412848893</v>
      </c>
      <c r="AM8" s="11">
        <f>'[1]Demanda TWh'!AM8*3.6</f>
        <v>449.44383551259114</v>
      </c>
      <c r="AN8" s="11">
        <f>'[1]Demanda TWh'!AN8*3.6</f>
        <v>460.99454208526481</v>
      </c>
      <c r="AO8" s="11">
        <f>'[1]Demanda TWh'!AO8*3.6</f>
        <v>472.84210181685609</v>
      </c>
      <c r="AP8" s="11">
        <f>'[1]Demanda TWh'!AP8*3.6</f>
        <v>484.99414383354934</v>
      </c>
      <c r="AQ8" s="11">
        <f>'[1]Demanda TWh'!AQ8*3.6</f>
        <v>497.45849333007152</v>
      </c>
      <c r="AR8" s="11">
        <f>'[1]Demanda TWh'!AR8*3.6</f>
        <v>510.24317660865438</v>
      </c>
      <c r="AS8" s="11">
        <f>'[1]Demanda TWh'!AS8*3.6</f>
        <v>523.35642624749687</v>
      </c>
      <c r="AT8" s="11">
        <f>'[1]Demanda TWh'!AT8*3.6</f>
        <v>536.80668640205749</v>
      </c>
    </row>
    <row r="9" spans="1:46" x14ac:dyDescent="0.25">
      <c r="A9" s="2" t="s">
        <v>6</v>
      </c>
      <c r="B9" s="13">
        <f>'[1]Demanda TWh'!B9*3.6</f>
        <v>28.152000000000001</v>
      </c>
      <c r="C9" s="13">
        <f>'[1]Demanda TWh'!C9*3.6</f>
        <v>29.426399999999997</v>
      </c>
      <c r="D9" s="13">
        <f>'[1]Demanda TWh'!D9*3.6</f>
        <v>30.096</v>
      </c>
      <c r="E9" s="13">
        <f>'[1]Demanda TWh'!E9*3.6</f>
        <v>29.696400000000004</v>
      </c>
      <c r="F9" s="13">
        <f>'[1]Demanda TWh'!F9*3.6</f>
        <v>30.581999999999997</v>
      </c>
      <c r="G9" s="13">
        <f>'[1]Demanda TWh'!G9*3.6</f>
        <v>30.6828</v>
      </c>
      <c r="H9" s="13">
        <f>'[1]Demanda TWh'!H9*3.6</f>
        <v>36.335304000000001</v>
      </c>
      <c r="I9" s="13">
        <f>'[1]Demanda TWh'!I9*3.6</f>
        <v>36.618839999999999</v>
      </c>
      <c r="J9" s="13">
        <f>'[1]Demanda TWh'!J9*3.6</f>
        <v>37.163160000000005</v>
      </c>
      <c r="K9" s="13">
        <f>'[1]Demanda TWh'!K9*3.6</f>
        <v>38.186315999999998</v>
      </c>
      <c r="L9" s="13">
        <f>'[1]Demanda TWh'!L9*3.6</f>
        <v>39.355488000000001</v>
      </c>
      <c r="M9" s="13">
        <f>'[1]Demanda TWh'!M9*3.6</f>
        <v>39.669552000000003</v>
      </c>
      <c r="N9" s="13">
        <f>'[1]Demanda TWh'!N9*3.6</f>
        <v>40.012920000000001</v>
      </c>
      <c r="O9" s="13">
        <f>'[1]Demanda TWh'!O9*3.6</f>
        <v>40.802796000000001</v>
      </c>
      <c r="P9" s="13">
        <f>'[1]Demanda TWh'!P9*3.6</f>
        <v>39.671496000000005</v>
      </c>
      <c r="Q9" s="13">
        <f>'[1]Demanda TWh'!Q9*3.6</f>
        <v>41.481108000000006</v>
      </c>
      <c r="R9" s="13">
        <f>'[1]Demanda TWh'!R9*3.6</f>
        <v>42.728615999999995</v>
      </c>
      <c r="S9" s="13">
        <f>'[1]Demanda TWh'!S9*3.6</f>
        <v>44.247959999999999</v>
      </c>
      <c r="T9" s="13">
        <f>'[1]Demanda TWh'!T9*3.6</f>
        <v>46.04616</v>
      </c>
      <c r="U9" s="14">
        <f>'[1]Demanda TWh'!U9*3.6</f>
        <v>47.6676</v>
      </c>
      <c r="V9" s="13">
        <f>'[1]Demanda TWh'!V9*3.6</f>
        <v>49.111199999999997</v>
      </c>
      <c r="W9" s="13">
        <f>'[1]Demanda TWh'!W9*3.6</f>
        <v>50.3748</v>
      </c>
      <c r="X9" s="13">
        <f>'[1]Demanda TWh'!X9*3.6</f>
        <v>51.768000000000001</v>
      </c>
      <c r="Y9" s="13">
        <f>'[1]Demanda TWh'!Y9*3.6</f>
        <v>53.136000000000003</v>
      </c>
      <c r="Z9" s="13">
        <f>'[1]Demanda TWh'!Z9*3.6</f>
        <v>54.442799999999998</v>
      </c>
      <c r="AA9" s="13">
        <f>'[1]Demanda TWh'!AA9*3.6</f>
        <v>55.699199999999998</v>
      </c>
      <c r="AB9" s="13">
        <f>'[1]Demanda TWh'!AB9*3.6</f>
        <v>56.9268</v>
      </c>
      <c r="AC9" s="13">
        <f>'[1]Demanda TWh'!AC9*3.6</f>
        <v>58.122</v>
      </c>
      <c r="AD9" s="13">
        <f>'[1]Demanda TWh'!AD9*3.6</f>
        <v>59.291999999999994</v>
      </c>
      <c r="AE9" s="14">
        <f>'[1]Demanda TWh'!AE9*3.6</f>
        <v>60.408000000000008</v>
      </c>
      <c r="AF9" s="13">
        <f>'[1]Demanda TWh'!AF9*3.6</f>
        <v>61.459199999999996</v>
      </c>
      <c r="AG9" s="13">
        <f>'[1]Demanda TWh'!AG9*3.6</f>
        <v>62.434800000000003</v>
      </c>
      <c r="AH9" s="13">
        <f>'[1]Demanda TWh'!AH9*3.6</f>
        <v>63.334800000000001</v>
      </c>
      <c r="AI9" s="13">
        <f>'[1]Demanda TWh'!AI9*3.6</f>
        <v>64.155600000000007</v>
      </c>
      <c r="AJ9" s="13">
        <f>'[1]Demanda TWh'!AJ9*3.6</f>
        <v>64.904399999999995</v>
      </c>
      <c r="AK9" s="13">
        <f>'[1]Demanda TWh'!AK9*3.6</f>
        <v>66.286863719999999</v>
      </c>
      <c r="AL9" s="13">
        <f>'[1]Demanda TWh'!AL9*3.6</f>
        <v>67.698773917236011</v>
      </c>
      <c r="AM9" s="13">
        <f>'[1]Demanda TWh'!AM9*3.6</f>
        <v>69.140757801673146</v>
      </c>
      <c r="AN9" s="13">
        <f>'[1]Demanda TWh'!AN9*3.6</f>
        <v>70.613455942848788</v>
      </c>
      <c r="AO9" s="13">
        <f>'[1]Demanda TWh'!AO9*3.6</f>
        <v>72.117522554431474</v>
      </c>
      <c r="AP9" s="13">
        <f>'[1]Demanda TWh'!AP9*3.6</f>
        <v>73.65362578484087</v>
      </c>
      <c r="AQ9" s="13">
        <f>'[1]Demanda TWh'!AQ9*3.6</f>
        <v>75.222448014057989</v>
      </c>
      <c r="AR9" s="13">
        <f>'[1]Demanda TWh'!AR9*3.6</f>
        <v>76.824686156757437</v>
      </c>
      <c r="AS9" s="13">
        <f>'[1]Demanda TWh'!AS9*3.6</f>
        <v>78.461051971896367</v>
      </c>
      <c r="AT9" s="13">
        <f>'[1]Demanda TWh'!AT9*3.6</f>
        <v>80.132272378897767</v>
      </c>
    </row>
    <row r="10" spans="1:46" x14ac:dyDescent="0.25">
      <c r="A10" s="10" t="s">
        <v>7</v>
      </c>
      <c r="B10" s="11">
        <f>'[1]Demanda TWh'!B10*3.6</f>
        <v>38.599199999999996</v>
      </c>
      <c r="C10" s="11">
        <f>'[1]Demanda TWh'!C10*3.6</f>
        <v>40.809600000000003</v>
      </c>
      <c r="D10" s="11">
        <f>'[1]Demanda TWh'!D10*3.6</f>
        <v>44.161200000000001</v>
      </c>
      <c r="E10" s="11">
        <f>'[1]Demanda TWh'!E10*3.6</f>
        <v>47.595600000000005</v>
      </c>
      <c r="F10" s="11">
        <f>'[1]Demanda TWh'!F10*3.6</f>
        <v>50.677199999999999</v>
      </c>
      <c r="G10" s="11">
        <f>'[1]Demanda TWh'!G10*3.6</f>
        <v>54.8964</v>
      </c>
      <c r="H10" s="11">
        <f>'[1]Demanda TWh'!H10*3.6</f>
        <v>58.230000000000004</v>
      </c>
      <c r="I10" s="11">
        <f>'[1]Demanda TWh'!I10*3.6</f>
        <v>60.271200000000007</v>
      </c>
      <c r="J10" s="11">
        <f>'[1]Demanda TWh'!J10*3.6</f>
        <v>64.649883929493441</v>
      </c>
      <c r="K10" s="11">
        <f>'[1]Demanda TWh'!K10*3.6</f>
        <v>68.135430284996986</v>
      </c>
      <c r="L10" s="11">
        <f>'[1]Demanda TWh'!L10*3.6</f>
        <v>68.030731533819491</v>
      </c>
      <c r="M10" s="11">
        <f>'[1]Demanda TWh'!M10*3.6</f>
        <v>69.94080000000001</v>
      </c>
      <c r="N10" s="11">
        <f>'[1]Demanda TWh'!N10*3.6</f>
        <v>72</v>
      </c>
      <c r="O10" s="11">
        <f>'[1]Demanda TWh'!O10*3.6</f>
        <v>73.726740000000007</v>
      </c>
      <c r="P10" s="11">
        <f>'[1]Demanda TWh'!P10*3.6</f>
        <v>72.343764000000007</v>
      </c>
      <c r="Q10" s="11">
        <f>'[1]Demanda TWh'!Q10*3.6</f>
        <v>82.401768000000018</v>
      </c>
      <c r="R10" s="11">
        <f>'[1]Demanda TWh'!R10*3.6</f>
        <v>86.008104000000003</v>
      </c>
      <c r="S10" s="11">
        <f>'[1]Demanda TWh'!S10*3.6</f>
        <v>91.521288000000013</v>
      </c>
      <c r="T10" s="11">
        <f>'[1]Demanda TWh'!T10*3.6</f>
        <v>92.148552000000009</v>
      </c>
      <c r="U10" s="12">
        <f>'[1]Demanda TWh'!U10*3.6</f>
        <v>147.01320000000001</v>
      </c>
      <c r="V10" s="11">
        <f>'[1]Demanda TWh'!V10*3.6</f>
        <v>153.80279999999999</v>
      </c>
      <c r="W10" s="11">
        <f>'[1]Demanda TWh'!W10*3.6</f>
        <v>160.97400000000002</v>
      </c>
      <c r="X10" s="11">
        <f>'[1]Demanda TWh'!X10*3.6</f>
        <v>172.45079999999999</v>
      </c>
      <c r="Y10" s="11">
        <f>'[1]Demanda TWh'!Y10*3.6</f>
        <v>184.7484</v>
      </c>
      <c r="Z10" s="11">
        <f>'[1]Demanda TWh'!Z10*3.6</f>
        <v>197.92080000000001</v>
      </c>
      <c r="AA10" s="11">
        <f>'[1]Demanda TWh'!AA10*3.6</f>
        <v>212.03280000000001</v>
      </c>
      <c r="AB10" s="11">
        <f>'[1]Demanda TWh'!AB10*3.6</f>
        <v>225.37799999999999</v>
      </c>
      <c r="AC10" s="11">
        <f>'[1]Demanda TWh'!AC10*3.6</f>
        <v>239.56200000000001</v>
      </c>
      <c r="AD10" s="11">
        <f>'[1]Demanda TWh'!AD10*3.6</f>
        <v>254.63880000000003</v>
      </c>
      <c r="AE10" s="12">
        <f>'[1]Demanda TWh'!AE10*3.6</f>
        <v>259.22229840000006</v>
      </c>
      <c r="AF10" s="11">
        <f>'[1]Demanda TWh'!AF10*3.6</f>
        <v>263.88829977120002</v>
      </c>
      <c r="AG10" s="11">
        <f>'[1]Demanda TWh'!AG10*3.6</f>
        <v>268.63828916708161</v>
      </c>
      <c r="AH10" s="11">
        <f>'[1]Demanda TWh'!AH10*3.6</f>
        <v>273.4737783720891</v>
      </c>
      <c r="AI10" s="11">
        <f>'[1]Demanda TWh'!AI10*3.6</f>
        <v>278.39630638278669</v>
      </c>
      <c r="AJ10" s="11">
        <f>'[1]Demanda TWh'!AJ10*3.6</f>
        <v>283.40743989767691</v>
      </c>
      <c r="AK10" s="11">
        <f>'[1]Demanda TWh'!AK10*3.6</f>
        <v>288.50877381583513</v>
      </c>
      <c r="AL10" s="11">
        <f>'[1]Demanda TWh'!AL10*3.6</f>
        <v>293.70193174452015</v>
      </c>
      <c r="AM10" s="11">
        <f>'[1]Demanda TWh'!AM10*3.6</f>
        <v>298.98856651592149</v>
      </c>
      <c r="AN10" s="11">
        <f>'[1]Demanda TWh'!AN10*3.6</f>
        <v>304.37036071320807</v>
      </c>
      <c r="AO10" s="11">
        <f>'[1]Demanda TWh'!AO10*3.6</f>
        <v>309.84902720604583</v>
      </c>
      <c r="AP10" s="11">
        <f>'[1]Demanda TWh'!AP10*3.6</f>
        <v>315.42630969575464</v>
      </c>
      <c r="AQ10" s="11">
        <f>'[1]Demanda TWh'!AQ10*3.6</f>
        <v>321.10398327027826</v>
      </c>
      <c r="AR10" s="11">
        <f>'[1]Demanda TWh'!AR10*3.6</f>
        <v>326.88385496914327</v>
      </c>
      <c r="AS10" s="11">
        <f>'[1]Demanda TWh'!AS10*3.6</f>
        <v>332.76776435858784</v>
      </c>
      <c r="AT10" s="11">
        <f>'[1]Demanda TWh'!AT10*3.6</f>
        <v>338.75758411704243</v>
      </c>
    </row>
    <row r="11" spans="1:46" x14ac:dyDescent="0.25">
      <c r="A11" s="2" t="s">
        <v>8</v>
      </c>
      <c r="B11" s="13">
        <f>'[1]Demanda TWh'!B11*3.6</f>
        <v>22.006800000000002</v>
      </c>
      <c r="C11" s="13">
        <f>'[1]Demanda TWh'!C11*3.6</f>
        <v>23.520960000000002</v>
      </c>
      <c r="D11" s="13">
        <f>'[1]Demanda TWh'!D11*3.6</f>
        <v>23.148</v>
      </c>
      <c r="E11" s="13">
        <f>'[1]Demanda TWh'!E11*3.6</f>
        <v>24.035399999999999</v>
      </c>
      <c r="F11" s="13">
        <f>'[1]Demanda TWh'!F11*3.6</f>
        <v>24.67332</v>
      </c>
      <c r="G11" s="13">
        <f>'[1]Demanda TWh'!G11*3.6</f>
        <v>25.506360000000004</v>
      </c>
      <c r="H11" s="13">
        <f>'[1]Demanda TWh'!H11*3.6</f>
        <v>26.330039999999997</v>
      </c>
      <c r="I11" s="13">
        <f>'[1]Demanda TWh'!I11*3.6</f>
        <v>26.801279999999998</v>
      </c>
      <c r="J11" s="13">
        <f>'[1]Demanda TWh'!J11*3.6</f>
        <v>27.938880000000001</v>
      </c>
      <c r="K11" s="13">
        <f>'[1]Demanda TWh'!K11*3.6</f>
        <v>29.466720000000002</v>
      </c>
      <c r="L11" s="13">
        <f>'[1]Demanda TWh'!L11*3.6</f>
        <v>30.886560000000003</v>
      </c>
      <c r="M11" s="13">
        <f>'[1]Demanda TWh'!M11*3.6</f>
        <v>31.417200000000001</v>
      </c>
      <c r="N11" s="13">
        <f>'[1]Demanda TWh'!N11*3.6</f>
        <v>33.861600000000003</v>
      </c>
      <c r="O11" s="13">
        <f>'[1]Demanda TWh'!O11*3.6</f>
        <v>33.46694712332112</v>
      </c>
      <c r="P11" s="13">
        <f>'[1]Demanda TWh'!P11*3.6</f>
        <v>30.439923610204239</v>
      </c>
      <c r="Q11" s="13">
        <f>'[1]Demanda TWh'!Q11*3.6</f>
        <v>39.071196</v>
      </c>
      <c r="R11" s="13">
        <f>'[1]Demanda TWh'!R11*3.6</f>
        <v>41.086224000000001</v>
      </c>
      <c r="S11" s="13">
        <f>'[1]Demanda TWh'!S11*3.6</f>
        <v>50.798124000000001</v>
      </c>
      <c r="T11" s="13">
        <f>'[1]Demanda TWh'!T11*3.6</f>
        <v>49.045679999999997</v>
      </c>
      <c r="U11" s="14">
        <f>'[1]Demanda TWh'!U11*3.6</f>
        <v>48.387096000000007</v>
      </c>
      <c r="V11" s="13">
        <f>'[1]Demanda TWh'!V11*3.6</f>
        <v>47.612879999999997</v>
      </c>
      <c r="W11" s="13">
        <f>'[1]Demanda TWh'!W11*3.6</f>
        <v>50.709672000000005</v>
      </c>
      <c r="X11" s="13">
        <f>'[1]Demanda TWh'!X11*3.6</f>
        <v>51.483851999999999</v>
      </c>
      <c r="Y11" s="13">
        <f>'[1]Demanda TWh'!Y11*3.6</f>
        <v>53.806428000000004</v>
      </c>
      <c r="Z11" s="13">
        <f>'[1]Demanda TWh'!Z11*3.6</f>
        <v>56.516112</v>
      </c>
      <c r="AA11" s="13">
        <f>'[1]Demanda TWh'!AA11*3.6</f>
        <v>57.290292000000001</v>
      </c>
      <c r="AB11" s="13">
        <f>'[1]Demanda TWh'!AB11*3.6</f>
        <v>58.838687999999998</v>
      </c>
      <c r="AC11" s="13">
        <f>'[1]Demanda TWh'!AC11*3.6</f>
        <v>59.999976000000004</v>
      </c>
      <c r="AD11" s="13">
        <f>'[1]Demanda TWh'!AD11*3.6</f>
        <v>61.935479999999998</v>
      </c>
      <c r="AE11" s="14">
        <f>'[1]Demanda TWh'!AE11*3.6</f>
        <v>63.63870570000001</v>
      </c>
      <c r="AF11" s="13">
        <f>'[1]Demanda TWh'!AF11*3.6</f>
        <v>65.388770106750016</v>
      </c>
      <c r="AG11" s="13">
        <f>'[1]Demanda TWh'!AG11*3.6</f>
        <v>67.186961284685637</v>
      </c>
      <c r="AH11" s="13">
        <f>'[1]Demanda TWh'!AH11*3.6</f>
        <v>69.034602720014504</v>
      </c>
      <c r="AI11" s="13">
        <f>'[1]Demanda TWh'!AI11*3.6</f>
        <v>70.933054294814909</v>
      </c>
      <c r="AJ11" s="13">
        <f>'[1]Demanda TWh'!AJ11*3.6</f>
        <v>72.883713287922333</v>
      </c>
      <c r="AK11" s="13">
        <f>'[1]Demanda TWh'!AK11*3.6</f>
        <v>74.888015403340205</v>
      </c>
      <c r="AL11" s="13">
        <f>'[1]Demanda TWh'!AL11*3.6</f>
        <v>76.947435826932065</v>
      </c>
      <c r="AM11" s="13">
        <f>'[1]Demanda TWh'!AM11*3.6</f>
        <v>79.063490312172704</v>
      </c>
      <c r="AN11" s="13">
        <f>'[1]Demanda TWh'!AN11*3.6</f>
        <v>81.237736295757458</v>
      </c>
      <c r="AO11" s="13">
        <f>'[1]Demanda TWh'!AO11*3.6</f>
        <v>83.47177404389079</v>
      </c>
      <c r="AP11" s="13">
        <f>'[1]Demanda TWh'!AP11*3.6</f>
        <v>85.767247830097801</v>
      </c>
      <c r="AQ11" s="13">
        <f>'[1]Demanda TWh'!AQ11*3.6</f>
        <v>88.125847145425496</v>
      </c>
      <c r="AR11" s="13">
        <f>'[1]Demanda TWh'!AR11*3.6</f>
        <v>90.549307941924695</v>
      </c>
      <c r="AS11" s="13">
        <f>'[1]Demanda TWh'!AS11*3.6</f>
        <v>93.039413910327639</v>
      </c>
      <c r="AT11" s="13">
        <f>'[1]Demanda TWh'!AT11*3.6</f>
        <v>95.597997792861648</v>
      </c>
    </row>
    <row r="12" spans="1:46" x14ac:dyDescent="0.25">
      <c r="A12" s="10" t="s">
        <v>9</v>
      </c>
      <c r="B12" s="11">
        <f>'[1]Demanda TWh'!B12*3.6</f>
        <v>16.240320000000001</v>
      </c>
      <c r="C12" s="11">
        <f>'[1]Demanda TWh'!C12*3.6</f>
        <v>17.92548</v>
      </c>
      <c r="D12" s="11">
        <f>'[1]Demanda TWh'!D12*3.6</f>
        <v>18.816120000000002</v>
      </c>
      <c r="E12" s="11">
        <f>'[1]Demanda TWh'!E12*3.6</f>
        <v>18.294119999999999</v>
      </c>
      <c r="F12" s="11">
        <f>'[1]Demanda TWh'!F12*3.6</f>
        <v>18.439560000000004</v>
      </c>
      <c r="G12" s="11">
        <f>'[1]Demanda TWh'!G12*3.6</f>
        <v>18.842039999999997</v>
      </c>
      <c r="H12" s="11">
        <f>'[1]Demanda TWh'!H12*3.6</f>
        <v>19.112400000000001</v>
      </c>
      <c r="I12" s="11">
        <f>'[1]Demanda TWh'!I12*3.6</f>
        <v>19.637280000000004</v>
      </c>
      <c r="J12" s="11">
        <f>'[1]Demanda TWh'!J12*3.6</f>
        <v>20.00412</v>
      </c>
      <c r="K12" s="11">
        <f>'[1]Demanda TWh'!K12*3.6</f>
        <v>20.92212</v>
      </c>
      <c r="L12" s="11">
        <f>'[1]Demanda TWh'!L12*3.6</f>
        <v>21.259439999999998</v>
      </c>
      <c r="M12" s="11">
        <f>'[1]Demanda TWh'!M12*3.6</f>
        <v>22.234680000000001</v>
      </c>
      <c r="N12" s="11">
        <f>'[1]Demanda TWh'!N12*3.6</f>
        <v>22.285047600000002</v>
      </c>
      <c r="O12" s="11">
        <f>'[1]Demanda TWh'!O12*3.6</f>
        <v>22.879944395999999</v>
      </c>
      <c r="P12" s="11">
        <f>'[1]Demanda TWh'!P12*3.6</f>
        <v>19.818216000000003</v>
      </c>
      <c r="Q12" s="11">
        <f>'[1]Demanda TWh'!Q12*3.6</f>
        <v>23.690953439999998</v>
      </c>
      <c r="R12" s="11">
        <f>'[1]Demanda TWh'!R12*3.6</f>
        <v>22.96608372</v>
      </c>
      <c r="S12" s="11">
        <f>'[1]Demanda TWh'!S12*3.6</f>
        <v>23.759749079999999</v>
      </c>
      <c r="T12" s="11">
        <f>'[1]Demanda TWh'!T12*3.6</f>
        <v>25.569362160000001</v>
      </c>
      <c r="U12" s="12">
        <f>'[1]Demanda TWh'!U12*3.6</f>
        <v>44.648099999999999</v>
      </c>
      <c r="V12" s="11">
        <f>'[1]Demanda TWh'!V12*3.6</f>
        <v>46.229148000000002</v>
      </c>
      <c r="W12" s="11">
        <f>'[1]Demanda TWh'!W12*3.6</f>
        <v>47.953655999999995</v>
      </c>
      <c r="X12" s="11">
        <f>'[1]Demanda TWh'!X12*3.6</f>
        <v>49.800564000000001</v>
      </c>
      <c r="Y12" s="11">
        <f>'[1]Demanda TWh'!Y12*3.6</f>
        <v>51.681744000000002</v>
      </c>
      <c r="Z12" s="11">
        <f>'[1]Demanda TWh'!Z12*3.6</f>
        <v>53.706491999999997</v>
      </c>
      <c r="AA12" s="11">
        <f>'[1]Demanda TWh'!AA12*3.6</f>
        <v>55.870163999999995</v>
      </c>
      <c r="AB12" s="11">
        <f>'[1]Demanda TWh'!AB12*3.6</f>
        <v>58.181183999999995</v>
      </c>
      <c r="AC12" s="11">
        <f>'[1]Demanda TWh'!AC12*3.6</f>
        <v>60.661944000000013</v>
      </c>
      <c r="AD12" s="11">
        <f>'[1]Demanda TWh'!AD12*3.6</f>
        <v>63.375336000000004</v>
      </c>
      <c r="AE12" s="12">
        <f>'[1]Demanda TWh'!AE12*3.6</f>
        <v>66.273479999999992</v>
      </c>
      <c r="AF12" s="11">
        <f>'[1]Demanda TWh'!AF12*3.6</f>
        <v>67.950199044000001</v>
      </c>
      <c r="AG12" s="11">
        <f>'[1]Demanda TWh'!AG12*3.6</f>
        <v>69.669339079813199</v>
      </c>
      <c r="AH12" s="11">
        <f>'[1]Demanda TWh'!AH12*3.6</f>
        <v>71.431973358532474</v>
      </c>
      <c r="AI12" s="11">
        <f>'[1]Demanda TWh'!AI12*3.6</f>
        <v>73.239202284503349</v>
      </c>
      <c r="AJ12" s="11">
        <f>'[1]Demanda TWh'!AJ12*3.6</f>
        <v>75.092154102301294</v>
      </c>
      <c r="AK12" s="11">
        <f>'[1]Demanda TWh'!AK12*3.6</f>
        <v>76.991985601089524</v>
      </c>
      <c r="AL12" s="11">
        <f>'[1]Demanda TWh'!AL12*3.6</f>
        <v>78.939882836797096</v>
      </c>
      <c r="AM12" s="11">
        <f>'[1]Demanda TWh'!AM12*3.6</f>
        <v>80.937061872568066</v>
      </c>
      <c r="AN12" s="11">
        <f>'[1]Demanda TWh'!AN12*3.6</f>
        <v>82.984769537944061</v>
      </c>
      <c r="AO12" s="11">
        <f>'[1]Demanda TWh'!AO12*3.6</f>
        <v>85.084284207254044</v>
      </c>
      <c r="AP12" s="11">
        <f>'[1]Demanda TWh'!AP12*3.6</f>
        <v>87.236916597697586</v>
      </c>
      <c r="AQ12" s="11">
        <f>'[1]Demanda TWh'!AQ12*3.6</f>
        <v>89.444010587619346</v>
      </c>
      <c r="AR12" s="11">
        <f>'[1]Demanda TWh'!AR12*3.6</f>
        <v>91.706944055486133</v>
      </c>
      <c r="AS12" s="11">
        <f>'[1]Demanda TWh'!AS12*3.6</f>
        <v>94.027129740089947</v>
      </c>
      <c r="AT12" s="11">
        <f>'[1]Demanda TWh'!AT12*3.6</f>
        <v>96.406016122514231</v>
      </c>
    </row>
    <row r="13" spans="1:46" x14ac:dyDescent="0.25">
      <c r="A13" s="2" t="s">
        <v>10</v>
      </c>
      <c r="B13" s="13">
        <f>'[1]Demanda TWh'!B13*3.6</f>
        <v>631.3356</v>
      </c>
      <c r="C13" s="13">
        <f>'[1]Demanda TWh'!C13*3.6</f>
        <v>649.6884</v>
      </c>
      <c r="D13" s="13">
        <f>'[1]Demanda TWh'!D13*3.6</f>
        <v>662.08680000000004</v>
      </c>
      <c r="E13" s="13">
        <f>'[1]Demanda TWh'!E13*3.6</f>
        <v>653.274</v>
      </c>
      <c r="F13" s="13">
        <f>'[1]Demanda TWh'!F13*3.6</f>
        <v>671.9004000000001</v>
      </c>
      <c r="G13" s="13">
        <f>'[1]Demanda TWh'!G13*3.6</f>
        <v>723.40560000000005</v>
      </c>
      <c r="H13" s="13">
        <f>'[1]Demanda TWh'!H13*3.6</f>
        <v>743.32799999999997</v>
      </c>
      <c r="I13" s="13">
        <f>'[1]Demanda TWh'!I13*3.6</f>
        <v>742.06796405040006</v>
      </c>
      <c r="J13" s="13">
        <f>'[1]Demanda TWh'!J13*3.6</f>
        <v>748.85040000000004</v>
      </c>
      <c r="K13" s="13">
        <f>'[1]Demanda TWh'!K13*3.6</f>
        <v>763.92</v>
      </c>
      <c r="L13" s="13">
        <f>'[1]Demanda TWh'!L13*3.6</f>
        <v>785.05920000000003</v>
      </c>
      <c r="M13" s="13">
        <f>'[1]Demanda TWh'!M13*3.6</f>
        <v>721.1844000000001</v>
      </c>
      <c r="N13" s="13">
        <f>'[1]Demanda TWh'!N13*3.6</f>
        <v>785.09879999999998</v>
      </c>
      <c r="O13" s="13">
        <f>'[1]Demanda TWh'!O13*3.6</f>
        <v>989.69759999999997</v>
      </c>
      <c r="P13" s="13">
        <f>'[1]Demanda TWh'!P13*3.6</f>
        <v>958.20364800000004</v>
      </c>
      <c r="Q13" s="13">
        <f>'[1]Demanda TWh'!Q13*3.6</f>
        <v>998.12879999999996</v>
      </c>
      <c r="R13" s="13">
        <f>'[1]Demanda TWh'!R13*3.6</f>
        <v>1039.2732000000001</v>
      </c>
      <c r="S13" s="13">
        <f>'[1]Demanda TWh'!S13*3.6</f>
        <v>1074.9564</v>
      </c>
      <c r="T13" s="13">
        <f>'[1]Demanda TWh'!T13*3.6</f>
        <v>1115.5410761594196</v>
      </c>
      <c r="U13" s="14">
        <f>'[1]Demanda TWh'!U13*3.6</f>
        <v>1348.0739999999998</v>
      </c>
      <c r="V13" s="13">
        <f>'[1]Demanda TWh'!V13*3.6</f>
        <v>1378.7603999999999</v>
      </c>
      <c r="W13" s="13">
        <f>'[1]Demanda TWh'!W13*3.6</f>
        <v>1408.8815999999999</v>
      </c>
      <c r="X13" s="13">
        <f>'[1]Demanda TWh'!X13*3.6</f>
        <v>1440.0072</v>
      </c>
      <c r="Y13" s="13">
        <f>'[1]Demanda TWh'!Y13*3.6</f>
        <v>1471.7844</v>
      </c>
      <c r="Z13" s="13">
        <f>'[1]Demanda TWh'!Z13*3.6</f>
        <v>1504.7028</v>
      </c>
      <c r="AA13" s="13">
        <f>'[1]Demanda TWh'!AA13*3.6</f>
        <v>1538.2440000000001</v>
      </c>
      <c r="AB13" s="13">
        <f>'[1]Demanda TWh'!AB13*3.6</f>
        <v>1573.4052000000001</v>
      </c>
      <c r="AC13" s="13">
        <f>'[1]Demanda TWh'!AC13*3.6</f>
        <v>1609.5456000000001</v>
      </c>
      <c r="AD13" s="13">
        <f>'[1]Demanda TWh'!AD13*3.6</f>
        <v>1647.7128</v>
      </c>
      <c r="AE13" s="14">
        <f>'[1]Demanda TWh'!AE13*3.6</f>
        <v>1687.1795999999999</v>
      </c>
      <c r="AF13" s="13">
        <f>'[1]Demanda TWh'!AF13*3.6</f>
        <v>1728.5111999999999</v>
      </c>
      <c r="AG13" s="13">
        <f>'[1]Demanda TWh'!AG13*3.6</f>
        <v>1771.0524</v>
      </c>
      <c r="AH13" s="13">
        <f>'[1]Demanda TWh'!AH13*3.6</f>
        <v>1815.336</v>
      </c>
      <c r="AI13" s="13">
        <f>'[1]Demanda TWh'!AI13*3.6</f>
        <v>1837.8461663999999</v>
      </c>
      <c r="AJ13" s="13">
        <f>'[1]Demanda TWh'!AJ13*3.6</f>
        <v>1860.6354588633599</v>
      </c>
      <c r="AK13" s="13">
        <f>'[1]Demanda TWh'!AK13*3.6</f>
        <v>1883.7073385532653</v>
      </c>
      <c r="AL13" s="13">
        <f>'[1]Demanda TWh'!AL13*3.6</f>
        <v>1907.0653095513258</v>
      </c>
      <c r="AM13" s="13">
        <f>'[1]Demanda TWh'!AM13*3.6</f>
        <v>1930.7129193897622</v>
      </c>
      <c r="AN13" s="13">
        <f>'[1]Demanda TWh'!AN13*3.6</f>
        <v>1954.6537595901952</v>
      </c>
      <c r="AO13" s="13">
        <f>'[1]Demanda TWh'!AO13*3.6</f>
        <v>1978.8914662091133</v>
      </c>
      <c r="AP13" s="13">
        <f>'[1]Demanda TWh'!AP13*3.6</f>
        <v>2003.4297203901065</v>
      </c>
      <c r="AQ13" s="13">
        <f>'[1]Demanda TWh'!AQ13*3.6</f>
        <v>2028.2722489229438</v>
      </c>
      <c r="AR13" s="13">
        <f>'[1]Demanda TWh'!AR13*3.6</f>
        <v>2053.4228248095883</v>
      </c>
      <c r="AS13" s="13">
        <f>'[1]Demanda TWh'!AS13*3.6</f>
        <v>2078.8852678372268</v>
      </c>
      <c r="AT13" s="13">
        <f>'[1]Demanda TWh'!AT13*3.6</f>
        <v>2104.6634451584082</v>
      </c>
    </row>
    <row r="14" spans="1:46" x14ac:dyDescent="0.25">
      <c r="A14" s="10" t="s">
        <v>11</v>
      </c>
      <c r="B14" s="11">
        <f>'[1]Demanda TWh'!B14*3.6</f>
        <v>17.585999999999999</v>
      </c>
      <c r="C14" s="11">
        <f>'[1]Demanda TWh'!C14*3.6</f>
        <v>18.730800000000002</v>
      </c>
      <c r="D14" s="11">
        <f>'[1]Demanda TWh'!D14*3.6</f>
        <v>19.418400000000002</v>
      </c>
      <c r="E14" s="11">
        <f>'[1]Demanda TWh'!E14*3.6</f>
        <v>20.3688</v>
      </c>
      <c r="F14" s="11">
        <f>'[1]Demanda TWh'!F14*3.6</f>
        <v>21.387599999999999</v>
      </c>
      <c r="G14" s="11">
        <f>'[1]Demanda TWh'!G14*3.6</f>
        <v>22.525199999999998</v>
      </c>
      <c r="H14" s="11">
        <f>'[1]Demanda TWh'!H14*3.6</f>
        <v>24.472799999999999</v>
      </c>
      <c r="I14" s="11">
        <f>'[1]Demanda TWh'!I14*3.6</f>
        <v>25.5456</v>
      </c>
      <c r="J14" s="11">
        <f>'[1]Demanda TWh'!J14*3.6</f>
        <v>26.445600000000002</v>
      </c>
      <c r="K14" s="11">
        <f>'[1]Demanda TWh'!K14*3.6</f>
        <v>28.862856000000001</v>
      </c>
      <c r="L14" s="11">
        <f>'[1]Demanda TWh'!L14*3.6</f>
        <v>29.945592000000001</v>
      </c>
      <c r="M14" s="11">
        <f>'[1]Demanda TWh'!M14*3.6</f>
        <v>30.506832000000003</v>
      </c>
      <c r="N14" s="11">
        <f>'[1]Demanda TWh'!N14*3.6</f>
        <v>30.095532000000002</v>
      </c>
      <c r="O14" s="11">
        <f>'[1]Demanda TWh'!O14*3.6</f>
        <v>30.287844000000007</v>
      </c>
      <c r="P14" s="11">
        <f>'[1]Demanda TWh'!P14*3.6</f>
        <v>29.149092000000003</v>
      </c>
      <c r="Q14" s="11">
        <f>'[1]Demanda TWh'!Q14*3.6</f>
        <v>30.334140000000001</v>
      </c>
      <c r="R14" s="11">
        <f>'[1]Demanda TWh'!R14*3.6</f>
        <v>31.091003999999995</v>
      </c>
      <c r="S14" s="11">
        <f>'[1]Demanda TWh'!S14*3.6</f>
        <v>31.844164241596268</v>
      </c>
      <c r="T14" s="11">
        <f>'[1]Demanda TWh'!T14*3.6</f>
        <v>32.615569321780626</v>
      </c>
      <c r="U14" s="12">
        <f>'[1]Demanda TWh'!U14*3.6</f>
        <v>44.921520000000008</v>
      </c>
      <c r="V14" s="11">
        <f>'[1]Demanda TWh'!V14*3.6</f>
        <v>47.406959999999998</v>
      </c>
      <c r="W14" s="11">
        <f>'[1]Demanda TWh'!W14*3.6</f>
        <v>50.401440000000001</v>
      </c>
      <c r="X14" s="11">
        <f>'[1]Demanda TWh'!X14*3.6</f>
        <v>53.300159999999998</v>
      </c>
      <c r="Y14" s="11">
        <f>'[1]Demanda TWh'!Y14*3.6</f>
        <v>54.783360000000002</v>
      </c>
      <c r="Z14" s="11">
        <f>'[1]Demanda TWh'!Z14*3.6</f>
        <v>57.642120000000006</v>
      </c>
      <c r="AA14" s="11">
        <f>'[1]Demanda TWh'!AA14*3.6</f>
        <v>60.730559999999997</v>
      </c>
      <c r="AB14" s="11">
        <f>'[1]Demanda TWh'!AB14*3.6</f>
        <v>62.290079999999996</v>
      </c>
      <c r="AC14" s="11">
        <f>'[1]Demanda TWh'!AC14*3.6</f>
        <v>65.85047999999999</v>
      </c>
      <c r="AD14" s="11">
        <f>'[1]Demanda TWh'!AD14*3.6</f>
        <v>68.648399999999995</v>
      </c>
      <c r="AE14" s="12">
        <f>'[1]Demanda TWh'!AE14*3.6</f>
        <v>71.049240000000012</v>
      </c>
      <c r="AF14" s="11">
        <f>'[1]Demanda TWh'!AF14*3.6</f>
        <v>73.753559999999993</v>
      </c>
      <c r="AG14" s="11">
        <f>'[1]Demanda TWh'!AG14*3.6</f>
        <v>75.966166799999996</v>
      </c>
      <c r="AH14" s="11">
        <f>'[1]Demanda TWh'!AH14*3.6</f>
        <v>78.245151804000017</v>
      </c>
      <c r="AI14" s="11">
        <f>'[1]Demanda TWh'!AI14*3.6</f>
        <v>80.592506358120019</v>
      </c>
      <c r="AJ14" s="11">
        <f>'[1]Demanda TWh'!AJ14*3.6</f>
        <v>83.010281548863631</v>
      </c>
      <c r="AK14" s="11">
        <f>'[1]Demanda TWh'!AK14*3.6</f>
        <v>85.500589995329534</v>
      </c>
      <c r="AL14" s="11">
        <f>'[1]Demanda TWh'!AL14*3.6</f>
        <v>88.065607695189428</v>
      </c>
      <c r="AM14" s="11">
        <f>'[1]Demanda TWh'!AM14*3.6</f>
        <v>90.707575926045109</v>
      </c>
      <c r="AN14" s="11">
        <f>'[1]Demanda TWh'!AN14*3.6</f>
        <v>93.428803203826476</v>
      </c>
      <c r="AO14" s="11">
        <f>'[1]Demanda TWh'!AO14*3.6</f>
        <v>96.231667299941265</v>
      </c>
      <c r="AP14" s="11">
        <f>'[1]Demanda TWh'!AP14*3.6</f>
        <v>99.118617318939513</v>
      </c>
      <c r="AQ14" s="11">
        <f>'[1]Demanda TWh'!AQ14*3.6</f>
        <v>102.0921758385077</v>
      </c>
      <c r="AR14" s="11">
        <f>'[1]Demanda TWh'!AR14*3.6</f>
        <v>105.15494111366293</v>
      </c>
      <c r="AS14" s="11">
        <f>'[1]Demanda TWh'!AS14*3.6</f>
        <v>108.30958934707282</v>
      </c>
      <c r="AT14" s="11">
        <f>'[1]Demanda TWh'!AT14*3.6</f>
        <v>111.55887702748501</v>
      </c>
    </row>
    <row r="15" spans="1:46" x14ac:dyDescent="0.25">
      <c r="A15" s="2" t="s">
        <v>12</v>
      </c>
      <c r="B15" s="13">
        <f>'[1]Demanda TWh'!B15*3.6</f>
        <v>27.726526800000002</v>
      </c>
      <c r="C15" s="13">
        <f>'[1]Demanda TWh'!C15*3.6</f>
        <v>29.877739200000001</v>
      </c>
      <c r="D15" s="13">
        <f>'[1]Demanda TWh'!D15*3.6</f>
        <v>32.000367600000004</v>
      </c>
      <c r="E15" s="13">
        <f>'[1]Demanda TWh'!E15*3.6</f>
        <v>34.3144116</v>
      </c>
      <c r="F15" s="13">
        <f>'[1]Demanda TWh'!F15*3.6</f>
        <v>36.713786399999996</v>
      </c>
      <c r="G15" s="13">
        <f>'[1]Demanda TWh'!G15*3.6</f>
        <v>39.6743904</v>
      </c>
      <c r="H15" s="13">
        <f>'[1]Demanda TWh'!H15*3.6</f>
        <v>43.480547999999999</v>
      </c>
      <c r="I15" s="13">
        <f>'[1]Demanda TWh'!I15*3.6</f>
        <v>45.090575999999999</v>
      </c>
      <c r="J15" s="13">
        <f>'[1]Demanda TWh'!J15*3.6</f>
        <v>48.424957200000001</v>
      </c>
      <c r="K15" s="13">
        <f>'[1]Demanda TWh'!K15*3.6</f>
        <v>51.076439999999998</v>
      </c>
      <c r="L15" s="13">
        <f>'[1]Demanda TWh'!L15*3.6</f>
        <v>53.457631200000002</v>
      </c>
      <c r="M15" s="13">
        <f>'[1]Demanda TWh'!M15*3.6</f>
        <v>56.075878799999998</v>
      </c>
      <c r="N15" s="13">
        <f>'[1]Demanda TWh'!N15*3.6</f>
        <v>59.6842848</v>
      </c>
      <c r="O15" s="13">
        <f>'[1]Demanda TWh'!O15*3.6</f>
        <v>62.355301200000007</v>
      </c>
      <c r="P15" s="13">
        <f>'[1]Demanda TWh'!P15*3.6</f>
        <v>64.646690399999997</v>
      </c>
      <c r="Q15" s="13">
        <f>'[1]Demanda TWh'!Q15*3.6</f>
        <v>66.906968399999997</v>
      </c>
      <c r="R15" s="13">
        <f>'[1]Demanda TWh'!R15*3.6</f>
        <v>70.689427199999997</v>
      </c>
      <c r="S15" s="13">
        <f>'[1]Demanda TWh'!S15*3.6</f>
        <v>79.487499600000007</v>
      </c>
      <c r="T15" s="13">
        <f>'[1]Demanda TWh'!T15*3.6</f>
        <v>94.114800000000002</v>
      </c>
      <c r="U15" s="14">
        <f>'[1]Demanda TWh'!U15*3.6</f>
        <v>94.701599999999999</v>
      </c>
      <c r="V15" s="13">
        <f>'[1]Demanda TWh'!V15*3.6</f>
        <v>101.27160000000001</v>
      </c>
      <c r="W15" s="13">
        <f>'[1]Demanda TWh'!W15*3.6</f>
        <v>108.10079999999999</v>
      </c>
      <c r="X15" s="13">
        <f>'[1]Demanda TWh'!X15*3.6</f>
        <v>115.36919999999999</v>
      </c>
      <c r="Y15" s="13">
        <f>'[1]Demanda TWh'!Y15*3.6</f>
        <v>123.15240000000001</v>
      </c>
      <c r="Z15" s="13">
        <f>'[1]Demanda TWh'!Z15*3.6</f>
        <v>131.63040000000001</v>
      </c>
      <c r="AA15" s="13">
        <f>'[1]Demanda TWh'!AA15*3.6</f>
        <v>136.57680000000002</v>
      </c>
      <c r="AB15" s="13">
        <f>'[1]Demanda TWh'!AB15*3.6</f>
        <v>141.53399999999999</v>
      </c>
      <c r="AC15" s="13">
        <f>'[1]Demanda TWh'!AC15*3.6</f>
        <v>146.50200000000001</v>
      </c>
      <c r="AD15" s="13">
        <f>'[1]Demanda TWh'!AD15*3.6</f>
        <v>151.48439999999999</v>
      </c>
      <c r="AE15" s="14">
        <f>'[1]Demanda TWh'!AE15*3.6</f>
        <v>155.69566632000002</v>
      </c>
      <c r="AF15" s="13">
        <f>'[1]Demanda TWh'!AF15*3.6</f>
        <v>160.02400584369602</v>
      </c>
      <c r="AG15" s="13">
        <f>'[1]Demanda TWh'!AG15*3.6</f>
        <v>164.47267320615077</v>
      </c>
      <c r="AH15" s="13">
        <f>'[1]Demanda TWh'!AH15*3.6</f>
        <v>169.04501352128176</v>
      </c>
      <c r="AI15" s="13">
        <f>'[1]Demanda TWh'!AI15*3.6</f>
        <v>173.7444648971734</v>
      </c>
      <c r="AJ15" s="13">
        <f>'[1]Demanda TWh'!AJ15*3.6</f>
        <v>178.57456102131485</v>
      </c>
      <c r="AK15" s="13">
        <f>'[1]Demanda TWh'!AK15*3.6</f>
        <v>183.5389338177074</v>
      </c>
      <c r="AL15" s="13">
        <f>'[1]Demanda TWh'!AL15*3.6</f>
        <v>188.64131617783966</v>
      </c>
      <c r="AM15" s="13">
        <f>'[1]Demanda TWh'!AM15*3.6</f>
        <v>193.88554476758361</v>
      </c>
      <c r="AN15" s="13">
        <f>'[1]Demanda TWh'!AN15*3.6</f>
        <v>199.27556291212247</v>
      </c>
      <c r="AO15" s="13">
        <f>'[1]Demanda TWh'!AO15*3.6</f>
        <v>204.81542356107948</v>
      </c>
      <c r="AP15" s="13">
        <f>'[1]Demanda TWh'!AP15*3.6</f>
        <v>210.50929233607752</v>
      </c>
      <c r="AQ15" s="13">
        <f>'[1]Demanda TWh'!AQ15*3.6</f>
        <v>216.36145066302046</v>
      </c>
      <c r="AR15" s="13">
        <f>'[1]Demanda TWh'!AR15*3.6</f>
        <v>222.37629899145244</v>
      </c>
      <c r="AS15" s="13">
        <f>'[1]Demanda TWh'!AS15*3.6</f>
        <v>228.55836010341483</v>
      </c>
      <c r="AT15" s="13">
        <f>'[1]Demanda TWh'!AT15*3.6</f>
        <v>234.91228251428976</v>
      </c>
    </row>
    <row r="16" spans="1:46" x14ac:dyDescent="0.25">
      <c r="A16" s="10" t="s">
        <v>13</v>
      </c>
      <c r="B16" s="11">
        <f>'[1]Demanda TWh'!B16*3.6</f>
        <v>80.244</v>
      </c>
      <c r="C16" s="11">
        <f>'[1]Demanda TWh'!C16*3.6</f>
        <v>88.999200000000002</v>
      </c>
      <c r="D16" s="11">
        <f>'[1]Demanda TWh'!D16*3.6</f>
        <v>97.070399999999992</v>
      </c>
      <c r="E16" s="11">
        <f>'[1]Demanda TWh'!E16*3.6</f>
        <v>97.513199999999998</v>
      </c>
      <c r="F16" s="11">
        <f>'[1]Demanda TWh'!F16*3.6</f>
        <v>105.9696</v>
      </c>
      <c r="G16" s="11">
        <f>'[1]Demanda TWh'!G16*3.6</f>
        <v>114.2028</v>
      </c>
      <c r="H16" s="11">
        <f>'[1]Demanda TWh'!H16*3.6</f>
        <v>121.10759999999999</v>
      </c>
      <c r="I16" s="11">
        <f>'[1]Demanda TWh'!I16*3.6</f>
        <v>128.20680000000002</v>
      </c>
      <c r="J16" s="11">
        <f>'[1]Demanda TWh'!J16*3.6</f>
        <v>134.37360000000001</v>
      </c>
      <c r="K16" s="11">
        <f>'[1]Demanda TWh'!K16*3.6</f>
        <v>143.1891</v>
      </c>
      <c r="L16" s="11">
        <f>'[1]Demanda TWh'!L16*3.6</f>
        <v>156.12119999999999</v>
      </c>
      <c r="M16" s="11">
        <f>'[1]Demanda TWh'!M16*3.6</f>
        <v>159.2028</v>
      </c>
      <c r="N16" s="11">
        <f>'[1]Demanda TWh'!N16*3.6</f>
        <v>165.12480000000002</v>
      </c>
      <c r="O16" s="11">
        <f>'[1]Demanda TWh'!O16*3.6</f>
        <v>176.52599999999998</v>
      </c>
      <c r="P16" s="11">
        <f>'[1]Demanda TWh'!P16*3.6</f>
        <v>162.41759999999999</v>
      </c>
      <c r="Q16" s="11">
        <f>'[1]Demanda TWh'!Q16*3.6</f>
        <v>179.48519999999999</v>
      </c>
      <c r="R16" s="11">
        <f>'[1]Demanda TWh'!R16*3.6</f>
        <v>183.78611999999998</v>
      </c>
      <c r="S16" s="11">
        <f>'[1]Demanda TWh'!S16*3.6</f>
        <v>189.38936520000001</v>
      </c>
      <c r="T16" s="11">
        <f>'[1]Demanda TWh'!T16*3.6</f>
        <v>188.64392039999998</v>
      </c>
      <c r="U16" s="12">
        <f>'[1]Demanda TWh'!U16*3.6</f>
        <v>236.18880000000001</v>
      </c>
      <c r="V16" s="11">
        <f>'[1]Demanda TWh'!V16*3.6</f>
        <v>245.94479999999999</v>
      </c>
      <c r="W16" s="11">
        <f>'[1]Demanda TWh'!W16*3.6</f>
        <v>253.98360000000002</v>
      </c>
      <c r="X16" s="11">
        <f>'[1]Demanda TWh'!X16*3.6</f>
        <v>261.83519999999999</v>
      </c>
      <c r="Y16" s="11">
        <f>'[1]Demanda TWh'!Y16*3.6</f>
        <v>270.89639999999997</v>
      </c>
      <c r="Z16" s="11">
        <f>'[1]Demanda TWh'!Z16*3.6</f>
        <v>280.3356</v>
      </c>
      <c r="AA16" s="11">
        <f>'[1]Demanda TWh'!AA16*3.6</f>
        <v>288.46440000000001</v>
      </c>
      <c r="AB16" s="11">
        <f>'[1]Demanda TWh'!AB16*3.6</f>
        <v>298.35719999999998</v>
      </c>
      <c r="AC16" s="11">
        <f>'[1]Demanda TWh'!AC16*3.6</f>
        <v>305.95319999999998</v>
      </c>
      <c r="AD16" s="11">
        <f>'[1]Demanda TWh'!AD16*3.6</f>
        <v>314.23320000000001</v>
      </c>
      <c r="AE16" s="12">
        <f>'[1]Demanda TWh'!AE16*3.6</f>
        <v>321.5736</v>
      </c>
      <c r="AF16" s="11">
        <f>'[1]Demanda TWh'!AF16*3.6</f>
        <v>328.65839999999997</v>
      </c>
      <c r="AG16" s="11">
        <f>'[1]Demanda TWh'!AG16*3.6</f>
        <v>338.51815199999999</v>
      </c>
      <c r="AH16" s="11">
        <f>'[1]Demanda TWh'!AH16*3.6</f>
        <v>348.67369656</v>
      </c>
      <c r="AI16" s="11">
        <f>'[1]Demanda TWh'!AI16*3.6</f>
        <v>359.13390745680005</v>
      </c>
      <c r="AJ16" s="11">
        <f>'[1]Demanda TWh'!AJ16*3.6</f>
        <v>369.90792468050404</v>
      </c>
      <c r="AK16" s="11">
        <f>'[1]Demanda TWh'!AK16*3.6</f>
        <v>381.00516242091919</v>
      </c>
      <c r="AL16" s="11">
        <f>'[1]Demanda TWh'!AL16*3.6</f>
        <v>392.4353172935468</v>
      </c>
      <c r="AM16" s="11">
        <f>'[1]Demanda TWh'!AM16*3.6</f>
        <v>404.20837681235321</v>
      </c>
      <c r="AN16" s="11">
        <f>'[1]Demanda TWh'!AN16*3.6</f>
        <v>416.33462811672382</v>
      </c>
      <c r="AO16" s="11">
        <f>'[1]Demanda TWh'!AO16*3.6</f>
        <v>428.82466696022556</v>
      </c>
      <c r="AP16" s="11">
        <f>'[1]Demanda TWh'!AP16*3.6</f>
        <v>441.68940696903235</v>
      </c>
      <c r="AQ16" s="11">
        <f>'[1]Demanda TWh'!AQ16*3.6</f>
        <v>454.94008917810334</v>
      </c>
      <c r="AR16" s="11">
        <f>'[1]Demanda TWh'!AR16*3.6</f>
        <v>468.58829185344644</v>
      </c>
      <c r="AS16" s="11">
        <f>'[1]Demanda TWh'!AS16*3.6</f>
        <v>482.64594060904989</v>
      </c>
      <c r="AT16" s="11">
        <f>'[1]Demanda TWh'!AT16*3.6</f>
        <v>497.12531882732139</v>
      </c>
    </row>
    <row r="17" spans="1:46" x14ac:dyDescent="0.25">
      <c r="A17" s="2" t="s">
        <v>14</v>
      </c>
      <c r="B17" s="13">
        <f>'[1]Demanda TWh'!B17*3.6</f>
        <v>23.538791375999999</v>
      </c>
      <c r="C17" s="13">
        <f>'[1]Demanda TWh'!C17*3.6</f>
        <v>25.322799236400002</v>
      </c>
      <c r="D17" s="13">
        <f>'[1]Demanda TWh'!D17*3.6</f>
        <v>25.365548088000004</v>
      </c>
      <c r="E17" s="13">
        <f>'[1]Demanda TWh'!E17*3.6</f>
        <v>26.068589136000007</v>
      </c>
      <c r="F17" s="13">
        <f>'[1]Demanda TWh'!F17*3.6</f>
        <v>27.248403358800005</v>
      </c>
      <c r="G17" s="13">
        <f>'[1]Demanda TWh'!G17*3.6</f>
        <v>28.673811385200001</v>
      </c>
      <c r="H17" s="13">
        <f>'[1]Demanda TWh'!H17*3.6</f>
        <v>29.270153455199996</v>
      </c>
      <c r="I17" s="13">
        <f>'[1]Demanda TWh'!I17*3.6</f>
        <v>29.719921090136779</v>
      </c>
      <c r="J17" s="13">
        <f>'[1]Demanda TWh'!J17*3.6</f>
        <v>30.268978919999999</v>
      </c>
      <c r="K17" s="13">
        <f>'[1]Demanda TWh'!K17*3.6</f>
        <v>30.428875439999999</v>
      </c>
      <c r="L17" s="13">
        <f>'[1]Demanda TWh'!L17*3.6</f>
        <v>31.462761959999998</v>
      </c>
      <c r="M17" s="13">
        <f>'[1]Demanda TWh'!M17*3.6</f>
        <v>30.591422639999998</v>
      </c>
      <c r="N17" s="13">
        <f>'[1]Demanda TWh'!N17*3.6</f>
        <v>31.586930640000002</v>
      </c>
      <c r="O17" s="13">
        <f>'[1]Demanda TWh'!O17*3.6</f>
        <v>30.945182040000002</v>
      </c>
      <c r="P17" s="13">
        <f>'[1]Demanda TWh'!P17*3.6</f>
        <v>31.015543320000003</v>
      </c>
      <c r="Q17" s="13">
        <f>'[1]Demanda TWh'!Q17*3.6</f>
        <v>31.617533160000004</v>
      </c>
      <c r="R17" s="13">
        <f>'[1]Demanda TWh'!R17*3.6</f>
        <v>33.409914839999999</v>
      </c>
      <c r="S17" s="13">
        <f>'[1]Demanda TWh'!S17*3.6</f>
        <v>34.782122880000003</v>
      </c>
      <c r="T17" s="13">
        <f>'[1]Demanda TWh'!T17*3.6</f>
        <v>36.251441999999997</v>
      </c>
      <c r="U17" s="14">
        <f>'[1]Demanda TWh'!U17*3.6</f>
        <v>43.549314048000006</v>
      </c>
      <c r="V17" s="13">
        <f>'[1]Demanda TWh'!V17*3.6</f>
        <v>44.09406774</v>
      </c>
      <c r="W17" s="13">
        <f>'[1]Demanda TWh'!W17*3.6</f>
        <v>46.506569904000003</v>
      </c>
      <c r="X17" s="13">
        <f>'[1]Demanda TWh'!X17*3.6</f>
        <v>47.171945700000002</v>
      </c>
      <c r="Y17" s="13">
        <f>'[1]Demanda TWh'!Y17*3.6</f>
        <v>47.626022376000009</v>
      </c>
      <c r="Z17" s="13">
        <f>'[1]Demanda TWh'!Z17*3.6</f>
        <v>48.261062268000003</v>
      </c>
      <c r="AA17" s="13">
        <f>'[1]Demanda TWh'!AA17*3.6</f>
        <v>49.2624</v>
      </c>
      <c r="AB17" s="13">
        <f>'[1]Demanda TWh'!AB17*3.6</f>
        <v>50.284800000000004</v>
      </c>
      <c r="AC17" s="13">
        <f>'[1]Demanda TWh'!AC17*3.6</f>
        <v>51.328800000000001</v>
      </c>
      <c r="AD17" s="13">
        <f>'[1]Demanda TWh'!AD17*3.6</f>
        <v>52.394400000000005</v>
      </c>
      <c r="AE17" s="14">
        <f>'[1]Demanda TWh'!AE17*3.6</f>
        <v>52.944541199999996</v>
      </c>
      <c r="AF17" s="13">
        <f>'[1]Demanda TWh'!AF17*3.6</f>
        <v>53.500458882599993</v>
      </c>
      <c r="AG17" s="13">
        <f>'[1]Demanda TWh'!AG17*3.6</f>
        <v>54.062213700867289</v>
      </c>
      <c r="AH17" s="13">
        <f>'[1]Demanda TWh'!AH17*3.6</f>
        <v>54.629866944726395</v>
      </c>
      <c r="AI17" s="13">
        <f>'[1]Demanda TWh'!AI17*3.6</f>
        <v>55.203480547646024</v>
      </c>
      <c r="AJ17" s="13">
        <f>'[1]Demanda TWh'!AJ17*3.6</f>
        <v>55.783117093396307</v>
      </c>
      <c r="AK17" s="13">
        <f>'[1]Demanda TWh'!AK17*3.6</f>
        <v>56.368839822876964</v>
      </c>
      <c r="AL17" s="13">
        <f>'[1]Demanda TWh'!AL17*3.6</f>
        <v>56.960712641017167</v>
      </c>
      <c r="AM17" s="13">
        <f>'[1]Demanda TWh'!AM17*3.6</f>
        <v>57.558800123747844</v>
      </c>
      <c r="AN17" s="13">
        <f>'[1]Demanda TWh'!AN17*3.6</f>
        <v>58.163167525047193</v>
      </c>
      <c r="AO17" s="13">
        <f>'[1]Demanda TWh'!AO17*3.6</f>
        <v>58.773880784060182</v>
      </c>
      <c r="AP17" s="13">
        <f>'[1]Demanda TWh'!AP17*3.6</f>
        <v>59.391006532292806</v>
      </c>
      <c r="AQ17" s="13">
        <f>'[1]Demanda TWh'!AQ17*3.6</f>
        <v>60.014612100881877</v>
      </c>
      <c r="AR17" s="13">
        <f>'[1]Demanda TWh'!AR17*3.6</f>
        <v>60.644765527941139</v>
      </c>
      <c r="AS17" s="13">
        <f>'[1]Demanda TWh'!AS17*3.6</f>
        <v>61.281535565984512</v>
      </c>
      <c r="AT17" s="13">
        <f>'[1]Demanda TWh'!AT17*3.6</f>
        <v>61.924991689427344</v>
      </c>
    </row>
    <row r="18" spans="1:46" ht="14.25" thickBot="1" x14ac:dyDescent="0.3">
      <c r="A18" s="15" t="s">
        <v>15</v>
      </c>
      <c r="B18" s="16">
        <f>'[1]Demanda TWh'!B18*3.6</f>
        <v>2900.1224381760003</v>
      </c>
      <c r="C18" s="16">
        <f>'[1]Demanda TWh'!C18*3.6</f>
        <v>3050.8465784363993</v>
      </c>
      <c r="D18" s="16">
        <f>'[1]Demanda TWh'!D18*3.6</f>
        <v>3136.7677556880003</v>
      </c>
      <c r="E18" s="16">
        <f>'[1]Demanda TWh'!E18*3.6</f>
        <v>3120.6652871170322</v>
      </c>
      <c r="F18" s="16">
        <f>'[1]Demanda TWh'!F18*3.6</f>
        <v>3305.4775276723567</v>
      </c>
      <c r="G18" s="16">
        <f>'[1]Demanda TWh'!G18*3.6</f>
        <v>3474.9850489172636</v>
      </c>
      <c r="H18" s="16">
        <f>'[1]Demanda TWh'!H18*3.6</f>
        <v>3610.3494716868954</v>
      </c>
      <c r="I18" s="16">
        <f>'[1]Demanda TWh'!I18*3.6</f>
        <v>3703.8239991884484</v>
      </c>
      <c r="J18" s="16">
        <f>'[1]Demanda TWh'!J18*3.6</f>
        <v>3790.5381994367831</v>
      </c>
      <c r="K18" s="16">
        <f>'[1]Demanda TWh'!K18*3.6</f>
        <v>3832.4448092613566</v>
      </c>
      <c r="L18" s="16">
        <f>'[1]Demanda TWh'!L18*3.6</f>
        <v>3869.4846738093515</v>
      </c>
      <c r="M18" s="16">
        <f>'[1]Demanda TWh'!M18*3.6</f>
        <v>3836.0995112666524</v>
      </c>
      <c r="N18" s="16">
        <f>'[1]Demanda TWh'!N18*3.6</f>
        <v>3962.0123950488473</v>
      </c>
      <c r="O18" s="16">
        <f>'[1]Demanda TWh'!O18*3.6</f>
        <v>4209.3338613217657</v>
      </c>
      <c r="P18" s="16">
        <f>'[1]Demanda TWh'!P18*3.6</f>
        <v>4115.0545245545327</v>
      </c>
      <c r="Q18" s="16">
        <f>'[1]Demanda TWh'!Q18*3.6</f>
        <v>4351.1924196062992</v>
      </c>
      <c r="R18" s="16">
        <f>'[1]Demanda TWh'!R18*3.6</f>
        <v>4467.6901789536587</v>
      </c>
      <c r="S18" s="16">
        <f>'[1]Demanda TWh'!S18*3.6</f>
        <v>4635.7408163189639</v>
      </c>
      <c r="T18" s="16">
        <f>'[1]Demanda TWh'!T18*3.6</f>
        <v>4825.8354511711441</v>
      </c>
      <c r="U18" s="17">
        <f>'[1]Demanda TWh'!U18*3.6</f>
        <v>5305.1844300480006</v>
      </c>
      <c r="V18" s="16">
        <f>'[1]Demanda TWh'!V18*3.6</f>
        <v>5491.2606557400004</v>
      </c>
      <c r="W18" s="16">
        <f>'[1]Demanda TWh'!W18*3.6</f>
        <v>5682.6733379039988</v>
      </c>
      <c r="X18" s="16">
        <f>'[1]Demanda TWh'!X18*3.6</f>
        <v>5876.1161216999999</v>
      </c>
      <c r="Y18" s="16">
        <f>'[1]Demanda TWh'!Y18*3.6</f>
        <v>6075.7823543760005</v>
      </c>
      <c r="Z18" s="16">
        <f>'[1]Demanda TWh'!Z18*3.6</f>
        <v>6291.539786268002</v>
      </c>
      <c r="AA18" s="16">
        <f>'[1]Demanda TWh'!AA18*3.6</f>
        <v>6505.621415999999</v>
      </c>
      <c r="AB18" s="16">
        <f>'[1]Demanda TWh'!AB18*3.6</f>
        <v>6731.4431520000016</v>
      </c>
      <c r="AC18" s="16">
        <f>'[1]Demanda TWh'!AC18*3.6</f>
        <v>6960.8232000000007</v>
      </c>
      <c r="AD18" s="16">
        <f>'[1]Demanda TWh'!AD18*3.6</f>
        <v>7197.8744160000006</v>
      </c>
      <c r="AE18" s="17">
        <f>'[1]Demanda TWh'!AE18*3.6</f>
        <v>7335.2761047000013</v>
      </c>
      <c r="AF18" s="16">
        <f>'[1]Demanda TWh'!AF18*3.6</f>
        <v>7474.7900093282115</v>
      </c>
      <c r="AG18" s="16">
        <f>'[1]Demanda TWh'!AG18*3.6</f>
        <v>7619.2773752259927</v>
      </c>
      <c r="AH18" s="16">
        <f>'[1]Demanda TWh'!AH18*3.6</f>
        <v>7767.379617725057</v>
      </c>
      <c r="AI18" s="16">
        <f>'[1]Demanda TWh'!AI18*3.6</f>
        <v>7895.6184608217181</v>
      </c>
      <c r="AJ18" s="16">
        <f>'[1]Demanda TWh'!AJ18*3.6</f>
        <v>8026.0957702401211</v>
      </c>
      <c r="AK18" s="16">
        <f>'[1]Demanda TWh'!AK18*3.6</f>
        <v>8159.5637488855464</v>
      </c>
      <c r="AL18" s="16">
        <f>'[1]Demanda TWh'!AL18*3.6</f>
        <v>8295.4657576913287</v>
      </c>
      <c r="AM18" s="16">
        <f>'[1]Demanda TWh'!AM18*3.6</f>
        <v>8433.8510663084508</v>
      </c>
      <c r="AN18" s="16">
        <f>'[1]Demanda TWh'!AN18*3.6</f>
        <v>8574.7700479410505</v>
      </c>
      <c r="AO18" s="16">
        <f>'[1]Demanda TWh'!AO18*3.6</f>
        <v>8718.2742062319048</v>
      </c>
      <c r="AP18" s="16">
        <f>'[1]Demanda TWh'!AP18*3.6</f>
        <v>8864.4162028443625</v>
      </c>
      <c r="AQ18" s="16">
        <f>'[1]Demanda TWh'!AQ18*3.6</f>
        <v>9013.2498857595838</v>
      </c>
      <c r="AR18" s="16">
        <f>'[1]Demanda TWh'!AR18*3.6</f>
        <v>9164.8303183083299</v>
      </c>
      <c r="AS18" s="16">
        <f>'[1]Demanda TWh'!AS18*3.6</f>
        <v>9319.2138089572472</v>
      </c>
      <c r="AT18" s="16">
        <f>'[1]Demanda TWh'!AT18*3.6</f>
        <v>9476.457941869985</v>
      </c>
    </row>
    <row r="19" spans="1:46" ht="14.25" thickTop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7B46-1FF3-4A87-925A-B935DADF5354}">
  <dimension ref="A1:AH26"/>
  <sheetViews>
    <sheetView topLeftCell="L1" workbookViewId="0">
      <selection activeCell="AH4" sqref="AH4"/>
    </sheetView>
  </sheetViews>
  <sheetFormatPr defaultRowHeight="15" x14ac:dyDescent="0.25"/>
  <cols>
    <col min="6" max="7" width="18.140625" bestFit="1" customWidth="1"/>
  </cols>
  <sheetData>
    <row r="1" spans="1:34" x14ac:dyDescent="0.25">
      <c r="A1" t="s">
        <v>152</v>
      </c>
      <c r="B1" t="s">
        <v>0</v>
      </c>
      <c r="C1" t="s">
        <v>153</v>
      </c>
      <c r="D1" t="s">
        <v>95</v>
      </c>
      <c r="E1" t="s">
        <v>160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</row>
    <row r="2" spans="1:34" x14ac:dyDescent="0.25">
      <c r="A2" t="s">
        <v>55</v>
      </c>
      <c r="B2" t="s">
        <v>1</v>
      </c>
      <c r="C2" t="s">
        <v>127</v>
      </c>
      <c r="D2" t="s">
        <v>126</v>
      </c>
      <c r="E2" t="s">
        <v>161</v>
      </c>
      <c r="F2">
        <v>2.25</v>
      </c>
      <c r="G2">
        <v>1.7</v>
      </c>
      <c r="H2">
        <v>572.79999999999995</v>
      </c>
      <c r="I2">
        <v>595.66</v>
      </c>
      <c r="J2">
        <v>619.25</v>
      </c>
      <c r="K2">
        <v>643.61</v>
      </c>
      <c r="L2">
        <v>668.75</v>
      </c>
      <c r="M2">
        <v>694.69</v>
      </c>
      <c r="N2">
        <v>721.46</v>
      </c>
      <c r="O2">
        <v>749.09</v>
      </c>
      <c r="P2">
        <v>777.59</v>
      </c>
      <c r="Q2">
        <v>806.99</v>
      </c>
      <c r="R2">
        <v>837.33</v>
      </c>
      <c r="S2">
        <v>868.62</v>
      </c>
      <c r="T2">
        <v>907.06</v>
      </c>
      <c r="U2">
        <v>946.55</v>
      </c>
      <c r="V2">
        <v>987.13</v>
      </c>
      <c r="W2">
        <v>1028.81</v>
      </c>
      <c r="X2">
        <v>1071.6199999999999</v>
      </c>
      <c r="Y2">
        <v>1115.5899999999999</v>
      </c>
      <c r="Z2">
        <v>1160.75</v>
      </c>
      <c r="AA2">
        <v>1207.1199999999999</v>
      </c>
      <c r="AB2">
        <v>1254.73</v>
      </c>
      <c r="AC2">
        <v>1303.6099999999999</v>
      </c>
      <c r="AD2">
        <v>1353.79</v>
      </c>
      <c r="AE2">
        <v>1405.3</v>
      </c>
      <c r="AF2">
        <v>1458.17</v>
      </c>
      <c r="AG2">
        <v>1512.43</v>
      </c>
      <c r="AH2">
        <v>1568.11</v>
      </c>
    </row>
    <row r="3" spans="1:34" x14ac:dyDescent="0.25">
      <c r="A3" t="s">
        <v>59</v>
      </c>
      <c r="B3" t="s">
        <v>2</v>
      </c>
      <c r="C3" t="s">
        <v>134</v>
      </c>
      <c r="D3" t="s">
        <v>126</v>
      </c>
      <c r="E3" t="s">
        <v>161</v>
      </c>
      <c r="F3">
        <v>3.6</v>
      </c>
      <c r="G3">
        <v>2.78</v>
      </c>
      <c r="H3">
        <v>42.43</v>
      </c>
      <c r="I3">
        <v>44.71</v>
      </c>
      <c r="J3">
        <v>47.09</v>
      </c>
      <c r="K3">
        <v>49.59</v>
      </c>
      <c r="L3">
        <v>52.21</v>
      </c>
      <c r="M3">
        <v>54.95</v>
      </c>
      <c r="N3">
        <v>57.82</v>
      </c>
      <c r="O3">
        <v>60.82</v>
      </c>
      <c r="P3">
        <v>63.97</v>
      </c>
      <c r="Q3">
        <v>67.27</v>
      </c>
      <c r="R3">
        <v>70.72</v>
      </c>
      <c r="S3">
        <v>74.33</v>
      </c>
      <c r="T3">
        <v>78.44</v>
      </c>
      <c r="U3">
        <v>82.73</v>
      </c>
      <c r="V3">
        <v>87.19</v>
      </c>
      <c r="W3">
        <v>91.84</v>
      </c>
      <c r="X3">
        <v>96.67</v>
      </c>
      <c r="Y3">
        <v>101.71</v>
      </c>
      <c r="Z3">
        <v>106.95</v>
      </c>
      <c r="AA3">
        <v>112.4</v>
      </c>
      <c r="AB3">
        <v>118.08</v>
      </c>
      <c r="AC3">
        <v>123.98</v>
      </c>
      <c r="AD3">
        <v>130.12</v>
      </c>
      <c r="AE3">
        <v>136.5</v>
      </c>
      <c r="AF3">
        <v>143.13999999999999</v>
      </c>
      <c r="AG3">
        <v>150.05000000000001</v>
      </c>
      <c r="AH3">
        <v>157.22</v>
      </c>
    </row>
    <row r="4" spans="1:34" x14ac:dyDescent="0.25">
      <c r="A4" t="s">
        <v>61</v>
      </c>
      <c r="B4" t="s">
        <v>3</v>
      </c>
      <c r="C4" t="s">
        <v>125</v>
      </c>
      <c r="D4" t="s">
        <v>126</v>
      </c>
      <c r="E4" t="s">
        <v>161</v>
      </c>
      <c r="F4">
        <v>2.0499999999999998</v>
      </c>
      <c r="G4">
        <v>1.53</v>
      </c>
      <c r="H4">
        <v>2293.1999999999998</v>
      </c>
      <c r="I4">
        <v>2374.59</v>
      </c>
      <c r="J4">
        <v>2458.36</v>
      </c>
      <c r="K4">
        <v>2544.56</v>
      </c>
      <c r="L4">
        <v>2633.26</v>
      </c>
      <c r="M4">
        <v>2724.53</v>
      </c>
      <c r="N4">
        <v>2818.44</v>
      </c>
      <c r="O4">
        <v>2915.05</v>
      </c>
      <c r="P4">
        <v>3014.44</v>
      </c>
      <c r="Q4">
        <v>3116.67</v>
      </c>
      <c r="R4">
        <v>3221.84</v>
      </c>
      <c r="S4">
        <v>3330</v>
      </c>
      <c r="T4">
        <v>3458.25</v>
      </c>
      <c r="U4">
        <v>3589.65</v>
      </c>
      <c r="V4">
        <v>3724.26</v>
      </c>
      <c r="W4">
        <v>3862.15</v>
      </c>
      <c r="X4">
        <v>4003.39</v>
      </c>
      <c r="Y4">
        <v>4148.04</v>
      </c>
      <c r="Z4">
        <v>4296.1899999999996</v>
      </c>
      <c r="AA4">
        <v>4447.8900000000003</v>
      </c>
      <c r="AB4">
        <v>4603.2299999999996</v>
      </c>
      <c r="AC4">
        <v>4762.29</v>
      </c>
      <c r="AD4">
        <v>4925.13</v>
      </c>
      <c r="AE4">
        <v>5091.84</v>
      </c>
      <c r="AF4">
        <v>5262.5</v>
      </c>
      <c r="AG4">
        <v>5437.2</v>
      </c>
      <c r="AH4">
        <v>5616</v>
      </c>
    </row>
    <row r="5" spans="1:34" x14ac:dyDescent="0.25">
      <c r="A5" t="s">
        <v>63</v>
      </c>
      <c r="B5" t="s">
        <v>149</v>
      </c>
      <c r="C5" t="s">
        <v>150</v>
      </c>
      <c r="D5" t="s">
        <v>146</v>
      </c>
      <c r="E5" t="s">
        <v>161</v>
      </c>
      <c r="F5">
        <v>1.2</v>
      </c>
      <c r="G5">
        <v>0.7</v>
      </c>
      <c r="H5">
        <v>4.24</v>
      </c>
      <c r="I5">
        <v>4.37</v>
      </c>
      <c r="J5">
        <v>4.49</v>
      </c>
      <c r="K5">
        <v>4.62</v>
      </c>
      <c r="L5">
        <v>4.75</v>
      </c>
      <c r="M5">
        <v>4.8899999999999997</v>
      </c>
      <c r="N5">
        <v>5.0199999999999996</v>
      </c>
      <c r="O5">
        <v>5.16</v>
      </c>
      <c r="P5">
        <v>5.3</v>
      </c>
      <c r="Q5">
        <v>5.45</v>
      </c>
      <c r="R5">
        <v>5.59</v>
      </c>
      <c r="S5">
        <v>5.74</v>
      </c>
      <c r="T5">
        <v>5.94</v>
      </c>
      <c r="U5">
        <v>6.14</v>
      </c>
      <c r="V5">
        <v>6.34</v>
      </c>
      <c r="W5">
        <v>6.54</v>
      </c>
      <c r="X5">
        <v>6.74</v>
      </c>
      <c r="Y5">
        <v>6.95</v>
      </c>
      <c r="Z5">
        <v>7.16</v>
      </c>
      <c r="AA5">
        <v>7.38</v>
      </c>
      <c r="AB5">
        <v>7.59</v>
      </c>
      <c r="AC5">
        <v>7.81</v>
      </c>
      <c r="AD5">
        <v>8.0299999999999994</v>
      </c>
      <c r="AE5">
        <v>8.25</v>
      </c>
      <c r="AF5">
        <v>8.48</v>
      </c>
      <c r="AG5">
        <v>8.7100000000000009</v>
      </c>
      <c r="AH5">
        <v>8.94</v>
      </c>
    </row>
    <row r="6" spans="1:34" x14ac:dyDescent="0.25">
      <c r="A6" t="s">
        <v>65</v>
      </c>
      <c r="B6" t="s">
        <v>4</v>
      </c>
      <c r="C6" t="s">
        <v>128</v>
      </c>
      <c r="D6" t="s">
        <v>126</v>
      </c>
      <c r="E6" t="s">
        <v>161</v>
      </c>
      <c r="F6">
        <v>1.7</v>
      </c>
      <c r="G6">
        <v>1.1299999999999999</v>
      </c>
      <c r="H6">
        <v>347.92</v>
      </c>
      <c r="I6">
        <v>359.86</v>
      </c>
      <c r="J6">
        <v>372.1</v>
      </c>
      <c r="K6">
        <v>384.66</v>
      </c>
      <c r="L6">
        <v>397.53</v>
      </c>
      <c r="M6">
        <v>410.73</v>
      </c>
      <c r="N6">
        <v>424.27</v>
      </c>
      <c r="O6">
        <v>438.14</v>
      </c>
      <c r="P6">
        <v>452.37</v>
      </c>
      <c r="Q6">
        <v>466.95</v>
      </c>
      <c r="R6">
        <v>481.9</v>
      </c>
      <c r="S6">
        <v>497.22</v>
      </c>
      <c r="T6">
        <v>516.30999999999995</v>
      </c>
      <c r="U6">
        <v>535.77</v>
      </c>
      <c r="V6">
        <v>555.6</v>
      </c>
      <c r="W6">
        <v>575.82000000000005</v>
      </c>
      <c r="X6">
        <v>596.41999999999996</v>
      </c>
      <c r="Y6">
        <v>617.41</v>
      </c>
      <c r="Z6">
        <v>638.79999999999995</v>
      </c>
      <c r="AA6">
        <v>660.6</v>
      </c>
      <c r="AB6">
        <v>682.8</v>
      </c>
      <c r="AC6">
        <v>705.43</v>
      </c>
      <c r="AD6">
        <v>728.48</v>
      </c>
      <c r="AE6">
        <v>751.95</v>
      </c>
      <c r="AF6">
        <v>775.87</v>
      </c>
      <c r="AG6">
        <v>800.23</v>
      </c>
      <c r="AH6">
        <v>825.04</v>
      </c>
    </row>
    <row r="7" spans="1:34" x14ac:dyDescent="0.25">
      <c r="A7" t="s">
        <v>67</v>
      </c>
      <c r="B7" t="s">
        <v>5</v>
      </c>
      <c r="C7" t="s">
        <v>129</v>
      </c>
      <c r="D7" t="s">
        <v>126</v>
      </c>
      <c r="E7" t="s">
        <v>161</v>
      </c>
      <c r="F7">
        <v>3.36</v>
      </c>
      <c r="G7">
        <v>2.57</v>
      </c>
      <c r="H7">
        <v>318.22000000000003</v>
      </c>
      <c r="I7">
        <v>334.51</v>
      </c>
      <c r="J7">
        <v>351.54</v>
      </c>
      <c r="K7">
        <v>369.33</v>
      </c>
      <c r="L7">
        <v>387.92</v>
      </c>
      <c r="M7">
        <v>407.35</v>
      </c>
      <c r="N7">
        <v>427.64</v>
      </c>
      <c r="O7">
        <v>448.83</v>
      </c>
      <c r="P7">
        <v>470.97</v>
      </c>
      <c r="Q7">
        <v>494.08</v>
      </c>
      <c r="R7">
        <v>518.22</v>
      </c>
      <c r="S7">
        <v>543.41999999999996</v>
      </c>
      <c r="T7">
        <v>572.33000000000004</v>
      </c>
      <c r="U7">
        <v>602.36</v>
      </c>
      <c r="V7">
        <v>633.54999999999995</v>
      </c>
      <c r="W7">
        <v>665.95</v>
      </c>
      <c r="X7">
        <v>699.6</v>
      </c>
      <c r="Y7">
        <v>734.53</v>
      </c>
      <c r="Z7">
        <v>770.8</v>
      </c>
      <c r="AA7">
        <v>808.45</v>
      </c>
      <c r="AB7">
        <v>847.53</v>
      </c>
      <c r="AC7">
        <v>888.08</v>
      </c>
      <c r="AD7">
        <v>930.15</v>
      </c>
      <c r="AE7">
        <v>973.8</v>
      </c>
      <c r="AF7">
        <v>1019.08</v>
      </c>
      <c r="AG7">
        <v>1066.04</v>
      </c>
      <c r="AH7">
        <v>1114.75</v>
      </c>
    </row>
    <row r="8" spans="1:34" x14ac:dyDescent="0.25">
      <c r="A8" t="s">
        <v>69</v>
      </c>
      <c r="B8" t="s">
        <v>6</v>
      </c>
      <c r="C8" t="s">
        <v>138</v>
      </c>
      <c r="D8" t="s">
        <v>154</v>
      </c>
      <c r="E8" t="s">
        <v>161</v>
      </c>
      <c r="F8">
        <v>2.85</v>
      </c>
      <c r="G8">
        <v>2.13</v>
      </c>
      <c r="H8">
        <v>50.92</v>
      </c>
      <c r="I8">
        <v>53.26</v>
      </c>
      <c r="J8">
        <v>55.69</v>
      </c>
      <c r="K8">
        <v>58.22</v>
      </c>
      <c r="L8">
        <v>60.85</v>
      </c>
      <c r="M8">
        <v>63.58</v>
      </c>
      <c r="N8">
        <v>66.42</v>
      </c>
      <c r="O8">
        <v>69.37</v>
      </c>
      <c r="P8">
        <v>72.430000000000007</v>
      </c>
      <c r="Q8">
        <v>75.61</v>
      </c>
      <c r="R8">
        <v>78.91</v>
      </c>
      <c r="S8">
        <v>82.34</v>
      </c>
      <c r="T8">
        <v>86.35</v>
      </c>
      <c r="U8">
        <v>90.49</v>
      </c>
      <c r="V8">
        <v>94.77</v>
      </c>
      <c r="W8">
        <v>99.19</v>
      </c>
      <c r="X8">
        <v>103.75</v>
      </c>
      <c r="Y8">
        <v>108.47</v>
      </c>
      <c r="Z8">
        <v>113.33</v>
      </c>
      <c r="AA8">
        <v>118.36</v>
      </c>
      <c r="AB8">
        <v>123.55</v>
      </c>
      <c r="AC8">
        <v>128.91</v>
      </c>
      <c r="AD8">
        <v>134.43</v>
      </c>
      <c r="AE8">
        <v>140.13999999999999</v>
      </c>
      <c r="AF8">
        <v>146.02000000000001</v>
      </c>
      <c r="AG8">
        <v>152.1</v>
      </c>
      <c r="AH8">
        <v>158.37</v>
      </c>
    </row>
    <row r="9" spans="1:34" x14ac:dyDescent="0.25">
      <c r="A9" t="s">
        <v>71</v>
      </c>
      <c r="B9" t="s">
        <v>144</v>
      </c>
      <c r="C9" t="s">
        <v>145</v>
      </c>
      <c r="D9" t="s">
        <v>146</v>
      </c>
      <c r="E9" t="s">
        <v>161</v>
      </c>
      <c r="F9">
        <v>4.2</v>
      </c>
      <c r="G9">
        <v>3.15</v>
      </c>
      <c r="H9">
        <v>84.86</v>
      </c>
      <c r="I9">
        <v>89.93</v>
      </c>
      <c r="J9">
        <v>95.27</v>
      </c>
      <c r="K9">
        <v>100.91</v>
      </c>
      <c r="L9">
        <v>106.85</v>
      </c>
      <c r="M9">
        <v>113.11</v>
      </c>
      <c r="N9">
        <v>119.71</v>
      </c>
      <c r="O9">
        <v>126.67</v>
      </c>
      <c r="P9">
        <v>133.99</v>
      </c>
      <c r="Q9">
        <v>141.71</v>
      </c>
      <c r="R9">
        <v>149.84</v>
      </c>
      <c r="S9">
        <v>158.41</v>
      </c>
      <c r="T9">
        <v>167.78</v>
      </c>
      <c r="U9">
        <v>177.58</v>
      </c>
      <c r="V9">
        <v>187.83</v>
      </c>
      <c r="W9">
        <v>198.55</v>
      </c>
      <c r="X9">
        <v>209.76</v>
      </c>
      <c r="Y9">
        <v>221.48</v>
      </c>
      <c r="Z9">
        <v>233.73</v>
      </c>
      <c r="AA9">
        <v>246.54</v>
      </c>
      <c r="AB9">
        <v>259.91000000000003</v>
      </c>
      <c r="AC9">
        <v>273.89</v>
      </c>
      <c r="AD9">
        <v>288.49</v>
      </c>
      <c r="AE9">
        <v>303.73</v>
      </c>
      <c r="AF9">
        <v>319.64999999999998</v>
      </c>
      <c r="AG9">
        <v>336.28</v>
      </c>
      <c r="AH9">
        <v>353.63</v>
      </c>
    </row>
    <row r="10" spans="1:34" x14ac:dyDescent="0.25">
      <c r="A10" t="s">
        <v>73</v>
      </c>
      <c r="B10" t="s">
        <v>7</v>
      </c>
      <c r="C10" t="s">
        <v>131</v>
      </c>
      <c r="D10" t="s">
        <v>126</v>
      </c>
      <c r="E10" t="s">
        <v>161</v>
      </c>
      <c r="F10">
        <v>2.5</v>
      </c>
      <c r="G10">
        <v>1.8</v>
      </c>
      <c r="H10">
        <v>118.8</v>
      </c>
      <c r="I10">
        <v>123.85</v>
      </c>
      <c r="J10">
        <v>129.07</v>
      </c>
      <c r="K10">
        <v>134.47</v>
      </c>
      <c r="L10">
        <v>140.06</v>
      </c>
      <c r="M10">
        <v>145.85</v>
      </c>
      <c r="N10">
        <v>151.84</v>
      </c>
      <c r="O10">
        <v>158.04</v>
      </c>
      <c r="P10">
        <v>164.46</v>
      </c>
      <c r="Q10">
        <v>171.1</v>
      </c>
      <c r="R10">
        <v>177.96</v>
      </c>
      <c r="S10">
        <v>185.06</v>
      </c>
      <c r="T10">
        <v>193.44</v>
      </c>
      <c r="U10">
        <v>202.06</v>
      </c>
      <c r="V10">
        <v>210.93</v>
      </c>
      <c r="W10">
        <v>220.06</v>
      </c>
      <c r="X10">
        <v>229.44</v>
      </c>
      <c r="Y10">
        <v>239.09</v>
      </c>
      <c r="Z10">
        <v>249.01</v>
      </c>
      <c r="AA10">
        <v>259.20999999999998</v>
      </c>
      <c r="AB10">
        <v>269.7</v>
      </c>
      <c r="AC10">
        <v>280.48</v>
      </c>
      <c r="AD10">
        <v>291.57</v>
      </c>
      <c r="AE10">
        <v>302.95999999999998</v>
      </c>
      <c r="AF10">
        <v>314.66000000000003</v>
      </c>
      <c r="AG10">
        <v>326.69</v>
      </c>
      <c r="AH10">
        <v>339.06</v>
      </c>
    </row>
    <row r="11" spans="1:34" x14ac:dyDescent="0.25">
      <c r="A11" t="s">
        <v>75</v>
      </c>
      <c r="B11" t="s">
        <v>8</v>
      </c>
      <c r="C11" t="s">
        <v>136</v>
      </c>
      <c r="D11" t="s">
        <v>154</v>
      </c>
      <c r="E11" t="s">
        <v>161</v>
      </c>
      <c r="F11">
        <v>3.9</v>
      </c>
      <c r="G11">
        <v>2.75</v>
      </c>
      <c r="H11">
        <v>59.4</v>
      </c>
      <c r="I11">
        <v>62.77</v>
      </c>
      <c r="J11">
        <v>66.31</v>
      </c>
      <c r="K11">
        <v>70.03</v>
      </c>
      <c r="L11">
        <v>73.94</v>
      </c>
      <c r="M11">
        <v>78.05</v>
      </c>
      <c r="N11">
        <v>82.36</v>
      </c>
      <c r="O11">
        <v>86.89</v>
      </c>
      <c r="P11">
        <v>91.66</v>
      </c>
      <c r="Q11">
        <v>96.66</v>
      </c>
      <c r="R11">
        <v>101.91</v>
      </c>
      <c r="S11">
        <v>107.42</v>
      </c>
      <c r="T11">
        <v>113.34</v>
      </c>
      <c r="U11">
        <v>119.49</v>
      </c>
      <c r="V11">
        <v>125.9</v>
      </c>
      <c r="W11">
        <v>132.57</v>
      </c>
      <c r="X11">
        <v>139.51</v>
      </c>
      <c r="Y11">
        <v>146.74</v>
      </c>
      <c r="Z11">
        <v>154.25</v>
      </c>
      <c r="AA11">
        <v>162.07</v>
      </c>
      <c r="AB11">
        <v>170.2</v>
      </c>
      <c r="AC11">
        <v>178.66</v>
      </c>
      <c r="AD11">
        <v>187.45</v>
      </c>
      <c r="AE11">
        <v>196.59</v>
      </c>
      <c r="AF11">
        <v>206.1</v>
      </c>
      <c r="AG11">
        <v>215.97</v>
      </c>
      <c r="AH11">
        <v>226.23</v>
      </c>
    </row>
    <row r="12" spans="1:34" x14ac:dyDescent="0.25">
      <c r="A12" t="s">
        <v>77</v>
      </c>
      <c r="B12" t="s">
        <v>9</v>
      </c>
      <c r="C12" t="s">
        <v>139</v>
      </c>
      <c r="D12" t="s">
        <v>154</v>
      </c>
      <c r="E12" t="s">
        <v>161</v>
      </c>
      <c r="F12">
        <v>3.5</v>
      </c>
      <c r="G12">
        <v>2.5299999999999998</v>
      </c>
      <c r="H12">
        <v>38.19</v>
      </c>
      <c r="I12">
        <v>40.200000000000003</v>
      </c>
      <c r="J12">
        <v>42.3</v>
      </c>
      <c r="K12">
        <v>44.5</v>
      </c>
      <c r="L12">
        <v>46.8</v>
      </c>
      <c r="M12">
        <v>49.21</v>
      </c>
      <c r="N12">
        <v>51.73</v>
      </c>
      <c r="O12">
        <v>54.37</v>
      </c>
      <c r="P12">
        <v>57.13</v>
      </c>
      <c r="Q12">
        <v>60.02</v>
      </c>
      <c r="R12">
        <v>63.03</v>
      </c>
      <c r="S12">
        <v>66.19</v>
      </c>
      <c r="T12">
        <v>69.680000000000007</v>
      </c>
      <c r="U12">
        <v>73.31</v>
      </c>
      <c r="V12">
        <v>77.08</v>
      </c>
      <c r="W12">
        <v>80.989999999999995</v>
      </c>
      <c r="X12">
        <v>85.04</v>
      </c>
      <c r="Y12">
        <v>89.26</v>
      </c>
      <c r="Z12">
        <v>93.63</v>
      </c>
      <c r="AA12">
        <v>98.16</v>
      </c>
      <c r="AB12">
        <v>102.87</v>
      </c>
      <c r="AC12">
        <v>107.75</v>
      </c>
      <c r="AD12">
        <v>112.81</v>
      </c>
      <c r="AE12">
        <v>118.06</v>
      </c>
      <c r="AF12">
        <v>123.5</v>
      </c>
      <c r="AG12">
        <v>129.13999999999999</v>
      </c>
      <c r="AH12">
        <v>134.97999999999999</v>
      </c>
    </row>
    <row r="13" spans="1:34" x14ac:dyDescent="0.25">
      <c r="A13" t="s">
        <v>79</v>
      </c>
      <c r="B13" t="s">
        <v>10</v>
      </c>
      <c r="C13" t="s">
        <v>135</v>
      </c>
      <c r="D13" t="s">
        <v>10</v>
      </c>
      <c r="E13" t="s">
        <v>161</v>
      </c>
      <c r="F13">
        <v>2.57</v>
      </c>
      <c r="G13">
        <v>1.61</v>
      </c>
      <c r="H13">
        <v>1241.42</v>
      </c>
      <c r="I13">
        <v>1273.32</v>
      </c>
      <c r="J13">
        <v>1306.05</v>
      </c>
      <c r="K13">
        <v>1339.61</v>
      </c>
      <c r="L13">
        <v>1374.04</v>
      </c>
      <c r="M13">
        <v>1409.36</v>
      </c>
      <c r="N13">
        <v>1445.58</v>
      </c>
      <c r="O13">
        <v>1482.73</v>
      </c>
      <c r="P13">
        <v>1520.83</v>
      </c>
      <c r="Q13">
        <v>1559.92</v>
      </c>
      <c r="R13">
        <v>1600.01</v>
      </c>
      <c r="S13">
        <v>1641.13</v>
      </c>
      <c r="T13">
        <v>1667.55</v>
      </c>
      <c r="U13">
        <v>1694.4</v>
      </c>
      <c r="V13">
        <v>1721.68</v>
      </c>
      <c r="W13">
        <v>1749.4</v>
      </c>
      <c r="X13">
        <v>1777.56</v>
      </c>
      <c r="Y13">
        <v>1806.18</v>
      </c>
      <c r="Z13">
        <v>1835.26</v>
      </c>
      <c r="AA13">
        <v>1864.81</v>
      </c>
      <c r="AB13">
        <v>1894.83</v>
      </c>
      <c r="AC13">
        <v>1925.34</v>
      </c>
      <c r="AD13">
        <v>1956.34</v>
      </c>
      <c r="AE13">
        <v>1987.83</v>
      </c>
      <c r="AF13">
        <v>2019.84</v>
      </c>
      <c r="AG13">
        <v>2052.36</v>
      </c>
      <c r="AH13">
        <v>2085.4</v>
      </c>
    </row>
    <row r="14" spans="1:34" x14ac:dyDescent="0.25">
      <c r="A14" t="s">
        <v>81</v>
      </c>
      <c r="B14" t="s">
        <v>142</v>
      </c>
      <c r="C14" t="s">
        <v>143</v>
      </c>
      <c r="D14" t="s">
        <v>154</v>
      </c>
      <c r="E14" t="s">
        <v>161</v>
      </c>
      <c r="F14">
        <v>3.13</v>
      </c>
      <c r="G14">
        <v>2.2000000000000002</v>
      </c>
      <c r="H14">
        <v>21.21</v>
      </c>
      <c r="I14">
        <v>22.25</v>
      </c>
      <c r="J14">
        <v>23.33</v>
      </c>
      <c r="K14">
        <v>24.46</v>
      </c>
      <c r="L14">
        <v>25.63</v>
      </c>
      <c r="M14">
        <v>26.86</v>
      </c>
      <c r="N14">
        <v>28.13</v>
      </c>
      <c r="O14">
        <v>29.46</v>
      </c>
      <c r="P14">
        <v>30.84</v>
      </c>
      <c r="Q14">
        <v>32.29</v>
      </c>
      <c r="R14">
        <v>33.79</v>
      </c>
      <c r="S14">
        <v>35.35</v>
      </c>
      <c r="T14">
        <v>37.1</v>
      </c>
      <c r="U14">
        <v>38.9</v>
      </c>
      <c r="V14">
        <v>40.770000000000003</v>
      </c>
      <c r="W14">
        <v>42.7</v>
      </c>
      <c r="X14">
        <v>44.7</v>
      </c>
      <c r="Y14">
        <v>46.76</v>
      </c>
      <c r="Z14">
        <v>48.89</v>
      </c>
      <c r="AA14">
        <v>51.09</v>
      </c>
      <c r="AB14">
        <v>53.37</v>
      </c>
      <c r="AC14">
        <v>55.72</v>
      </c>
      <c r="AD14">
        <v>58.15</v>
      </c>
      <c r="AE14">
        <v>60.66</v>
      </c>
      <c r="AF14">
        <v>63.25</v>
      </c>
      <c r="AG14">
        <v>65.930000000000007</v>
      </c>
      <c r="AH14">
        <v>68.69</v>
      </c>
    </row>
    <row r="15" spans="1:34" x14ac:dyDescent="0.25">
      <c r="A15" t="s">
        <v>83</v>
      </c>
      <c r="B15" t="s">
        <v>11</v>
      </c>
      <c r="C15" t="s">
        <v>137</v>
      </c>
      <c r="D15" t="s">
        <v>154</v>
      </c>
      <c r="E15" t="s">
        <v>161</v>
      </c>
      <c r="F15">
        <v>4.03</v>
      </c>
      <c r="G15">
        <v>3</v>
      </c>
      <c r="H15">
        <v>55.16</v>
      </c>
      <c r="I15">
        <v>58.36</v>
      </c>
      <c r="J15">
        <v>61.73</v>
      </c>
      <c r="K15">
        <v>65.27</v>
      </c>
      <c r="L15">
        <v>69</v>
      </c>
      <c r="M15">
        <v>72.930000000000007</v>
      </c>
      <c r="N15">
        <v>77.05</v>
      </c>
      <c r="O15">
        <v>81.400000000000006</v>
      </c>
      <c r="P15">
        <v>85.96</v>
      </c>
      <c r="Q15">
        <v>90.77</v>
      </c>
      <c r="R15">
        <v>95.82</v>
      </c>
      <c r="S15">
        <v>101.13</v>
      </c>
      <c r="T15">
        <v>106.96</v>
      </c>
      <c r="U15">
        <v>113.04</v>
      </c>
      <c r="V15">
        <v>119.39</v>
      </c>
      <c r="W15">
        <v>126.03</v>
      </c>
      <c r="X15">
        <v>132.94999999999999</v>
      </c>
      <c r="Y15">
        <v>140.16999999999999</v>
      </c>
      <c r="Z15">
        <v>147.71</v>
      </c>
      <c r="AA15">
        <v>155.57</v>
      </c>
      <c r="AB15">
        <v>163.78</v>
      </c>
      <c r="AC15">
        <v>172.33</v>
      </c>
      <c r="AD15">
        <v>181.25</v>
      </c>
      <c r="AE15">
        <v>190.56</v>
      </c>
      <c r="AF15">
        <v>200.25</v>
      </c>
      <c r="AG15">
        <v>210.36</v>
      </c>
      <c r="AH15">
        <v>220.89</v>
      </c>
    </row>
    <row r="16" spans="1:34" x14ac:dyDescent="0.25">
      <c r="A16" t="s">
        <v>85</v>
      </c>
      <c r="B16" t="s">
        <v>13</v>
      </c>
      <c r="C16" t="s">
        <v>130</v>
      </c>
      <c r="D16" t="s">
        <v>126</v>
      </c>
      <c r="E16" t="s">
        <v>161</v>
      </c>
      <c r="F16">
        <v>4.03</v>
      </c>
      <c r="G16">
        <v>3</v>
      </c>
      <c r="H16">
        <v>233.36</v>
      </c>
      <c r="I16">
        <v>246.9</v>
      </c>
      <c r="J16">
        <v>261.14999999999998</v>
      </c>
      <c r="K16">
        <v>276.14</v>
      </c>
      <c r="L16">
        <v>291.93</v>
      </c>
      <c r="M16">
        <v>308.52999999999997</v>
      </c>
      <c r="N16">
        <v>326</v>
      </c>
      <c r="O16">
        <v>344.37</v>
      </c>
      <c r="P16">
        <v>363.7</v>
      </c>
      <c r="Q16">
        <v>384.02</v>
      </c>
      <c r="R16">
        <v>405.39</v>
      </c>
      <c r="S16">
        <v>427.87</v>
      </c>
      <c r="T16">
        <v>452.51</v>
      </c>
      <c r="U16">
        <v>478.25</v>
      </c>
      <c r="V16">
        <v>505.13</v>
      </c>
      <c r="W16">
        <v>533.17999999999995</v>
      </c>
      <c r="X16">
        <v>562.47</v>
      </c>
      <c r="Y16">
        <v>593.04</v>
      </c>
      <c r="Z16">
        <v>624.92999999999995</v>
      </c>
      <c r="AA16">
        <v>658.2</v>
      </c>
      <c r="AB16">
        <v>692.91</v>
      </c>
      <c r="AC16">
        <v>729.1</v>
      </c>
      <c r="AD16">
        <v>766.85</v>
      </c>
      <c r="AE16">
        <v>806.2</v>
      </c>
      <c r="AF16">
        <v>847.22</v>
      </c>
      <c r="AG16">
        <v>889.98</v>
      </c>
      <c r="AH16">
        <v>934.54</v>
      </c>
    </row>
    <row r="17" spans="1:34" x14ac:dyDescent="0.25">
      <c r="A17" t="s">
        <v>87</v>
      </c>
      <c r="B17" t="s">
        <v>12</v>
      </c>
      <c r="C17" t="s">
        <v>132</v>
      </c>
      <c r="D17" t="s">
        <v>126</v>
      </c>
      <c r="E17" t="s">
        <v>161</v>
      </c>
      <c r="F17">
        <v>3.6</v>
      </c>
      <c r="G17">
        <v>2.78</v>
      </c>
      <c r="H17">
        <v>67.89</v>
      </c>
      <c r="I17">
        <v>71.53</v>
      </c>
      <c r="J17">
        <v>75.34</v>
      </c>
      <c r="K17">
        <v>79.34</v>
      </c>
      <c r="L17">
        <v>83.53</v>
      </c>
      <c r="M17">
        <v>87.91</v>
      </c>
      <c r="N17">
        <v>92.51</v>
      </c>
      <c r="O17">
        <v>97.32</v>
      </c>
      <c r="P17">
        <v>102.35</v>
      </c>
      <c r="Q17">
        <v>107.63</v>
      </c>
      <c r="R17">
        <v>113.15</v>
      </c>
      <c r="S17">
        <v>118.93</v>
      </c>
      <c r="T17">
        <v>125.51</v>
      </c>
      <c r="U17">
        <v>132.36000000000001</v>
      </c>
      <c r="V17">
        <v>139.5</v>
      </c>
      <c r="W17">
        <v>146.94</v>
      </c>
      <c r="X17">
        <v>154.68</v>
      </c>
      <c r="Y17">
        <v>162.72999999999999</v>
      </c>
      <c r="Z17">
        <v>171.12</v>
      </c>
      <c r="AA17">
        <v>179.85</v>
      </c>
      <c r="AB17">
        <v>188.92</v>
      </c>
      <c r="AC17">
        <v>198.37</v>
      </c>
      <c r="AD17">
        <v>208.19</v>
      </c>
      <c r="AE17">
        <v>218.41</v>
      </c>
      <c r="AF17">
        <v>229.03</v>
      </c>
      <c r="AG17">
        <v>240.08</v>
      </c>
      <c r="AH17">
        <v>251.56</v>
      </c>
    </row>
    <row r="18" spans="1:34" x14ac:dyDescent="0.25">
      <c r="A18" t="s">
        <v>89</v>
      </c>
      <c r="B18" t="s">
        <v>140</v>
      </c>
      <c r="C18" t="s">
        <v>141</v>
      </c>
      <c r="D18" t="s">
        <v>154</v>
      </c>
      <c r="E18" t="s">
        <v>161</v>
      </c>
      <c r="F18">
        <v>2.75</v>
      </c>
      <c r="G18">
        <v>1.9</v>
      </c>
      <c r="H18">
        <v>29.7</v>
      </c>
      <c r="I18">
        <v>31.04</v>
      </c>
      <c r="J18">
        <v>32.42</v>
      </c>
      <c r="K18">
        <v>33.86</v>
      </c>
      <c r="L18">
        <v>35.36</v>
      </c>
      <c r="M18">
        <v>36.909999999999997</v>
      </c>
      <c r="N18">
        <v>38.520000000000003</v>
      </c>
      <c r="O18">
        <v>40.19</v>
      </c>
      <c r="P18">
        <v>41.92</v>
      </c>
      <c r="Q18">
        <v>43.72</v>
      </c>
      <c r="R18">
        <v>45.59</v>
      </c>
      <c r="S18">
        <v>47.52</v>
      </c>
      <c r="T18">
        <v>49.72</v>
      </c>
      <c r="U18">
        <v>51.99</v>
      </c>
      <c r="V18">
        <v>54.33</v>
      </c>
      <c r="W18">
        <v>56.73</v>
      </c>
      <c r="X18">
        <v>59.21</v>
      </c>
      <c r="Y18">
        <v>61.76</v>
      </c>
      <c r="Z18">
        <v>64.38</v>
      </c>
      <c r="AA18">
        <v>67.09</v>
      </c>
      <c r="AB18">
        <v>69.87</v>
      </c>
      <c r="AC18">
        <v>72.739999999999995</v>
      </c>
      <c r="AD18">
        <v>75.680000000000007</v>
      </c>
      <c r="AE18">
        <v>78.72</v>
      </c>
      <c r="AF18">
        <v>81.84</v>
      </c>
      <c r="AG18">
        <v>85.05</v>
      </c>
      <c r="AH18">
        <v>88.36</v>
      </c>
    </row>
    <row r="19" spans="1:34" x14ac:dyDescent="0.25">
      <c r="A19" t="s">
        <v>91</v>
      </c>
      <c r="B19" t="s">
        <v>14</v>
      </c>
      <c r="C19" t="s">
        <v>133</v>
      </c>
      <c r="D19" t="s">
        <v>126</v>
      </c>
      <c r="E19" t="s">
        <v>161</v>
      </c>
      <c r="F19">
        <v>1.6</v>
      </c>
      <c r="G19">
        <v>1.05</v>
      </c>
      <c r="H19">
        <v>50.92</v>
      </c>
      <c r="I19">
        <v>52.61</v>
      </c>
      <c r="J19">
        <v>54.35</v>
      </c>
      <c r="K19">
        <v>56.13</v>
      </c>
      <c r="L19">
        <v>57.95</v>
      </c>
      <c r="M19">
        <v>59.81</v>
      </c>
      <c r="N19">
        <v>61.72</v>
      </c>
      <c r="O19">
        <v>63.68</v>
      </c>
      <c r="P19">
        <v>65.680000000000007</v>
      </c>
      <c r="Q19">
        <v>67.73</v>
      </c>
      <c r="R19">
        <v>69.83</v>
      </c>
      <c r="S19">
        <v>71.98</v>
      </c>
      <c r="T19">
        <v>74.69</v>
      </c>
      <c r="U19">
        <v>77.44</v>
      </c>
      <c r="V19">
        <v>80.239999999999995</v>
      </c>
      <c r="W19">
        <v>83.1</v>
      </c>
      <c r="X19">
        <v>86</v>
      </c>
      <c r="Y19">
        <v>88.96</v>
      </c>
      <c r="Z19">
        <v>91.97</v>
      </c>
      <c r="AA19">
        <v>95.03</v>
      </c>
      <c r="AB19">
        <v>98.15</v>
      </c>
      <c r="AC19">
        <v>101.32</v>
      </c>
      <c r="AD19">
        <v>104.54</v>
      </c>
      <c r="AE19">
        <v>107.83</v>
      </c>
      <c r="AF19">
        <v>111.17</v>
      </c>
      <c r="AG19">
        <v>114.57</v>
      </c>
      <c r="AH19">
        <v>118.03</v>
      </c>
    </row>
    <row r="20" spans="1:34" x14ac:dyDescent="0.25">
      <c r="A20" t="s">
        <v>93</v>
      </c>
      <c r="B20" t="s">
        <v>147</v>
      </c>
      <c r="C20" t="s">
        <v>148</v>
      </c>
      <c r="D20" t="s">
        <v>146</v>
      </c>
      <c r="E20" t="s">
        <v>161</v>
      </c>
      <c r="F20">
        <v>3</v>
      </c>
      <c r="G20">
        <v>1.95</v>
      </c>
      <c r="H20">
        <v>6.36</v>
      </c>
      <c r="I20">
        <v>6.67</v>
      </c>
      <c r="J20">
        <v>6.98</v>
      </c>
      <c r="K20">
        <v>7.31</v>
      </c>
      <c r="L20">
        <v>7.65</v>
      </c>
      <c r="M20">
        <v>8.01</v>
      </c>
      <c r="N20">
        <v>8.3800000000000008</v>
      </c>
      <c r="O20">
        <v>8.76</v>
      </c>
      <c r="P20">
        <v>9.16</v>
      </c>
      <c r="Q20">
        <v>9.58</v>
      </c>
      <c r="R20">
        <v>10.01</v>
      </c>
      <c r="S20">
        <v>10.46</v>
      </c>
      <c r="T20">
        <v>10.95</v>
      </c>
      <c r="U20">
        <v>11.45</v>
      </c>
      <c r="V20">
        <v>11.97</v>
      </c>
      <c r="W20">
        <v>12.51</v>
      </c>
      <c r="X20">
        <v>13.06</v>
      </c>
      <c r="Y20">
        <v>13.63</v>
      </c>
      <c r="Z20">
        <v>14.22</v>
      </c>
      <c r="AA20">
        <v>14.82</v>
      </c>
      <c r="AB20">
        <v>15.45</v>
      </c>
      <c r="AC20">
        <v>16.09</v>
      </c>
      <c r="AD20">
        <v>16.75</v>
      </c>
      <c r="AE20">
        <v>17.43</v>
      </c>
      <c r="AF20">
        <v>18.13</v>
      </c>
      <c r="AG20">
        <v>18.850000000000001</v>
      </c>
      <c r="AH20">
        <v>19.59</v>
      </c>
    </row>
    <row r="22" spans="1:34" x14ac:dyDescent="0.25">
      <c r="B22" t="s">
        <v>162</v>
      </c>
      <c r="C22" t="s">
        <v>125</v>
      </c>
      <c r="D22" t="s">
        <v>155</v>
      </c>
      <c r="E22" t="s">
        <v>161</v>
      </c>
      <c r="H22">
        <v>2293.1999999999998</v>
      </c>
      <c r="I22">
        <v>2374.59</v>
      </c>
      <c r="J22">
        <v>2458.36</v>
      </c>
      <c r="K22">
        <v>2544.56</v>
      </c>
      <c r="L22">
        <v>2633.26</v>
      </c>
      <c r="M22">
        <v>2724.53</v>
      </c>
      <c r="N22">
        <v>2818.44</v>
      </c>
      <c r="O22">
        <v>2915.05</v>
      </c>
      <c r="P22">
        <v>3014.44</v>
      </c>
      <c r="Q22">
        <v>3116.67</v>
      </c>
      <c r="R22">
        <v>3221.84</v>
      </c>
      <c r="S22">
        <v>3330</v>
      </c>
      <c r="T22">
        <v>3458.25</v>
      </c>
      <c r="U22">
        <v>3589.65</v>
      </c>
      <c r="V22">
        <v>3724.26</v>
      </c>
      <c r="W22">
        <v>3862.15</v>
      </c>
      <c r="X22">
        <v>4003.39</v>
      </c>
      <c r="Y22">
        <v>4148.04</v>
      </c>
      <c r="Z22">
        <v>4296.1899999999996</v>
      </c>
      <c r="AA22">
        <v>4447.8900000000003</v>
      </c>
      <c r="AB22">
        <v>4603.2299999999996</v>
      </c>
      <c r="AC22">
        <v>4762.29</v>
      </c>
      <c r="AD22">
        <v>4925.13</v>
      </c>
      <c r="AE22">
        <v>5091.84</v>
      </c>
      <c r="AF22">
        <v>5262.5</v>
      </c>
      <c r="AG22">
        <v>5437.2</v>
      </c>
      <c r="AH22">
        <v>5616</v>
      </c>
    </row>
    <row r="23" spans="1:34" x14ac:dyDescent="0.25">
      <c r="B23" t="s">
        <v>163</v>
      </c>
      <c r="C23" t="s">
        <v>156</v>
      </c>
      <c r="D23" t="s">
        <v>157</v>
      </c>
      <c r="E23" t="s">
        <v>161</v>
      </c>
      <c r="H23">
        <v>2102.4</v>
      </c>
      <c r="I23">
        <v>2198.46</v>
      </c>
      <c r="J23">
        <v>2298.4299999999998</v>
      </c>
      <c r="K23">
        <v>2402.46</v>
      </c>
      <c r="L23">
        <v>2510.71</v>
      </c>
      <c r="M23">
        <v>2623.36</v>
      </c>
      <c r="N23">
        <v>2740.59</v>
      </c>
      <c r="O23">
        <v>2862.57</v>
      </c>
      <c r="P23">
        <v>2989.49</v>
      </c>
      <c r="Q23">
        <v>3121.57</v>
      </c>
      <c r="R23">
        <v>3259</v>
      </c>
      <c r="S23">
        <v>3402</v>
      </c>
      <c r="T23">
        <v>3568.1</v>
      </c>
      <c r="U23">
        <v>3739.92</v>
      </c>
      <c r="V23">
        <v>3917.65</v>
      </c>
      <c r="W23">
        <v>4101.49</v>
      </c>
      <c r="X23">
        <v>4291.63</v>
      </c>
      <c r="Y23">
        <v>4488.28</v>
      </c>
      <c r="Z23">
        <v>4691.6499999999996</v>
      </c>
      <c r="AA23">
        <v>4901.95</v>
      </c>
      <c r="AB23">
        <v>5119.3999999999996</v>
      </c>
      <c r="AC23">
        <v>5344.25</v>
      </c>
      <c r="AD23">
        <v>5576.73</v>
      </c>
      <c r="AE23">
        <v>5817.09</v>
      </c>
      <c r="AF23">
        <v>6065.57</v>
      </c>
      <c r="AG23">
        <v>6322.45</v>
      </c>
      <c r="AH23">
        <v>6588</v>
      </c>
    </row>
    <row r="24" spans="1:34" x14ac:dyDescent="0.25">
      <c r="B24" t="s">
        <v>164</v>
      </c>
      <c r="C24" t="s">
        <v>158</v>
      </c>
      <c r="D24" t="s">
        <v>151</v>
      </c>
      <c r="E24" t="s">
        <v>161</v>
      </c>
      <c r="H24">
        <v>4395.6000000000004</v>
      </c>
      <c r="I24">
        <v>4573.05</v>
      </c>
      <c r="J24">
        <v>4756.78</v>
      </c>
      <c r="K24">
        <v>4947.01</v>
      </c>
      <c r="L24">
        <v>5143.97</v>
      </c>
      <c r="M24">
        <v>5347.89</v>
      </c>
      <c r="N24">
        <v>5559.02</v>
      </c>
      <c r="O24">
        <v>5777.61</v>
      </c>
      <c r="P24">
        <v>6003.93</v>
      </c>
      <c r="Q24">
        <v>6238.24</v>
      </c>
      <c r="R24">
        <v>6480.84</v>
      </c>
      <c r="S24">
        <v>6732</v>
      </c>
      <c r="T24">
        <v>7026.35</v>
      </c>
      <c r="U24">
        <v>7329.57</v>
      </c>
      <c r="V24">
        <v>7641.92</v>
      </c>
      <c r="W24">
        <v>7963.64</v>
      </c>
      <c r="X24">
        <v>8295.02</v>
      </c>
      <c r="Y24">
        <v>8636.32</v>
      </c>
      <c r="Z24">
        <v>8987.83</v>
      </c>
      <c r="AA24">
        <v>9349.84</v>
      </c>
      <c r="AB24">
        <v>9722.64</v>
      </c>
      <c r="AC24">
        <v>10106.540000000001</v>
      </c>
      <c r="AD24">
        <v>10501.86</v>
      </c>
      <c r="AE24">
        <v>10908.93</v>
      </c>
      <c r="AF24">
        <v>11328.08</v>
      </c>
      <c r="AG24">
        <v>11759.65</v>
      </c>
      <c r="AH24">
        <v>12204</v>
      </c>
    </row>
    <row r="25" spans="1:34" x14ac:dyDescent="0.25">
      <c r="B25" t="s">
        <v>165</v>
      </c>
      <c r="C25" t="s">
        <v>166</v>
      </c>
      <c r="D25" t="s">
        <v>167</v>
      </c>
      <c r="E25" t="s">
        <v>161</v>
      </c>
      <c r="H25">
        <v>4395.6000000000004</v>
      </c>
      <c r="S25">
        <v>6732</v>
      </c>
      <c r="AH25">
        <v>12204</v>
      </c>
    </row>
    <row r="26" spans="1:34" x14ac:dyDescent="0.25">
      <c r="B26" t="s">
        <v>168</v>
      </c>
      <c r="C26" t="s">
        <v>159</v>
      </c>
      <c r="D26" t="s">
        <v>151</v>
      </c>
      <c r="E26" t="s">
        <v>161</v>
      </c>
      <c r="H26">
        <v>5637.02</v>
      </c>
      <c r="I26">
        <v>5846.38</v>
      </c>
      <c r="J26">
        <v>6062.83</v>
      </c>
      <c r="K26">
        <v>6286.63</v>
      </c>
      <c r="L26">
        <v>6518.02</v>
      </c>
      <c r="M26">
        <v>6757.25</v>
      </c>
      <c r="N26">
        <v>7004.6</v>
      </c>
      <c r="O26">
        <v>7260.34</v>
      </c>
      <c r="P26">
        <v>7524.76</v>
      </c>
      <c r="Q26">
        <v>7798.16</v>
      </c>
      <c r="R26">
        <v>8080.84</v>
      </c>
      <c r="S26">
        <v>8373.1299999999992</v>
      </c>
      <c r="T26">
        <v>8693.9</v>
      </c>
      <c r="U26">
        <v>9023.9699999999993</v>
      </c>
      <c r="V26">
        <v>9363.59</v>
      </c>
      <c r="W26">
        <v>9713.0400000000009</v>
      </c>
      <c r="X26">
        <v>10072.58</v>
      </c>
      <c r="Y26">
        <v>10442.51</v>
      </c>
      <c r="Z26">
        <v>10823.09</v>
      </c>
      <c r="AA26">
        <v>11214.65</v>
      </c>
      <c r="AB26">
        <v>11617.47</v>
      </c>
      <c r="AC26">
        <v>12031.88</v>
      </c>
      <c r="AD26">
        <v>12458.2</v>
      </c>
      <c r="AE26">
        <v>12896.76</v>
      </c>
      <c r="AF26">
        <v>13347.92</v>
      </c>
      <c r="AG26">
        <v>13812.01</v>
      </c>
      <c r="AH26">
        <v>14289.4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EC44-8C39-4BAE-B63F-A9CA532143F9}">
  <dimension ref="A1:AJ22"/>
  <sheetViews>
    <sheetView workbookViewId="0"/>
  </sheetViews>
  <sheetFormatPr defaultRowHeight="15" x14ac:dyDescent="0.25"/>
  <cols>
    <col min="1" max="1" width="14.5703125" bestFit="1" customWidth="1"/>
    <col min="2" max="2" width="12.5703125" bestFit="1" customWidth="1"/>
    <col min="3" max="3" width="53.42578125" bestFit="1" customWidth="1"/>
    <col min="4" max="4" width="11.140625" bestFit="1" customWidth="1"/>
    <col min="5" max="5" width="11.42578125" bestFit="1" customWidth="1"/>
    <col min="6" max="6" width="10.7109375" bestFit="1" customWidth="1"/>
    <col min="7" max="7" width="16" bestFit="1" customWidth="1"/>
    <col min="8" max="8" width="20.42578125" bestFit="1" customWidth="1"/>
    <col min="9" max="36" width="7.5703125" bestFit="1" customWidth="1"/>
  </cols>
  <sheetData>
    <row r="1" spans="1:36" x14ac:dyDescent="0.25">
      <c r="A1" s="19" t="s">
        <v>18</v>
      </c>
      <c r="B1" s="19" t="s">
        <v>19</v>
      </c>
      <c r="C1" s="19" t="s">
        <v>20</v>
      </c>
      <c r="D1" s="19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>
        <v>2023</v>
      </c>
      <c r="J1" s="19">
        <v>2024</v>
      </c>
      <c r="K1" s="19">
        <v>2025</v>
      </c>
      <c r="L1" s="19">
        <v>2026</v>
      </c>
      <c r="M1" s="19">
        <v>2027</v>
      </c>
      <c r="N1" s="19">
        <v>2028</v>
      </c>
      <c r="O1" s="19">
        <v>2029</v>
      </c>
      <c r="P1" s="19">
        <v>2030</v>
      </c>
      <c r="Q1" s="19">
        <v>2031</v>
      </c>
      <c r="R1" s="19">
        <v>2032</v>
      </c>
      <c r="S1" s="19">
        <v>2033</v>
      </c>
      <c r="T1" s="19">
        <v>2034</v>
      </c>
      <c r="U1" s="19">
        <v>2035</v>
      </c>
      <c r="V1" s="19">
        <v>2036</v>
      </c>
      <c r="W1" s="19">
        <v>2037</v>
      </c>
      <c r="X1" s="19">
        <v>2038</v>
      </c>
      <c r="Y1" s="19">
        <v>2039</v>
      </c>
      <c r="Z1" s="19">
        <v>2040</v>
      </c>
      <c r="AA1" s="19">
        <v>2041</v>
      </c>
      <c r="AB1" s="19">
        <v>2042</v>
      </c>
      <c r="AC1" s="19">
        <v>2043</v>
      </c>
      <c r="AD1" s="19">
        <v>2044</v>
      </c>
      <c r="AE1" s="19">
        <v>2045</v>
      </c>
      <c r="AF1" s="19">
        <v>2046</v>
      </c>
      <c r="AG1" s="19">
        <v>2047</v>
      </c>
      <c r="AH1" s="19">
        <v>2048</v>
      </c>
      <c r="AI1" s="19">
        <v>2049</v>
      </c>
      <c r="AJ1" s="19">
        <v>2050</v>
      </c>
    </row>
    <row r="2" spans="1:36" x14ac:dyDescent="0.25">
      <c r="A2" t="s">
        <v>54</v>
      </c>
      <c r="B2" t="s">
        <v>55</v>
      </c>
      <c r="C2" t="s">
        <v>56</v>
      </c>
      <c r="D2" t="s">
        <v>57</v>
      </c>
      <c r="E2" t="s">
        <v>57</v>
      </c>
      <c r="F2" t="s">
        <v>57</v>
      </c>
      <c r="G2" t="s">
        <v>58</v>
      </c>
      <c r="H2">
        <v>0</v>
      </c>
      <c r="I2" s="20">
        <v>507.18239999999997</v>
      </c>
      <c r="J2" s="20">
        <v>504.81720000000001</v>
      </c>
      <c r="K2" s="20">
        <v>514.79999999999995</v>
      </c>
      <c r="L2" s="20">
        <v>522</v>
      </c>
      <c r="M2" s="20">
        <v>532.79999999999995</v>
      </c>
      <c r="N2" s="20">
        <v>540</v>
      </c>
      <c r="O2" s="20">
        <v>550.79999999999995</v>
      </c>
      <c r="P2" s="20">
        <v>561.6</v>
      </c>
      <c r="Q2" s="20">
        <v>572.4</v>
      </c>
      <c r="R2" s="20">
        <v>583.20000000000005</v>
      </c>
      <c r="S2" s="20">
        <v>594</v>
      </c>
      <c r="T2" s="20">
        <v>604.79999999999995</v>
      </c>
      <c r="U2" s="20">
        <v>615.08159999999998</v>
      </c>
      <c r="V2" s="20">
        <v>625.53798700000004</v>
      </c>
      <c r="W2" s="20">
        <v>636.17213300000003</v>
      </c>
      <c r="X2" s="20">
        <v>646.98705900000004</v>
      </c>
      <c r="Y2" s="20">
        <v>657.98583900000006</v>
      </c>
      <c r="Z2" s="20">
        <v>669.17159900000001</v>
      </c>
      <c r="AA2" s="20">
        <v>680.54751599999997</v>
      </c>
      <c r="AB2" s="20">
        <v>692.11682299999995</v>
      </c>
      <c r="AC2" s="20">
        <v>703.88280899999995</v>
      </c>
      <c r="AD2" s="20">
        <v>715.84881700000005</v>
      </c>
      <c r="AE2" s="20">
        <v>728.01824699999997</v>
      </c>
      <c r="AF2" s="20">
        <v>740.39455699999996</v>
      </c>
      <c r="AG2" s="20">
        <v>752.98126500000001</v>
      </c>
      <c r="AH2" s="20">
        <v>765.78194599999995</v>
      </c>
      <c r="AI2" s="20">
        <v>778.80023900000003</v>
      </c>
      <c r="AJ2" s="20">
        <v>792.03984300000002</v>
      </c>
    </row>
    <row r="3" spans="1:36" x14ac:dyDescent="0.25">
      <c r="A3" t="s">
        <v>54</v>
      </c>
      <c r="B3" t="s">
        <v>59</v>
      </c>
      <c r="C3" t="s">
        <v>60</v>
      </c>
      <c r="D3" t="s">
        <v>57</v>
      </c>
      <c r="E3" t="s">
        <v>57</v>
      </c>
      <c r="F3" t="s">
        <v>57</v>
      </c>
      <c r="G3" t="s">
        <v>58</v>
      </c>
      <c r="H3">
        <v>0</v>
      </c>
      <c r="I3" s="20">
        <v>38.440800000000003</v>
      </c>
      <c r="J3" s="20">
        <v>39.970799999999997</v>
      </c>
      <c r="K3" s="20">
        <v>42.173999999999999</v>
      </c>
      <c r="L3" s="20">
        <v>43.542000000000002</v>
      </c>
      <c r="M3" s="20">
        <v>44.737200000000001</v>
      </c>
      <c r="N3" s="20">
        <v>45.928800000000003</v>
      </c>
      <c r="O3" s="20">
        <v>47.167200000000001</v>
      </c>
      <c r="P3" s="20">
        <v>48.412799999999997</v>
      </c>
      <c r="Q3" s="20">
        <v>49.676400000000001</v>
      </c>
      <c r="R3" s="20">
        <v>50.936399999999999</v>
      </c>
      <c r="S3" s="20">
        <v>52.210799999999999</v>
      </c>
      <c r="T3" s="20">
        <v>53.4816</v>
      </c>
      <c r="U3" s="20">
        <v>54.968387999999997</v>
      </c>
      <c r="V3" s="20">
        <v>56.496510000000001</v>
      </c>
      <c r="W3" s="20">
        <v>58.067112999999999</v>
      </c>
      <c r="X3" s="20">
        <v>59.681378000000002</v>
      </c>
      <c r="Y3" s="20">
        <v>61.340521000000003</v>
      </c>
      <c r="Z3" s="20">
        <v>63.045786999999997</v>
      </c>
      <c r="AA3" s="20">
        <v>64.798460000000006</v>
      </c>
      <c r="AB3" s="20">
        <v>66.599857</v>
      </c>
      <c r="AC3" s="20">
        <v>68.451333000000005</v>
      </c>
      <c r="AD3" s="20">
        <v>70.354280000000003</v>
      </c>
      <c r="AE3" s="20">
        <v>72.310129000000003</v>
      </c>
      <c r="AF3" s="20">
        <v>74.320351000000002</v>
      </c>
      <c r="AG3" s="20">
        <v>76.386456999999993</v>
      </c>
      <c r="AH3" s="20">
        <v>78.510000000000005</v>
      </c>
      <c r="AI3" s="20">
        <v>80.692577999999997</v>
      </c>
      <c r="AJ3" s="20">
        <v>82.935832000000005</v>
      </c>
    </row>
    <row r="4" spans="1:36" x14ac:dyDescent="0.25">
      <c r="A4" t="s">
        <v>54</v>
      </c>
      <c r="B4" t="s">
        <v>61</v>
      </c>
      <c r="C4" t="s">
        <v>62</v>
      </c>
      <c r="D4" t="s">
        <v>57</v>
      </c>
      <c r="E4" t="s">
        <v>57</v>
      </c>
      <c r="F4" t="s">
        <v>57</v>
      </c>
      <c r="G4" t="s">
        <v>58</v>
      </c>
      <c r="H4">
        <v>0</v>
      </c>
      <c r="I4" s="20">
        <v>1898.5211999999999</v>
      </c>
      <c r="J4" s="20">
        <v>2016</v>
      </c>
      <c r="K4" s="20">
        <v>2106</v>
      </c>
      <c r="L4" s="20">
        <v>2203.1999999999998</v>
      </c>
      <c r="M4" s="20">
        <v>2300.4</v>
      </c>
      <c r="N4" s="20">
        <v>2404.8000000000002</v>
      </c>
      <c r="O4" s="20">
        <v>2512.8000000000002</v>
      </c>
      <c r="P4" s="20">
        <v>2624.4</v>
      </c>
      <c r="Q4" s="20">
        <v>2743.2</v>
      </c>
      <c r="R4" s="20">
        <v>2869.2</v>
      </c>
      <c r="S4" s="20">
        <v>2998.8</v>
      </c>
      <c r="T4" s="20">
        <v>3132</v>
      </c>
      <c r="U4" s="20">
        <v>3179.9196000000002</v>
      </c>
      <c r="V4" s="20">
        <v>3228.5723699999999</v>
      </c>
      <c r="W4" s="20">
        <v>3277.9695299999998</v>
      </c>
      <c r="X4" s="20">
        <v>3328.12246</v>
      </c>
      <c r="Y4" s="20">
        <v>3379.0427300000001</v>
      </c>
      <c r="Z4" s="20">
        <v>3430.7420900000002</v>
      </c>
      <c r="AA4" s="20">
        <v>3483.2324400000002</v>
      </c>
      <c r="AB4" s="20">
        <v>3536.5259000000001</v>
      </c>
      <c r="AC4" s="20">
        <v>3590.63474</v>
      </c>
      <c r="AD4" s="20">
        <v>3645.5714600000001</v>
      </c>
      <c r="AE4" s="20">
        <v>3701.3487</v>
      </c>
      <c r="AF4" s="20">
        <v>3757.9793300000001</v>
      </c>
      <c r="AG4" s="20">
        <v>3815.47642</v>
      </c>
      <c r="AH4" s="20">
        <v>3873.8532100000002</v>
      </c>
      <c r="AI4" s="20">
        <v>3933.1231600000001</v>
      </c>
      <c r="AJ4" s="20">
        <v>3993.2999500000001</v>
      </c>
    </row>
    <row r="5" spans="1:36" x14ac:dyDescent="0.25">
      <c r="A5" t="s">
        <v>54</v>
      </c>
      <c r="B5" t="s">
        <v>63</v>
      </c>
      <c r="C5" t="s">
        <v>64</v>
      </c>
      <c r="D5" t="s">
        <v>57</v>
      </c>
      <c r="E5" t="s">
        <v>57</v>
      </c>
      <c r="F5" t="s">
        <v>57</v>
      </c>
      <c r="G5" t="s">
        <v>58</v>
      </c>
      <c r="H5">
        <v>0</v>
      </c>
      <c r="I5" s="20">
        <v>4.1365853658536595</v>
      </c>
      <c r="J5" s="20">
        <v>4.24</v>
      </c>
      <c r="K5" s="20">
        <v>4.37</v>
      </c>
      <c r="L5" s="20">
        <v>4.49</v>
      </c>
      <c r="M5" s="20">
        <v>4.62</v>
      </c>
      <c r="N5" s="20">
        <v>4.75</v>
      </c>
      <c r="O5" s="20">
        <v>4.8899999999999997</v>
      </c>
      <c r="P5" s="20">
        <v>5.0199999999999996</v>
      </c>
      <c r="Q5" s="20">
        <v>5.16</v>
      </c>
      <c r="R5" s="20">
        <v>5.3</v>
      </c>
      <c r="S5" s="20">
        <v>5.45</v>
      </c>
      <c r="T5" s="20">
        <v>5.59</v>
      </c>
      <c r="U5" s="20">
        <v>5.74</v>
      </c>
      <c r="V5" s="20">
        <v>5.94</v>
      </c>
      <c r="W5" s="20">
        <v>6.14</v>
      </c>
      <c r="X5" s="20">
        <v>6.34</v>
      </c>
      <c r="Y5" s="20">
        <v>6.54</v>
      </c>
      <c r="Z5" s="20">
        <v>6.74</v>
      </c>
      <c r="AA5" s="20">
        <v>6.95</v>
      </c>
      <c r="AB5" s="20">
        <v>7.16</v>
      </c>
      <c r="AC5" s="20">
        <v>7.38</v>
      </c>
      <c r="AD5" s="20">
        <v>7.59</v>
      </c>
      <c r="AE5" s="20">
        <v>7.81</v>
      </c>
      <c r="AF5" s="20">
        <v>8.0299999999999994</v>
      </c>
      <c r="AG5" s="20">
        <v>8.25</v>
      </c>
      <c r="AH5" s="20">
        <v>8.48</v>
      </c>
      <c r="AI5" s="20">
        <v>8.7100000000000009</v>
      </c>
      <c r="AJ5" s="20">
        <v>8.94</v>
      </c>
    </row>
    <row r="6" spans="1:36" x14ac:dyDescent="0.25">
      <c r="A6" t="s">
        <v>54</v>
      </c>
      <c r="B6" t="s">
        <v>65</v>
      </c>
      <c r="C6" t="s">
        <v>66</v>
      </c>
      <c r="D6" t="s">
        <v>57</v>
      </c>
      <c r="E6" t="s">
        <v>57</v>
      </c>
      <c r="F6" t="s">
        <v>57</v>
      </c>
      <c r="G6" t="s">
        <v>58</v>
      </c>
      <c r="H6">
        <v>0</v>
      </c>
      <c r="I6" s="20">
        <v>282.87454300000002</v>
      </c>
      <c r="J6" s="20">
        <v>289.58288900000002</v>
      </c>
      <c r="K6" s="20">
        <v>296.64</v>
      </c>
      <c r="L6" s="20">
        <v>309.95999999999998</v>
      </c>
      <c r="M6" s="20">
        <v>321.12</v>
      </c>
      <c r="N6" s="20">
        <v>329.4</v>
      </c>
      <c r="O6" s="20">
        <v>333.72</v>
      </c>
      <c r="P6" s="20">
        <v>345.24</v>
      </c>
      <c r="Q6" s="20">
        <v>351.72</v>
      </c>
      <c r="R6" s="20">
        <v>361.08</v>
      </c>
      <c r="S6" s="20">
        <v>369</v>
      </c>
      <c r="T6" s="20">
        <v>376.2</v>
      </c>
      <c r="U6" s="20">
        <v>380.45105999999998</v>
      </c>
      <c r="V6" s="20">
        <v>384.750157</v>
      </c>
      <c r="W6" s="20">
        <v>389.09783399999998</v>
      </c>
      <c r="X6" s="20">
        <v>393.49463900000001</v>
      </c>
      <c r="Y6" s="20">
        <v>397.94112899999999</v>
      </c>
      <c r="Z6" s="20">
        <v>402.43786299999999</v>
      </c>
      <c r="AA6" s="20">
        <v>406.985411</v>
      </c>
      <c r="AB6" s="20">
        <v>411.58434599999998</v>
      </c>
      <c r="AC6" s="20">
        <v>416.23525000000001</v>
      </c>
      <c r="AD6" s="20">
        <v>420.93870800000002</v>
      </c>
      <c r="AE6" s="20">
        <v>425.69531499999999</v>
      </c>
      <c r="AF6" s="20">
        <v>430.505672</v>
      </c>
      <c r="AG6" s="20">
        <v>435.370386</v>
      </c>
      <c r="AH6" s="20">
        <v>440.29007200000001</v>
      </c>
      <c r="AI6" s="20">
        <v>445.26535000000001</v>
      </c>
      <c r="AJ6" s="20">
        <v>450.29684800000001</v>
      </c>
    </row>
    <row r="7" spans="1:36" x14ac:dyDescent="0.25">
      <c r="A7" t="s">
        <v>54</v>
      </c>
      <c r="B7" t="s">
        <v>67</v>
      </c>
      <c r="C7" t="s">
        <v>68</v>
      </c>
      <c r="D7" t="s">
        <v>57</v>
      </c>
      <c r="E7" t="s">
        <v>57</v>
      </c>
      <c r="F7" t="s">
        <v>57</v>
      </c>
      <c r="G7" t="s">
        <v>58</v>
      </c>
      <c r="H7">
        <v>0</v>
      </c>
      <c r="I7" s="20">
        <v>287.93520000000001</v>
      </c>
      <c r="J7" s="20">
        <v>295.488</v>
      </c>
      <c r="K7" s="20">
        <v>290.41919999999999</v>
      </c>
      <c r="L7" s="20">
        <v>298.32479999999998</v>
      </c>
      <c r="M7" s="20">
        <v>305.73</v>
      </c>
      <c r="N7" s="20">
        <v>312.80040000000002</v>
      </c>
      <c r="O7" s="20">
        <v>319.68</v>
      </c>
      <c r="P7" s="20">
        <v>326.72879999999998</v>
      </c>
      <c r="Q7" s="20">
        <v>334.45440000000002</v>
      </c>
      <c r="R7" s="20">
        <v>341.83080000000001</v>
      </c>
      <c r="S7" s="20">
        <v>349.28640000000001</v>
      </c>
      <c r="T7" s="20">
        <v>357.678</v>
      </c>
      <c r="U7" s="20">
        <v>366.87032499999998</v>
      </c>
      <c r="V7" s="20">
        <v>376.29889200000002</v>
      </c>
      <c r="W7" s="20">
        <v>385.96977299999998</v>
      </c>
      <c r="X7" s="20">
        <v>395.88919700000002</v>
      </c>
      <c r="Y7" s="20">
        <v>406.06354900000002</v>
      </c>
      <c r="Z7" s="20">
        <v>416.49938200000003</v>
      </c>
      <c r="AA7" s="20">
        <v>427.203416</v>
      </c>
      <c r="AB7" s="20">
        <v>438.18254400000001</v>
      </c>
      <c r="AC7" s="20">
        <v>449.44383599999998</v>
      </c>
      <c r="AD7" s="20">
        <v>460.99454200000002</v>
      </c>
      <c r="AE7" s="20">
        <v>472.84210200000001</v>
      </c>
      <c r="AF7" s="20">
        <v>484.99414400000001</v>
      </c>
      <c r="AG7" s="20">
        <v>497.45849299999998</v>
      </c>
      <c r="AH7" s="20">
        <v>510.243177</v>
      </c>
      <c r="AI7" s="20">
        <v>523.35642600000006</v>
      </c>
      <c r="AJ7" s="20">
        <v>536.80668600000001</v>
      </c>
    </row>
    <row r="8" spans="1:36" x14ac:dyDescent="0.25">
      <c r="A8" t="s">
        <v>54</v>
      </c>
      <c r="B8" t="s">
        <v>69</v>
      </c>
      <c r="C8" t="s">
        <v>70</v>
      </c>
      <c r="D8" t="s">
        <v>57</v>
      </c>
      <c r="E8" t="s">
        <v>57</v>
      </c>
      <c r="F8" t="s">
        <v>57</v>
      </c>
      <c r="G8" t="s">
        <v>58</v>
      </c>
      <c r="H8">
        <v>0</v>
      </c>
      <c r="I8" s="20">
        <v>44.247959999999999</v>
      </c>
      <c r="J8" s="20">
        <v>46.04616</v>
      </c>
      <c r="K8" s="20">
        <v>47.6676</v>
      </c>
      <c r="L8" s="20">
        <v>49.111199999999997</v>
      </c>
      <c r="M8" s="20">
        <v>50.3748</v>
      </c>
      <c r="N8" s="20">
        <v>51.768000000000001</v>
      </c>
      <c r="O8" s="20">
        <v>53.136000000000003</v>
      </c>
      <c r="P8" s="20">
        <v>54.442799999999998</v>
      </c>
      <c r="Q8" s="20">
        <v>55.699199999999998</v>
      </c>
      <c r="R8" s="20">
        <v>56.9268</v>
      </c>
      <c r="S8" s="20">
        <v>58.122</v>
      </c>
      <c r="T8" s="20">
        <v>59.292000000000002</v>
      </c>
      <c r="U8" s="20">
        <v>60.408000000000001</v>
      </c>
      <c r="V8" s="20">
        <v>61.459200000000003</v>
      </c>
      <c r="W8" s="20">
        <v>62.434800000000003</v>
      </c>
      <c r="X8" s="20">
        <v>63.334800000000001</v>
      </c>
      <c r="Y8" s="20">
        <v>64.155600000000007</v>
      </c>
      <c r="Z8" s="20">
        <v>64.904399999999995</v>
      </c>
      <c r="AA8" s="20">
        <v>66.286863999999994</v>
      </c>
      <c r="AB8" s="20">
        <v>67.698774</v>
      </c>
      <c r="AC8" s="20">
        <v>69.140758000000005</v>
      </c>
      <c r="AD8" s="20">
        <v>70.613455999999999</v>
      </c>
      <c r="AE8" s="20">
        <v>72.117523000000006</v>
      </c>
      <c r="AF8" s="20">
        <v>73.653626000000003</v>
      </c>
      <c r="AG8" s="20">
        <v>75.222448</v>
      </c>
      <c r="AH8" s="20">
        <v>76.824686</v>
      </c>
      <c r="AI8" s="20">
        <v>78.461051999999995</v>
      </c>
      <c r="AJ8" s="20">
        <v>80.132272</v>
      </c>
    </row>
    <row r="9" spans="1:36" x14ac:dyDescent="0.25">
      <c r="A9" t="s">
        <v>54</v>
      </c>
      <c r="B9" t="s">
        <v>71</v>
      </c>
      <c r="C9" t="s">
        <v>72</v>
      </c>
      <c r="D9" t="s">
        <v>57</v>
      </c>
      <c r="E9" t="s">
        <v>57</v>
      </c>
      <c r="F9" t="s">
        <v>57</v>
      </c>
      <c r="G9" t="s">
        <v>58</v>
      </c>
      <c r="H9">
        <v>0</v>
      </c>
      <c r="I9" s="20">
        <v>82.79024390243903</v>
      </c>
      <c r="J9" s="20">
        <v>84.86</v>
      </c>
      <c r="K9" s="20">
        <v>89.93</v>
      </c>
      <c r="L9" s="20">
        <v>95.27</v>
      </c>
      <c r="M9" s="20">
        <v>100.91</v>
      </c>
      <c r="N9" s="20">
        <v>106.85</v>
      </c>
      <c r="O9" s="20">
        <v>113.11</v>
      </c>
      <c r="P9" s="20">
        <v>119.71</v>
      </c>
      <c r="Q9" s="20">
        <v>126.67</v>
      </c>
      <c r="R9" s="20">
        <v>133.99</v>
      </c>
      <c r="S9" s="20">
        <v>141.71</v>
      </c>
      <c r="T9" s="20">
        <v>149.84</v>
      </c>
      <c r="U9" s="20">
        <v>158.41</v>
      </c>
      <c r="V9" s="20">
        <v>167.78</v>
      </c>
      <c r="W9" s="20">
        <v>177.58</v>
      </c>
      <c r="X9" s="20">
        <v>187.83</v>
      </c>
      <c r="Y9" s="20">
        <v>198.55</v>
      </c>
      <c r="Z9" s="20">
        <v>209.76</v>
      </c>
      <c r="AA9" s="20">
        <v>221.48</v>
      </c>
      <c r="AB9" s="20">
        <v>233.73</v>
      </c>
      <c r="AC9" s="20">
        <v>246.54</v>
      </c>
      <c r="AD9" s="20">
        <v>259.91000000000003</v>
      </c>
      <c r="AE9" s="20">
        <v>273.89</v>
      </c>
      <c r="AF9" s="20">
        <v>288.49</v>
      </c>
      <c r="AG9" s="20">
        <v>303.73</v>
      </c>
      <c r="AH9" s="20">
        <v>319.64999999999998</v>
      </c>
      <c r="AI9" s="20">
        <v>336.28</v>
      </c>
      <c r="AJ9" s="20">
        <v>353.63</v>
      </c>
    </row>
    <row r="10" spans="1:36" x14ac:dyDescent="0.25">
      <c r="A10" t="s">
        <v>54</v>
      </c>
      <c r="B10" t="s">
        <v>73</v>
      </c>
      <c r="C10" t="s">
        <v>74</v>
      </c>
      <c r="D10" t="s">
        <v>57</v>
      </c>
      <c r="E10" t="s">
        <v>57</v>
      </c>
      <c r="F10" t="s">
        <v>57</v>
      </c>
      <c r="G10" t="s">
        <v>58</v>
      </c>
      <c r="H10">
        <v>0</v>
      </c>
      <c r="I10" s="20">
        <v>91.521287999999998</v>
      </c>
      <c r="J10" s="20">
        <v>92.148551999999995</v>
      </c>
      <c r="K10" s="20">
        <v>147.01320000000001</v>
      </c>
      <c r="L10" s="20">
        <v>153.80279999999999</v>
      </c>
      <c r="M10" s="20">
        <v>160.97399999999999</v>
      </c>
      <c r="N10" s="20">
        <v>172.45079999999999</v>
      </c>
      <c r="O10" s="20">
        <v>184.7484</v>
      </c>
      <c r="P10" s="20">
        <v>197.92080000000001</v>
      </c>
      <c r="Q10" s="20">
        <v>212.03280000000001</v>
      </c>
      <c r="R10" s="20">
        <v>225.37799999999999</v>
      </c>
      <c r="S10" s="20">
        <v>239.56200000000001</v>
      </c>
      <c r="T10" s="20">
        <v>254.6388</v>
      </c>
      <c r="U10" s="20">
        <v>259.22229800000002</v>
      </c>
      <c r="V10" s="20">
        <v>263.88830000000002</v>
      </c>
      <c r="W10" s="20">
        <v>268.63828899999999</v>
      </c>
      <c r="X10" s="20">
        <v>273.47377799999998</v>
      </c>
      <c r="Y10" s="20">
        <v>278.39630599999998</v>
      </c>
      <c r="Z10" s="20">
        <v>283.40744000000001</v>
      </c>
      <c r="AA10" s="20">
        <v>288.50877400000002</v>
      </c>
      <c r="AB10" s="20">
        <v>293.701932</v>
      </c>
      <c r="AC10" s="20">
        <v>298.98856699999999</v>
      </c>
      <c r="AD10" s="20">
        <v>304.370361</v>
      </c>
      <c r="AE10" s="20">
        <v>309.84902699999998</v>
      </c>
      <c r="AF10" s="20">
        <v>315.42631</v>
      </c>
      <c r="AG10" s="20">
        <v>321.10398300000003</v>
      </c>
      <c r="AH10" s="20">
        <v>326.88385499999998</v>
      </c>
      <c r="AI10" s="20">
        <v>332.767764</v>
      </c>
      <c r="AJ10" s="20">
        <v>338.75758400000001</v>
      </c>
    </row>
    <row r="11" spans="1:36" x14ac:dyDescent="0.25">
      <c r="A11" t="s">
        <v>54</v>
      </c>
      <c r="B11" t="s">
        <v>75</v>
      </c>
      <c r="C11" t="s">
        <v>76</v>
      </c>
      <c r="D11" t="s">
        <v>57</v>
      </c>
      <c r="E11" t="s">
        <v>57</v>
      </c>
      <c r="F11" t="s">
        <v>57</v>
      </c>
      <c r="G11" t="s">
        <v>58</v>
      </c>
      <c r="H11">
        <v>0</v>
      </c>
      <c r="I11" s="20">
        <v>50.798124000000001</v>
      </c>
      <c r="J11" s="20">
        <v>49.045679999999997</v>
      </c>
      <c r="K11" s="20">
        <v>48.387096</v>
      </c>
      <c r="L11" s="20">
        <v>47.612879999999997</v>
      </c>
      <c r="M11" s="20">
        <v>50.709671999999998</v>
      </c>
      <c r="N11" s="20">
        <v>51.483851999999999</v>
      </c>
      <c r="O11" s="20">
        <v>53.806427999999997</v>
      </c>
      <c r="P11" s="20">
        <v>56.516112</v>
      </c>
      <c r="Q11" s="20">
        <v>57.290292000000001</v>
      </c>
      <c r="R11" s="20">
        <v>58.838687999999998</v>
      </c>
      <c r="S11" s="20">
        <v>59.999975999999997</v>
      </c>
      <c r="T11" s="20">
        <v>61.935479999999998</v>
      </c>
      <c r="U11" s="20">
        <v>63.638705999999999</v>
      </c>
      <c r="V11" s="20">
        <v>65.388769999999994</v>
      </c>
      <c r="W11" s="20">
        <v>67.186960999999997</v>
      </c>
      <c r="X11" s="20">
        <v>69.034603000000004</v>
      </c>
      <c r="Y11" s="20">
        <v>70.933053999999998</v>
      </c>
      <c r="Z11" s="20">
        <v>72.883713</v>
      </c>
      <c r="AA11" s="20">
        <v>74.888014999999996</v>
      </c>
      <c r="AB11" s="20">
        <v>76.947435999999996</v>
      </c>
      <c r="AC11" s="20">
        <v>79.063490000000002</v>
      </c>
      <c r="AD11" s="20">
        <v>81.237735999999998</v>
      </c>
      <c r="AE11" s="20">
        <v>83.471773999999996</v>
      </c>
      <c r="AF11" s="20">
        <v>85.767247999999995</v>
      </c>
      <c r="AG11" s="20">
        <v>88.125846999999993</v>
      </c>
      <c r="AH11" s="20">
        <v>90.549307999999996</v>
      </c>
      <c r="AI11" s="20">
        <v>93.039413999999994</v>
      </c>
      <c r="AJ11" s="20">
        <v>95.597998000000004</v>
      </c>
    </row>
    <row r="12" spans="1:36" x14ac:dyDescent="0.25">
      <c r="A12" t="s">
        <v>54</v>
      </c>
      <c r="B12" t="s">
        <v>77</v>
      </c>
      <c r="C12" t="s">
        <v>78</v>
      </c>
      <c r="D12" t="s">
        <v>57</v>
      </c>
      <c r="E12" t="s">
        <v>57</v>
      </c>
      <c r="F12" t="s">
        <v>57</v>
      </c>
      <c r="G12" t="s">
        <v>58</v>
      </c>
      <c r="H12">
        <v>0</v>
      </c>
      <c r="I12" s="20">
        <v>23.759749079999999</v>
      </c>
      <c r="J12" s="20">
        <v>25.569362160000001</v>
      </c>
      <c r="K12" s="20">
        <v>44.648099999999999</v>
      </c>
      <c r="L12" s="20">
        <v>46.229148000000002</v>
      </c>
      <c r="M12" s="20">
        <v>47.953656000000002</v>
      </c>
      <c r="N12" s="20">
        <v>49.800564000000001</v>
      </c>
      <c r="O12" s="20">
        <v>51.681744000000002</v>
      </c>
      <c r="P12" s="20">
        <v>53.706491999999997</v>
      </c>
      <c r="Q12" s="20">
        <v>55.870164000000003</v>
      </c>
      <c r="R12" s="20">
        <v>58.181184000000002</v>
      </c>
      <c r="S12" s="20">
        <v>60.661943999999998</v>
      </c>
      <c r="T12" s="20">
        <v>63.375335999999997</v>
      </c>
      <c r="U12" s="20">
        <v>66.273480000000006</v>
      </c>
      <c r="V12" s="20">
        <v>67.950198999999998</v>
      </c>
      <c r="W12" s="20">
        <v>69.669338999999994</v>
      </c>
      <c r="X12" s="20">
        <v>71.431972999999999</v>
      </c>
      <c r="Y12" s="20">
        <v>73.239202000000006</v>
      </c>
      <c r="Z12" s="20">
        <v>75.092153999999994</v>
      </c>
      <c r="AA12" s="20">
        <v>76.991985999999997</v>
      </c>
      <c r="AB12" s="20">
        <v>78.939882999999995</v>
      </c>
      <c r="AC12" s="20">
        <v>80.937061999999997</v>
      </c>
      <c r="AD12" s="20">
        <v>82.984769999999997</v>
      </c>
      <c r="AE12" s="20">
        <v>85.084283999999997</v>
      </c>
      <c r="AF12" s="20">
        <v>87.236917000000005</v>
      </c>
      <c r="AG12" s="20">
        <v>89.444011000000003</v>
      </c>
      <c r="AH12" s="20">
        <v>91.706943999999993</v>
      </c>
      <c r="AI12" s="20">
        <v>94.02713</v>
      </c>
      <c r="AJ12" s="20">
        <v>96.406015999999994</v>
      </c>
    </row>
    <row r="13" spans="1:36" x14ac:dyDescent="0.25">
      <c r="A13" t="s">
        <v>54</v>
      </c>
      <c r="B13" t="s">
        <v>79</v>
      </c>
      <c r="C13" t="s">
        <v>80</v>
      </c>
      <c r="D13" t="s">
        <v>57</v>
      </c>
      <c r="E13" t="s">
        <v>57</v>
      </c>
      <c r="F13" t="s">
        <v>57</v>
      </c>
      <c r="G13" t="s">
        <v>58</v>
      </c>
      <c r="H13">
        <v>0</v>
      </c>
      <c r="I13" s="20">
        <v>1074.9564</v>
      </c>
      <c r="J13" s="20">
        <v>1115.541076</v>
      </c>
      <c r="K13" s="20">
        <v>1348.0740000000001</v>
      </c>
      <c r="L13" s="20">
        <v>1378.7603999999999</v>
      </c>
      <c r="M13" s="20">
        <v>1408.8815999999999</v>
      </c>
      <c r="N13" s="20">
        <v>1440.0072</v>
      </c>
      <c r="O13" s="20">
        <v>1471.7844</v>
      </c>
      <c r="P13" s="20">
        <v>1504.7028</v>
      </c>
      <c r="Q13" s="20">
        <v>1538.2439999999999</v>
      </c>
      <c r="R13" s="20">
        <v>1573.4051999999999</v>
      </c>
      <c r="S13" s="20">
        <v>1609.5455999999999</v>
      </c>
      <c r="T13" s="20">
        <v>1647.7128</v>
      </c>
      <c r="U13" s="20">
        <v>1687.1795999999999</v>
      </c>
      <c r="V13" s="20">
        <v>1728.5111999999999</v>
      </c>
      <c r="W13" s="20">
        <v>1771.0524</v>
      </c>
      <c r="X13" s="20">
        <v>1815.336</v>
      </c>
      <c r="Y13" s="20">
        <v>1837.846166</v>
      </c>
      <c r="Z13" s="20">
        <v>1860.6354590000001</v>
      </c>
      <c r="AA13" s="20">
        <v>1883.707339</v>
      </c>
      <c r="AB13" s="20">
        <v>1907.06531</v>
      </c>
      <c r="AC13" s="20">
        <v>1930.7129190000001</v>
      </c>
      <c r="AD13" s="20">
        <v>1954.6537599999999</v>
      </c>
      <c r="AE13" s="20">
        <v>1978.891466</v>
      </c>
      <c r="AF13" s="20">
        <v>2003.4297200000001</v>
      </c>
      <c r="AG13" s="20">
        <v>2028.2722490000001</v>
      </c>
      <c r="AH13" s="20">
        <v>2053.4228250000001</v>
      </c>
      <c r="AI13" s="20">
        <v>2078.885268</v>
      </c>
      <c r="AJ13" s="20">
        <v>2104.6634450000001</v>
      </c>
    </row>
    <row r="14" spans="1:36" x14ac:dyDescent="0.25">
      <c r="A14" t="s">
        <v>54</v>
      </c>
      <c r="B14" t="s">
        <v>81</v>
      </c>
      <c r="C14" t="s">
        <v>82</v>
      </c>
      <c r="D14" t="s">
        <v>57</v>
      </c>
      <c r="E14" t="s">
        <v>57</v>
      </c>
      <c r="F14" t="s">
        <v>57</v>
      </c>
      <c r="G14" t="s">
        <v>58</v>
      </c>
      <c r="H14">
        <v>0</v>
      </c>
      <c r="I14" s="20">
        <v>20.692682926829271</v>
      </c>
      <c r="J14" s="20">
        <v>21.21</v>
      </c>
      <c r="K14" s="20">
        <v>22.25</v>
      </c>
      <c r="L14" s="20">
        <v>23.33</v>
      </c>
      <c r="M14" s="20">
        <v>24.46</v>
      </c>
      <c r="N14" s="20">
        <v>25.63</v>
      </c>
      <c r="O14" s="20">
        <v>26.86</v>
      </c>
      <c r="P14" s="20">
        <v>28.13</v>
      </c>
      <c r="Q14" s="20">
        <v>29.46</v>
      </c>
      <c r="R14" s="20">
        <v>30.84</v>
      </c>
      <c r="S14" s="20">
        <v>32.29</v>
      </c>
      <c r="T14" s="20">
        <v>33.79</v>
      </c>
      <c r="U14" s="20">
        <v>35.35</v>
      </c>
      <c r="V14" s="20">
        <v>37.1</v>
      </c>
      <c r="W14" s="20">
        <v>38.9</v>
      </c>
      <c r="X14" s="20">
        <v>40.770000000000003</v>
      </c>
      <c r="Y14" s="20">
        <v>42.7</v>
      </c>
      <c r="Z14" s="20">
        <v>44.7</v>
      </c>
      <c r="AA14" s="20">
        <v>46.76</v>
      </c>
      <c r="AB14" s="20">
        <v>48.89</v>
      </c>
      <c r="AC14" s="20">
        <v>51.09</v>
      </c>
      <c r="AD14" s="20">
        <v>53.37</v>
      </c>
      <c r="AE14" s="20">
        <v>55.72</v>
      </c>
      <c r="AF14" s="20">
        <v>58.15</v>
      </c>
      <c r="AG14" s="20">
        <v>60.66</v>
      </c>
      <c r="AH14" s="20">
        <v>63.25</v>
      </c>
      <c r="AI14" s="20">
        <v>65.930000000000007</v>
      </c>
      <c r="AJ14" s="20">
        <v>68.69</v>
      </c>
    </row>
    <row r="15" spans="1:36" x14ac:dyDescent="0.25">
      <c r="A15" t="s">
        <v>54</v>
      </c>
      <c r="B15" t="s">
        <v>83</v>
      </c>
      <c r="C15" t="s">
        <v>84</v>
      </c>
      <c r="D15" t="s">
        <v>57</v>
      </c>
      <c r="E15" t="s">
        <v>57</v>
      </c>
      <c r="F15" t="s">
        <v>57</v>
      </c>
      <c r="G15" t="s">
        <v>58</v>
      </c>
      <c r="H15">
        <v>0</v>
      </c>
      <c r="I15" s="20">
        <v>31.844163999999999</v>
      </c>
      <c r="J15" s="20">
        <v>32.615569000000001</v>
      </c>
      <c r="K15" s="20">
        <v>44.921520000000001</v>
      </c>
      <c r="L15" s="20">
        <v>47.406959999999998</v>
      </c>
      <c r="M15" s="20">
        <v>50.401440000000001</v>
      </c>
      <c r="N15" s="20">
        <v>53.300159999999998</v>
      </c>
      <c r="O15" s="20">
        <v>54.783360000000002</v>
      </c>
      <c r="P15" s="20">
        <v>57.642119999999998</v>
      </c>
      <c r="Q15" s="20">
        <v>60.730559999999997</v>
      </c>
      <c r="R15" s="20">
        <v>62.290080000000003</v>
      </c>
      <c r="S15" s="20">
        <v>65.850480000000005</v>
      </c>
      <c r="T15" s="20">
        <v>68.648399999999995</v>
      </c>
      <c r="U15" s="20">
        <v>71.049239999999998</v>
      </c>
      <c r="V15" s="20">
        <v>73.753559999999993</v>
      </c>
      <c r="W15" s="20">
        <v>75.966166999999999</v>
      </c>
      <c r="X15" s="20">
        <v>78.245152000000004</v>
      </c>
      <c r="Y15" s="20">
        <v>80.592506</v>
      </c>
      <c r="Z15" s="20">
        <v>83.010282000000004</v>
      </c>
      <c r="AA15" s="20">
        <v>85.500590000000003</v>
      </c>
      <c r="AB15" s="20">
        <v>88.065607999999997</v>
      </c>
      <c r="AC15" s="20">
        <v>90.707576000000003</v>
      </c>
      <c r="AD15" s="20">
        <v>93.428803000000002</v>
      </c>
      <c r="AE15" s="20">
        <v>96.231667000000002</v>
      </c>
      <c r="AF15" s="20">
        <v>99.118617</v>
      </c>
      <c r="AG15" s="20">
        <v>102.09217599999999</v>
      </c>
      <c r="AH15" s="20">
        <v>105.15494099999999</v>
      </c>
      <c r="AI15" s="20">
        <v>108.309589</v>
      </c>
      <c r="AJ15" s="20">
        <v>111.558877</v>
      </c>
    </row>
    <row r="16" spans="1:36" x14ac:dyDescent="0.25">
      <c r="A16" t="s">
        <v>54</v>
      </c>
      <c r="B16" t="s">
        <v>85</v>
      </c>
      <c r="C16" t="s">
        <v>86</v>
      </c>
      <c r="D16" t="s">
        <v>57</v>
      </c>
      <c r="E16" t="s">
        <v>57</v>
      </c>
      <c r="F16" t="s">
        <v>57</v>
      </c>
      <c r="G16" t="s">
        <v>58</v>
      </c>
      <c r="H16">
        <v>0</v>
      </c>
      <c r="I16" s="20">
        <v>189.389365</v>
      </c>
      <c r="J16" s="20">
        <v>188.64392000000001</v>
      </c>
      <c r="K16" s="20">
        <v>236.18879999999999</v>
      </c>
      <c r="L16" s="20">
        <v>245.94479999999999</v>
      </c>
      <c r="M16" s="20">
        <v>253.9836</v>
      </c>
      <c r="N16" s="20">
        <v>261.83519999999999</v>
      </c>
      <c r="O16" s="20">
        <v>270.89640000000003</v>
      </c>
      <c r="P16" s="20">
        <v>280.3356</v>
      </c>
      <c r="Q16" s="20">
        <v>288.46440000000001</v>
      </c>
      <c r="R16" s="20">
        <v>298.35719999999998</v>
      </c>
      <c r="S16" s="20">
        <v>305.95319999999998</v>
      </c>
      <c r="T16" s="20">
        <v>314.23320000000001</v>
      </c>
      <c r="U16" s="20">
        <v>321.5736</v>
      </c>
      <c r="V16" s="20">
        <v>328.65839999999997</v>
      </c>
      <c r="W16" s="20">
        <v>338.51815199999999</v>
      </c>
      <c r="X16" s="20">
        <v>348.673697</v>
      </c>
      <c r="Y16" s="20">
        <v>359.13390700000002</v>
      </c>
      <c r="Z16" s="20">
        <v>369.90792499999998</v>
      </c>
      <c r="AA16" s="20">
        <v>381.00516199999998</v>
      </c>
      <c r="AB16" s="20">
        <v>392.435317</v>
      </c>
      <c r="AC16" s="20">
        <v>404.20837699999998</v>
      </c>
      <c r="AD16" s="20">
        <v>416.33462800000001</v>
      </c>
      <c r="AE16" s="20">
        <v>428.82466699999998</v>
      </c>
      <c r="AF16" s="20">
        <v>441.68940700000002</v>
      </c>
      <c r="AG16" s="20">
        <v>454.940089</v>
      </c>
      <c r="AH16" s="20">
        <v>468.58829200000002</v>
      </c>
      <c r="AI16" s="20">
        <v>482.64594099999999</v>
      </c>
      <c r="AJ16" s="20">
        <v>497.12531899999999</v>
      </c>
    </row>
    <row r="17" spans="1:36" x14ac:dyDescent="0.25">
      <c r="A17" t="s">
        <v>54</v>
      </c>
      <c r="B17" t="s">
        <v>87</v>
      </c>
      <c r="C17" t="s">
        <v>88</v>
      </c>
      <c r="D17" t="s">
        <v>57</v>
      </c>
      <c r="E17" t="s">
        <v>57</v>
      </c>
      <c r="F17" t="s">
        <v>57</v>
      </c>
      <c r="G17" t="s">
        <v>58</v>
      </c>
      <c r="H17">
        <v>0</v>
      </c>
      <c r="I17" s="20">
        <v>79.487499600000007</v>
      </c>
      <c r="J17" s="20">
        <v>94.114800000000002</v>
      </c>
      <c r="K17" s="20">
        <v>94.701599999999999</v>
      </c>
      <c r="L17" s="20">
        <v>101.27160000000001</v>
      </c>
      <c r="M17" s="20">
        <v>108.10080000000001</v>
      </c>
      <c r="N17" s="20">
        <v>115.36920000000001</v>
      </c>
      <c r="O17" s="20">
        <v>123.1524</v>
      </c>
      <c r="P17" s="20">
        <v>131.63040000000001</v>
      </c>
      <c r="Q17" s="20">
        <v>136.57679999999999</v>
      </c>
      <c r="R17" s="20">
        <v>141.53399999999999</v>
      </c>
      <c r="S17" s="20">
        <v>146.50200000000001</v>
      </c>
      <c r="T17" s="20">
        <v>151.48439999999999</v>
      </c>
      <c r="U17" s="20">
        <v>155.69566599999999</v>
      </c>
      <c r="V17" s="20">
        <v>160.02400600000001</v>
      </c>
      <c r="W17" s="20">
        <v>164.47267299999999</v>
      </c>
      <c r="X17" s="20">
        <v>169.04501400000001</v>
      </c>
      <c r="Y17" s="20">
        <v>173.74446499999999</v>
      </c>
      <c r="Z17" s="20">
        <v>178.57456099999999</v>
      </c>
      <c r="AA17" s="20">
        <v>183.53893400000001</v>
      </c>
      <c r="AB17" s="20">
        <v>188.64131599999999</v>
      </c>
      <c r="AC17" s="20">
        <v>193.88554500000001</v>
      </c>
      <c r="AD17" s="20">
        <v>199.27556300000001</v>
      </c>
      <c r="AE17" s="20">
        <v>204.81542400000001</v>
      </c>
      <c r="AF17" s="20">
        <v>210.50929199999999</v>
      </c>
      <c r="AG17" s="20">
        <v>216.36145099999999</v>
      </c>
      <c r="AH17" s="20">
        <v>222.37629899999999</v>
      </c>
      <c r="AI17" s="20">
        <v>228.55835999999999</v>
      </c>
      <c r="AJ17" s="20">
        <v>234.912283</v>
      </c>
    </row>
    <row r="18" spans="1:36" x14ac:dyDescent="0.25">
      <c r="A18" t="s">
        <v>54</v>
      </c>
      <c r="B18" t="s">
        <v>89</v>
      </c>
      <c r="C18" t="s">
        <v>90</v>
      </c>
      <c r="D18" t="s">
        <v>57</v>
      </c>
      <c r="E18" t="s">
        <v>57</v>
      </c>
      <c r="F18" t="s">
        <v>57</v>
      </c>
      <c r="G18" t="s">
        <v>58</v>
      </c>
      <c r="H18">
        <v>0</v>
      </c>
      <c r="I18" s="20">
        <v>28.975609756097562</v>
      </c>
      <c r="J18" s="20">
        <v>29.7</v>
      </c>
      <c r="K18" s="20">
        <v>31.04</v>
      </c>
      <c r="L18" s="20">
        <v>32.42</v>
      </c>
      <c r="M18" s="20">
        <v>33.86</v>
      </c>
      <c r="N18" s="20">
        <v>35.36</v>
      </c>
      <c r="O18" s="20">
        <v>36.909999999999997</v>
      </c>
      <c r="P18" s="20">
        <v>38.520000000000003</v>
      </c>
      <c r="Q18" s="20">
        <v>40.19</v>
      </c>
      <c r="R18" s="20">
        <v>41.92</v>
      </c>
      <c r="S18" s="20">
        <v>43.72</v>
      </c>
      <c r="T18" s="20">
        <v>45.59</v>
      </c>
      <c r="U18" s="20">
        <v>47.52</v>
      </c>
      <c r="V18" s="20">
        <v>49.72</v>
      </c>
      <c r="W18" s="20">
        <v>51.99</v>
      </c>
      <c r="X18" s="20">
        <v>54.33</v>
      </c>
      <c r="Y18" s="20">
        <v>56.73</v>
      </c>
      <c r="Z18" s="20">
        <v>59.21</v>
      </c>
      <c r="AA18" s="20">
        <v>61.76</v>
      </c>
      <c r="AB18" s="20">
        <v>64.38</v>
      </c>
      <c r="AC18" s="20">
        <v>67.09</v>
      </c>
      <c r="AD18" s="20">
        <v>69.87</v>
      </c>
      <c r="AE18" s="20">
        <v>72.739999999999995</v>
      </c>
      <c r="AF18" s="20">
        <v>75.680000000000007</v>
      </c>
      <c r="AG18" s="20">
        <v>78.72</v>
      </c>
      <c r="AH18" s="20">
        <v>81.84</v>
      </c>
      <c r="AI18" s="20">
        <v>85.05</v>
      </c>
      <c r="AJ18" s="20">
        <v>88.36</v>
      </c>
    </row>
    <row r="19" spans="1:36" x14ac:dyDescent="0.25">
      <c r="A19" t="s">
        <v>54</v>
      </c>
      <c r="B19" t="s">
        <v>91</v>
      </c>
      <c r="C19" t="s">
        <v>92</v>
      </c>
      <c r="D19" t="s">
        <v>57</v>
      </c>
      <c r="E19" t="s">
        <v>57</v>
      </c>
      <c r="F19" t="s">
        <v>57</v>
      </c>
      <c r="G19" t="s">
        <v>58</v>
      </c>
      <c r="H19">
        <v>0</v>
      </c>
      <c r="I19" s="20">
        <v>34.782122880000003</v>
      </c>
      <c r="J19" s="20">
        <v>36.251441999999997</v>
      </c>
      <c r="K19" s="20">
        <v>43.549314000000003</v>
      </c>
      <c r="L19" s="20">
        <v>44.094068</v>
      </c>
      <c r="M19" s="20">
        <v>46.506570000000004</v>
      </c>
      <c r="N19" s="20">
        <v>47.171945999999998</v>
      </c>
      <c r="O19" s="20">
        <v>47.626021999999999</v>
      </c>
      <c r="P19" s="20">
        <v>48.261062000000003</v>
      </c>
      <c r="Q19" s="20">
        <v>49.2624</v>
      </c>
      <c r="R19" s="20">
        <v>50.284799999999997</v>
      </c>
      <c r="S19" s="20">
        <v>51.328800000000001</v>
      </c>
      <c r="T19" s="20">
        <v>52.394399999999997</v>
      </c>
      <c r="U19" s="20">
        <v>52.944541000000001</v>
      </c>
      <c r="V19" s="20">
        <v>53.500458999999999</v>
      </c>
      <c r="W19" s="20">
        <v>54.062213999999997</v>
      </c>
      <c r="X19" s="20">
        <v>54.629866999999997</v>
      </c>
      <c r="Y19" s="20">
        <v>55.203480999999996</v>
      </c>
      <c r="Z19" s="20">
        <v>55.783116999999997</v>
      </c>
      <c r="AA19" s="20">
        <v>56.368839999999999</v>
      </c>
      <c r="AB19" s="20">
        <v>56.960712999999998</v>
      </c>
      <c r="AC19" s="20">
        <v>57.558799999999998</v>
      </c>
      <c r="AD19" s="20">
        <v>58.163167999999999</v>
      </c>
      <c r="AE19" s="20">
        <v>58.773881000000003</v>
      </c>
      <c r="AF19" s="20">
        <v>59.391007000000002</v>
      </c>
      <c r="AG19" s="20">
        <v>60.014612</v>
      </c>
      <c r="AH19" s="20">
        <v>60.644765999999997</v>
      </c>
      <c r="AI19" s="20">
        <v>61.281536000000003</v>
      </c>
      <c r="AJ19" s="20">
        <v>61.924992000000003</v>
      </c>
    </row>
    <row r="20" spans="1:36" x14ac:dyDescent="0.25">
      <c r="A20" t="s">
        <v>54</v>
      </c>
      <c r="B20" t="s">
        <v>93</v>
      </c>
      <c r="C20" t="s">
        <v>94</v>
      </c>
      <c r="D20" t="s">
        <v>57</v>
      </c>
      <c r="E20" t="s">
        <v>57</v>
      </c>
      <c r="F20" t="s">
        <v>57</v>
      </c>
      <c r="G20" t="s">
        <v>58</v>
      </c>
      <c r="H20">
        <v>0</v>
      </c>
      <c r="I20" s="20">
        <v>6.2048780487804889</v>
      </c>
      <c r="J20" s="20">
        <v>6.36</v>
      </c>
      <c r="K20" s="20">
        <v>6.67</v>
      </c>
      <c r="L20" s="20">
        <v>6.98</v>
      </c>
      <c r="M20" s="20">
        <v>7.31</v>
      </c>
      <c r="N20" s="20">
        <v>7.65</v>
      </c>
      <c r="O20" s="20">
        <v>8.01</v>
      </c>
      <c r="P20" s="20">
        <v>8.3800000000000008</v>
      </c>
      <c r="Q20" s="20">
        <v>8.76</v>
      </c>
      <c r="R20" s="20">
        <v>9.16</v>
      </c>
      <c r="S20" s="20">
        <v>9.58</v>
      </c>
      <c r="T20" s="20">
        <v>10.01</v>
      </c>
      <c r="U20" s="20">
        <v>10.46</v>
      </c>
      <c r="V20" s="20">
        <v>10.95</v>
      </c>
      <c r="W20" s="20">
        <v>11.45</v>
      </c>
      <c r="X20" s="20">
        <v>11.97</v>
      </c>
      <c r="Y20" s="20">
        <v>12.51</v>
      </c>
      <c r="Z20" s="20">
        <v>13.06</v>
      </c>
      <c r="AA20" s="20">
        <v>13.63</v>
      </c>
      <c r="AB20" s="20">
        <v>14.22</v>
      </c>
      <c r="AC20" s="20">
        <v>14.82</v>
      </c>
      <c r="AD20" s="20">
        <v>15.45</v>
      </c>
      <c r="AE20" s="20">
        <v>16.09</v>
      </c>
      <c r="AF20" s="20">
        <v>16.75</v>
      </c>
      <c r="AG20" s="20">
        <v>17.43</v>
      </c>
      <c r="AH20" s="20">
        <v>18.13</v>
      </c>
      <c r="AI20" s="20">
        <v>18.850000000000001</v>
      </c>
      <c r="AJ20" s="20">
        <v>19.59</v>
      </c>
    </row>
    <row r="21" spans="1:36" x14ac:dyDescent="0.25"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 spans="1:36" x14ac:dyDescent="0.25">
      <c r="I22" s="20">
        <f>SUM(I2:I20)</f>
        <v>4778.5408155600007</v>
      </c>
      <c r="J22" s="20">
        <f>SUM(J2:J20)</f>
        <v>4972.2054501599987</v>
      </c>
      <c r="K22" s="20">
        <f>SUM(K2:K20)</f>
        <v>5459.4444299999996</v>
      </c>
      <c r="L22" s="20">
        <f>SUM(L2:L20)</f>
        <v>5653.7506559999993</v>
      </c>
      <c r="M22" s="20">
        <f>SUM(M2:M20)</f>
        <v>5853.8333379999995</v>
      </c>
      <c r="N22" s="20">
        <f>SUM(N2:N20)</f>
        <v>6056.3561219999992</v>
      </c>
      <c r="O22" s="20">
        <f>SUM(O2:O20)</f>
        <v>6265.5623540000006</v>
      </c>
      <c r="P22" s="20">
        <f>SUM(P2:P20)</f>
        <v>6491.2997860000014</v>
      </c>
      <c r="Q22" s="20">
        <f>SUM(Q2:Q20)</f>
        <v>6715.8614159999979</v>
      </c>
      <c r="R22" s="20">
        <f>SUM(R2:R20)</f>
        <v>6952.6531519999999</v>
      </c>
      <c r="S22" s="20">
        <f>SUM(S2:S20)</f>
        <v>7193.5732000000007</v>
      </c>
      <c r="T22" s="20">
        <f>SUM(T2:T20)</f>
        <v>7442.6944160000012</v>
      </c>
      <c r="U22" s="20">
        <f>SUM(U2:U20)</f>
        <v>7592.7561040000001</v>
      </c>
      <c r="V22" s="20">
        <f>SUM(V2:V20)</f>
        <v>7746.2800099999995</v>
      </c>
      <c r="W22" s="20">
        <f>SUM(W2:W20)</f>
        <v>7905.3373779999974</v>
      </c>
      <c r="X22" s="20">
        <f>SUM(X2:X20)</f>
        <v>8068.6196170000003</v>
      </c>
      <c r="Y22" s="20">
        <f>SUM(Y2:Y20)</f>
        <v>8212.6484550000005</v>
      </c>
      <c r="Z22" s="20">
        <f>SUM(Z2:Z20)</f>
        <v>8359.5657719999999</v>
      </c>
      <c r="AA22" s="20">
        <f>SUM(AA2:AA20)</f>
        <v>8510.1437469999964</v>
      </c>
      <c r="AB22" s="20">
        <f>SUM(AB2:AB20)</f>
        <v>8663.845758999998</v>
      </c>
      <c r="AC22" s="20">
        <f>SUM(AC2:AC20)</f>
        <v>8820.7710619999998</v>
      </c>
      <c r="AD22" s="20">
        <f>SUM(AD2:AD20)</f>
        <v>8980.9600520000022</v>
      </c>
      <c r="AE22" s="20">
        <f>SUM(AE2:AE20)</f>
        <v>9144.524206</v>
      </c>
      <c r="AF22" s="20">
        <f>SUM(AF2:AF20)</f>
        <v>9311.5161980000012</v>
      </c>
      <c r="AG22" s="20">
        <f>SUM(AG2:AG20)</f>
        <v>9482.0398870000008</v>
      </c>
      <c r="AH22" s="20">
        <f>SUM(AH2:AH20)</f>
        <v>9656.180320999998</v>
      </c>
      <c r="AI22" s="20">
        <f>SUM(AI2:AI20)</f>
        <v>9834.0338070000034</v>
      </c>
      <c r="AJ22" s="20">
        <f>SUM(AJ2:AJ20)</f>
        <v>10015.667945000001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6F24-E1A6-4441-8B35-40FCC5D3C816}">
  <dimension ref="A1:AJ22"/>
  <sheetViews>
    <sheetView tabSelected="1" topLeftCell="L1" workbookViewId="0">
      <selection activeCell="Z1" sqref="Z1:AJ1048576"/>
    </sheetView>
  </sheetViews>
  <sheetFormatPr defaultRowHeight="15" x14ac:dyDescent="0.25"/>
  <cols>
    <col min="1" max="1" width="14.5703125" bestFit="1" customWidth="1"/>
    <col min="2" max="2" width="12.5703125" bestFit="1" customWidth="1"/>
    <col min="3" max="3" width="53.42578125" bestFit="1" customWidth="1"/>
    <col min="4" max="4" width="11.140625" bestFit="1" customWidth="1"/>
    <col min="5" max="5" width="11.42578125" bestFit="1" customWidth="1"/>
    <col min="6" max="6" width="10.7109375" bestFit="1" customWidth="1"/>
    <col min="7" max="7" width="16" bestFit="1" customWidth="1"/>
    <col min="8" max="8" width="20.42578125" bestFit="1" customWidth="1"/>
    <col min="9" max="25" width="7.5703125" bestFit="1" customWidth="1"/>
    <col min="26" max="34" width="8.5703125" bestFit="1" customWidth="1"/>
    <col min="35" max="36" width="5" bestFit="1" customWidth="1"/>
  </cols>
  <sheetData>
    <row r="1" spans="1:36" x14ac:dyDescent="0.25">
      <c r="A1" s="19" t="s">
        <v>18</v>
      </c>
      <c r="B1" s="19" t="s">
        <v>19</v>
      </c>
      <c r="C1" s="19" t="s">
        <v>20</v>
      </c>
      <c r="D1" s="19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>
        <v>2023</v>
      </c>
      <c r="J1" s="19">
        <v>2024</v>
      </c>
      <c r="K1" s="19">
        <v>2025</v>
      </c>
      <c r="L1" s="19">
        <v>2026</v>
      </c>
      <c r="M1" s="19">
        <v>2027</v>
      </c>
      <c r="N1" s="19">
        <v>2028</v>
      </c>
      <c r="O1" s="19">
        <v>2029</v>
      </c>
      <c r="P1" s="19">
        <v>2030</v>
      </c>
      <c r="Q1" s="19">
        <v>2031</v>
      </c>
      <c r="R1" s="19">
        <v>2032</v>
      </c>
      <c r="S1" s="19">
        <v>2033</v>
      </c>
      <c r="T1" s="19">
        <v>2034</v>
      </c>
      <c r="U1" s="19">
        <v>2035</v>
      </c>
      <c r="V1" s="19">
        <v>2036</v>
      </c>
      <c r="W1" s="19">
        <v>2037</v>
      </c>
      <c r="X1" s="19">
        <v>2038</v>
      </c>
      <c r="Y1" s="19">
        <v>2039</v>
      </c>
      <c r="Z1" s="19">
        <v>2040</v>
      </c>
      <c r="AA1" s="19">
        <v>2041</v>
      </c>
      <c r="AB1" s="19">
        <v>2042</v>
      </c>
      <c r="AC1" s="19">
        <v>2043</v>
      </c>
      <c r="AD1" s="19">
        <v>2044</v>
      </c>
      <c r="AE1" s="19">
        <v>2045</v>
      </c>
      <c r="AF1" s="19">
        <v>2046</v>
      </c>
      <c r="AG1" s="19">
        <v>2047</v>
      </c>
      <c r="AH1" s="19">
        <v>2048</v>
      </c>
      <c r="AI1" s="19">
        <v>2049</v>
      </c>
      <c r="AJ1" s="19">
        <v>2050</v>
      </c>
    </row>
    <row r="2" spans="1:36" x14ac:dyDescent="0.25">
      <c r="A2" t="s">
        <v>54</v>
      </c>
      <c r="B2" t="s">
        <v>55</v>
      </c>
      <c r="C2" t="s">
        <v>56</v>
      </c>
      <c r="D2" t="s">
        <v>57</v>
      </c>
      <c r="E2" t="s">
        <v>57</v>
      </c>
      <c r="F2" t="s">
        <v>57</v>
      </c>
      <c r="G2" t="s">
        <v>58</v>
      </c>
      <c r="H2">
        <v>0</v>
      </c>
      <c r="I2" s="20">
        <v>558.82926829268297</v>
      </c>
      <c r="J2" s="20">
        <v>572.79999999999995</v>
      </c>
      <c r="K2" s="20">
        <v>595.66</v>
      </c>
      <c r="L2" s="20">
        <v>619.25</v>
      </c>
      <c r="M2" s="20">
        <v>643.61</v>
      </c>
      <c r="N2" s="20">
        <v>668.75</v>
      </c>
      <c r="O2" s="20">
        <v>694.69</v>
      </c>
      <c r="P2" s="20">
        <v>721.46</v>
      </c>
      <c r="Q2" s="20">
        <v>749.09</v>
      </c>
      <c r="R2" s="20">
        <v>777.59</v>
      </c>
      <c r="S2" s="20">
        <v>806.99</v>
      </c>
      <c r="T2" s="20">
        <v>837.33</v>
      </c>
      <c r="U2" s="20">
        <v>868.62</v>
      </c>
      <c r="V2" s="20">
        <v>907.06</v>
      </c>
      <c r="W2" s="20">
        <v>946.55</v>
      </c>
      <c r="X2" s="20">
        <v>987.13</v>
      </c>
      <c r="Y2" s="20">
        <v>1028.81</v>
      </c>
      <c r="Z2" s="20">
        <v>1071.6199999999999</v>
      </c>
      <c r="AA2" s="20">
        <v>1115.5899999999999</v>
      </c>
      <c r="AB2" s="20">
        <v>1160.75</v>
      </c>
      <c r="AC2" s="20">
        <v>1207.1199999999999</v>
      </c>
      <c r="AD2" s="20">
        <v>1254.73</v>
      </c>
      <c r="AE2" s="20">
        <v>1303.6099999999999</v>
      </c>
      <c r="AF2" s="20">
        <v>1353.79</v>
      </c>
      <c r="AG2" s="20">
        <v>1405.3</v>
      </c>
      <c r="AH2" s="20">
        <v>1458.17</v>
      </c>
      <c r="AI2" s="20">
        <v>1512.43</v>
      </c>
      <c r="AJ2" s="20">
        <v>1568.11</v>
      </c>
    </row>
    <row r="3" spans="1:36" x14ac:dyDescent="0.25">
      <c r="A3" t="s">
        <v>54</v>
      </c>
      <c r="B3" t="s">
        <v>59</v>
      </c>
      <c r="C3" t="s">
        <v>60</v>
      </c>
      <c r="D3" t="s">
        <v>57</v>
      </c>
      <c r="E3" t="s">
        <v>57</v>
      </c>
      <c r="F3" t="s">
        <v>57</v>
      </c>
      <c r="G3" t="s">
        <v>58</v>
      </c>
      <c r="H3">
        <v>0</v>
      </c>
      <c r="I3" s="20">
        <v>41.395121951219515</v>
      </c>
      <c r="J3" s="20">
        <v>42.43</v>
      </c>
      <c r="K3" s="20">
        <v>44.71</v>
      </c>
      <c r="L3" s="20">
        <v>47.09</v>
      </c>
      <c r="M3" s="20">
        <v>49.59</v>
      </c>
      <c r="N3" s="20">
        <v>52.21</v>
      </c>
      <c r="O3" s="20">
        <v>54.95</v>
      </c>
      <c r="P3" s="20">
        <v>57.82</v>
      </c>
      <c r="Q3" s="20">
        <v>60.82</v>
      </c>
      <c r="R3" s="20">
        <v>63.97</v>
      </c>
      <c r="S3" s="20">
        <v>67.27</v>
      </c>
      <c r="T3" s="20">
        <v>70.72</v>
      </c>
      <c r="U3" s="20">
        <v>74.33</v>
      </c>
      <c r="V3" s="20">
        <v>78.44</v>
      </c>
      <c r="W3" s="20">
        <v>82.73</v>
      </c>
      <c r="X3" s="20">
        <v>87.19</v>
      </c>
      <c r="Y3" s="20">
        <v>91.84</v>
      </c>
      <c r="Z3" s="20">
        <v>96.67</v>
      </c>
      <c r="AA3" s="20">
        <v>101.71</v>
      </c>
      <c r="AB3" s="20">
        <v>106.95</v>
      </c>
      <c r="AC3" s="20">
        <v>112.4</v>
      </c>
      <c r="AD3" s="20">
        <v>118.08</v>
      </c>
      <c r="AE3" s="20">
        <v>123.98</v>
      </c>
      <c r="AF3" s="20">
        <v>130.12</v>
      </c>
      <c r="AG3" s="20">
        <v>136.5</v>
      </c>
      <c r="AH3" s="20">
        <v>143.13999999999999</v>
      </c>
      <c r="AI3" s="20">
        <v>150.05000000000001</v>
      </c>
      <c r="AJ3" s="20">
        <v>157.22</v>
      </c>
    </row>
    <row r="4" spans="1:36" x14ac:dyDescent="0.25">
      <c r="A4" t="s">
        <v>54</v>
      </c>
      <c r="B4" t="s">
        <v>61</v>
      </c>
      <c r="C4" t="s">
        <v>62</v>
      </c>
      <c r="D4" t="s">
        <v>57</v>
      </c>
      <c r="E4" t="s">
        <v>57</v>
      </c>
      <c r="F4" t="s">
        <v>57</v>
      </c>
      <c r="G4" t="s">
        <v>58</v>
      </c>
      <c r="H4">
        <v>0</v>
      </c>
      <c r="I4" s="20">
        <v>2237.268292682927</v>
      </c>
      <c r="J4" s="20">
        <v>2293.1999999999998</v>
      </c>
      <c r="K4" s="20">
        <v>2374.59</v>
      </c>
      <c r="L4" s="20">
        <v>2458.36</v>
      </c>
      <c r="M4" s="20">
        <v>2544.56</v>
      </c>
      <c r="N4" s="20">
        <v>2633.26</v>
      </c>
      <c r="O4" s="20">
        <v>2724.53</v>
      </c>
      <c r="P4" s="20">
        <v>2818.44</v>
      </c>
      <c r="Q4" s="20">
        <v>2915.05</v>
      </c>
      <c r="R4" s="20">
        <v>3014.44</v>
      </c>
      <c r="S4" s="20">
        <v>3116.67</v>
      </c>
      <c r="T4" s="20">
        <v>3221.84</v>
      </c>
      <c r="U4" s="20">
        <v>3330</v>
      </c>
      <c r="V4" s="20">
        <v>3458.25</v>
      </c>
      <c r="W4" s="20">
        <v>3589.65</v>
      </c>
      <c r="X4" s="20">
        <v>3724.26</v>
      </c>
      <c r="Y4" s="20">
        <v>3862.15</v>
      </c>
      <c r="Z4" s="20">
        <v>4003.39</v>
      </c>
      <c r="AA4" s="20">
        <v>4148.04</v>
      </c>
      <c r="AB4" s="20">
        <v>4296.1899999999996</v>
      </c>
      <c r="AC4" s="20">
        <v>4447.8900000000003</v>
      </c>
      <c r="AD4" s="20">
        <v>4603.2299999999996</v>
      </c>
      <c r="AE4" s="20">
        <v>4762.29</v>
      </c>
      <c r="AF4" s="20">
        <v>4925.13</v>
      </c>
      <c r="AG4" s="20">
        <v>5091.84</v>
      </c>
      <c r="AH4" s="20">
        <v>5262.5</v>
      </c>
      <c r="AI4" s="20">
        <v>5437.2</v>
      </c>
      <c r="AJ4" s="20">
        <v>5616</v>
      </c>
    </row>
    <row r="5" spans="1:36" x14ac:dyDescent="0.25">
      <c r="A5" t="s">
        <v>54</v>
      </c>
      <c r="B5" t="s">
        <v>63</v>
      </c>
      <c r="C5" t="s">
        <v>64</v>
      </c>
      <c r="D5" t="s">
        <v>57</v>
      </c>
      <c r="E5" t="s">
        <v>57</v>
      </c>
      <c r="F5" t="s">
        <v>57</v>
      </c>
      <c r="G5" t="s">
        <v>58</v>
      </c>
      <c r="H5">
        <v>0</v>
      </c>
      <c r="I5" s="20">
        <v>4.1365853658536595</v>
      </c>
      <c r="J5" s="20">
        <v>4.24</v>
      </c>
      <c r="K5" s="20">
        <v>4.37</v>
      </c>
      <c r="L5" s="20">
        <v>4.49</v>
      </c>
      <c r="M5" s="20">
        <v>4.62</v>
      </c>
      <c r="N5" s="20">
        <v>4.75</v>
      </c>
      <c r="O5" s="20">
        <v>4.8899999999999997</v>
      </c>
      <c r="P5" s="20">
        <v>5.0199999999999996</v>
      </c>
      <c r="Q5" s="20">
        <v>5.16</v>
      </c>
      <c r="R5" s="20">
        <v>5.3</v>
      </c>
      <c r="S5" s="20">
        <v>5.45</v>
      </c>
      <c r="T5" s="20">
        <v>5.59</v>
      </c>
      <c r="U5" s="20">
        <v>5.74</v>
      </c>
      <c r="V5" s="20">
        <v>5.94</v>
      </c>
      <c r="W5" s="20">
        <v>6.14</v>
      </c>
      <c r="X5" s="20">
        <v>6.34</v>
      </c>
      <c r="Y5" s="20">
        <v>6.54</v>
      </c>
      <c r="Z5" s="20">
        <v>6.74</v>
      </c>
      <c r="AA5" s="20">
        <v>6.95</v>
      </c>
      <c r="AB5" s="20">
        <v>7.16</v>
      </c>
      <c r="AC5" s="20">
        <v>7.38</v>
      </c>
      <c r="AD5" s="20">
        <v>7.59</v>
      </c>
      <c r="AE5" s="20">
        <v>7.81</v>
      </c>
      <c r="AF5" s="20">
        <v>8.0299999999999994</v>
      </c>
      <c r="AG5" s="20">
        <v>8.25</v>
      </c>
      <c r="AH5" s="20">
        <v>8.48</v>
      </c>
      <c r="AI5" s="20">
        <v>8.7100000000000009</v>
      </c>
      <c r="AJ5" s="20">
        <v>8.94</v>
      </c>
    </row>
    <row r="6" spans="1:36" x14ac:dyDescent="0.25">
      <c r="A6" t="s">
        <v>54</v>
      </c>
      <c r="B6" t="s">
        <v>65</v>
      </c>
      <c r="C6" t="s">
        <v>66</v>
      </c>
      <c r="D6" t="s">
        <v>57</v>
      </c>
      <c r="E6" t="s">
        <v>57</v>
      </c>
      <c r="F6" t="s">
        <v>57</v>
      </c>
      <c r="G6" t="s">
        <v>58</v>
      </c>
      <c r="H6">
        <v>0</v>
      </c>
      <c r="I6" s="20">
        <v>339.43414634146347</v>
      </c>
      <c r="J6" s="20">
        <v>347.92</v>
      </c>
      <c r="K6" s="20">
        <v>359.86</v>
      </c>
      <c r="L6" s="20">
        <v>372.1</v>
      </c>
      <c r="M6" s="20">
        <v>384.66</v>
      </c>
      <c r="N6" s="20">
        <v>397.53</v>
      </c>
      <c r="O6" s="20">
        <v>410.73</v>
      </c>
      <c r="P6" s="20">
        <v>424.27</v>
      </c>
      <c r="Q6" s="20">
        <v>438.14</v>
      </c>
      <c r="R6" s="20">
        <v>452.37</v>
      </c>
      <c r="S6" s="20">
        <v>466.95</v>
      </c>
      <c r="T6" s="20">
        <v>481.9</v>
      </c>
      <c r="U6" s="20">
        <v>497.22</v>
      </c>
      <c r="V6" s="20">
        <v>516.30999999999995</v>
      </c>
      <c r="W6" s="20">
        <v>535.77</v>
      </c>
      <c r="X6" s="20">
        <v>555.6</v>
      </c>
      <c r="Y6" s="20">
        <v>575.82000000000005</v>
      </c>
      <c r="Z6" s="20">
        <v>596.41999999999996</v>
      </c>
      <c r="AA6" s="20">
        <v>617.41</v>
      </c>
      <c r="AB6" s="20">
        <v>638.79999999999995</v>
      </c>
      <c r="AC6" s="20">
        <v>660.6</v>
      </c>
      <c r="AD6" s="20">
        <v>682.8</v>
      </c>
      <c r="AE6" s="20">
        <v>705.43</v>
      </c>
      <c r="AF6" s="20">
        <v>728.48</v>
      </c>
      <c r="AG6" s="20">
        <v>751.95</v>
      </c>
      <c r="AH6" s="20">
        <v>775.87</v>
      </c>
      <c r="AI6" s="20">
        <v>800.23</v>
      </c>
      <c r="AJ6" s="20">
        <v>825.04</v>
      </c>
    </row>
    <row r="7" spans="1:36" x14ac:dyDescent="0.25">
      <c r="A7" t="s">
        <v>54</v>
      </c>
      <c r="B7" t="s">
        <v>67</v>
      </c>
      <c r="C7" t="s">
        <v>68</v>
      </c>
      <c r="D7" t="s">
        <v>57</v>
      </c>
      <c r="E7" t="s">
        <v>57</v>
      </c>
      <c r="F7" t="s">
        <v>57</v>
      </c>
      <c r="G7" t="s">
        <v>58</v>
      </c>
      <c r="H7">
        <v>0</v>
      </c>
      <c r="I7" s="20">
        <v>310.45853658536589</v>
      </c>
      <c r="J7" s="20">
        <v>318.22000000000003</v>
      </c>
      <c r="K7" s="20">
        <v>334.51</v>
      </c>
      <c r="L7" s="20">
        <v>351.54</v>
      </c>
      <c r="M7" s="20">
        <v>369.33</v>
      </c>
      <c r="N7" s="20">
        <v>387.92</v>
      </c>
      <c r="O7" s="20">
        <v>407.35</v>
      </c>
      <c r="P7" s="20">
        <v>427.64</v>
      </c>
      <c r="Q7" s="20">
        <v>448.83</v>
      </c>
      <c r="R7" s="20">
        <v>470.97</v>
      </c>
      <c r="S7" s="20">
        <v>494.08</v>
      </c>
      <c r="T7" s="20">
        <v>518.22</v>
      </c>
      <c r="U7" s="20">
        <v>543.41999999999996</v>
      </c>
      <c r="V7" s="20">
        <v>572.33000000000004</v>
      </c>
      <c r="W7" s="20">
        <v>602.36</v>
      </c>
      <c r="X7" s="20">
        <v>633.54999999999995</v>
      </c>
      <c r="Y7" s="20">
        <v>665.95</v>
      </c>
      <c r="Z7" s="20">
        <v>699.6</v>
      </c>
      <c r="AA7" s="20">
        <v>734.53</v>
      </c>
      <c r="AB7" s="20">
        <v>770.8</v>
      </c>
      <c r="AC7" s="20">
        <v>808.45</v>
      </c>
      <c r="AD7" s="20">
        <v>847.53</v>
      </c>
      <c r="AE7" s="20">
        <v>888.08</v>
      </c>
      <c r="AF7" s="20">
        <v>930.15</v>
      </c>
      <c r="AG7" s="20">
        <v>973.8</v>
      </c>
      <c r="AH7" s="20">
        <v>1019.08</v>
      </c>
      <c r="AI7" s="20">
        <v>1066.04</v>
      </c>
      <c r="AJ7" s="20">
        <v>1114.75</v>
      </c>
    </row>
    <row r="8" spans="1:36" x14ac:dyDescent="0.25">
      <c r="A8" t="s">
        <v>54</v>
      </c>
      <c r="B8" t="s">
        <v>69</v>
      </c>
      <c r="C8" t="s">
        <v>70</v>
      </c>
      <c r="D8" t="s">
        <v>57</v>
      </c>
      <c r="E8" t="s">
        <v>57</v>
      </c>
      <c r="F8" t="s">
        <v>57</v>
      </c>
      <c r="G8" t="s">
        <v>58</v>
      </c>
      <c r="H8">
        <v>0</v>
      </c>
      <c r="I8" s="20">
        <v>49.678048780487813</v>
      </c>
      <c r="J8" s="20">
        <v>50.92</v>
      </c>
      <c r="K8" s="20">
        <v>53.26</v>
      </c>
      <c r="L8" s="20">
        <v>55.69</v>
      </c>
      <c r="M8" s="20">
        <v>58.22</v>
      </c>
      <c r="N8" s="20">
        <v>60.85</v>
      </c>
      <c r="O8" s="20">
        <v>63.58</v>
      </c>
      <c r="P8" s="20">
        <v>66.42</v>
      </c>
      <c r="Q8" s="20">
        <v>69.37</v>
      </c>
      <c r="R8" s="20">
        <v>72.430000000000007</v>
      </c>
      <c r="S8" s="20">
        <v>75.61</v>
      </c>
      <c r="T8" s="20">
        <v>78.91</v>
      </c>
      <c r="U8" s="20">
        <v>82.34</v>
      </c>
      <c r="V8" s="20">
        <v>86.35</v>
      </c>
      <c r="W8" s="20">
        <v>90.49</v>
      </c>
      <c r="X8" s="20">
        <v>94.77</v>
      </c>
      <c r="Y8" s="20">
        <v>99.19</v>
      </c>
      <c r="Z8" s="20">
        <v>103.75</v>
      </c>
      <c r="AA8" s="20">
        <v>108.47</v>
      </c>
      <c r="AB8" s="20">
        <v>113.33</v>
      </c>
      <c r="AC8" s="20">
        <v>118.36</v>
      </c>
      <c r="AD8" s="20">
        <v>123.55</v>
      </c>
      <c r="AE8" s="20">
        <v>128.91</v>
      </c>
      <c r="AF8" s="20">
        <v>134.43</v>
      </c>
      <c r="AG8" s="20">
        <v>140.13999999999999</v>
      </c>
      <c r="AH8" s="20">
        <v>146.02000000000001</v>
      </c>
      <c r="AI8" s="20">
        <v>152.1</v>
      </c>
      <c r="AJ8" s="20">
        <v>158.37</v>
      </c>
    </row>
    <row r="9" spans="1:36" x14ac:dyDescent="0.25">
      <c r="A9" t="s">
        <v>54</v>
      </c>
      <c r="B9" t="s">
        <v>71</v>
      </c>
      <c r="C9" t="s">
        <v>72</v>
      </c>
      <c r="D9" t="s">
        <v>57</v>
      </c>
      <c r="E9" t="s">
        <v>57</v>
      </c>
      <c r="F9" t="s">
        <v>57</v>
      </c>
      <c r="G9" t="s">
        <v>58</v>
      </c>
      <c r="H9">
        <v>0</v>
      </c>
      <c r="I9" s="20">
        <v>82.79024390243903</v>
      </c>
      <c r="J9" s="20">
        <v>84.86</v>
      </c>
      <c r="K9" s="20">
        <v>89.93</v>
      </c>
      <c r="L9" s="20">
        <v>95.27</v>
      </c>
      <c r="M9" s="20">
        <v>100.91</v>
      </c>
      <c r="N9" s="20">
        <v>106.85</v>
      </c>
      <c r="O9" s="20">
        <v>113.11</v>
      </c>
      <c r="P9" s="20">
        <v>119.71</v>
      </c>
      <c r="Q9" s="20">
        <v>126.67</v>
      </c>
      <c r="R9" s="20">
        <v>133.99</v>
      </c>
      <c r="S9" s="20">
        <v>141.71</v>
      </c>
      <c r="T9" s="20">
        <v>149.84</v>
      </c>
      <c r="U9" s="20">
        <v>158.41</v>
      </c>
      <c r="V9" s="20">
        <v>167.78</v>
      </c>
      <c r="W9" s="20">
        <v>177.58</v>
      </c>
      <c r="X9" s="20">
        <v>187.83</v>
      </c>
      <c r="Y9" s="20">
        <v>198.55</v>
      </c>
      <c r="Z9" s="20">
        <v>209.76</v>
      </c>
      <c r="AA9" s="20">
        <v>221.48</v>
      </c>
      <c r="AB9" s="20">
        <v>233.73</v>
      </c>
      <c r="AC9" s="20">
        <v>246.54</v>
      </c>
      <c r="AD9" s="20">
        <v>259.91000000000003</v>
      </c>
      <c r="AE9" s="20">
        <v>273.89</v>
      </c>
      <c r="AF9" s="20">
        <v>288.49</v>
      </c>
      <c r="AG9" s="20">
        <v>303.73</v>
      </c>
      <c r="AH9" s="20">
        <v>319.64999999999998</v>
      </c>
      <c r="AI9" s="20">
        <v>336.28</v>
      </c>
      <c r="AJ9" s="20">
        <v>353.63</v>
      </c>
    </row>
    <row r="10" spans="1:36" x14ac:dyDescent="0.25">
      <c r="A10" t="s">
        <v>54</v>
      </c>
      <c r="B10" t="s">
        <v>73</v>
      </c>
      <c r="C10" t="s">
        <v>74</v>
      </c>
      <c r="D10" t="s">
        <v>57</v>
      </c>
      <c r="E10" t="s">
        <v>57</v>
      </c>
      <c r="F10" t="s">
        <v>57</v>
      </c>
      <c r="G10" t="s">
        <v>58</v>
      </c>
      <c r="H10">
        <v>0</v>
      </c>
      <c r="I10" s="20">
        <v>115.90243902439025</v>
      </c>
      <c r="J10" s="20">
        <v>118.8</v>
      </c>
      <c r="K10" s="20">
        <v>123.85</v>
      </c>
      <c r="L10" s="20">
        <v>129.07</v>
      </c>
      <c r="M10" s="20">
        <v>134.47</v>
      </c>
      <c r="N10" s="20">
        <v>140.06</v>
      </c>
      <c r="O10" s="20">
        <v>145.85</v>
      </c>
      <c r="P10" s="20">
        <v>151.84</v>
      </c>
      <c r="Q10" s="20">
        <v>158.04</v>
      </c>
      <c r="R10" s="20">
        <v>164.46</v>
      </c>
      <c r="S10" s="20">
        <v>171.1</v>
      </c>
      <c r="T10" s="20">
        <v>177.96</v>
      </c>
      <c r="U10" s="20">
        <v>185.06</v>
      </c>
      <c r="V10" s="20">
        <v>193.44</v>
      </c>
      <c r="W10" s="20">
        <v>202.06</v>
      </c>
      <c r="X10" s="20">
        <v>210.93</v>
      </c>
      <c r="Y10" s="20">
        <v>220.06</v>
      </c>
      <c r="Z10" s="20">
        <v>229.44</v>
      </c>
      <c r="AA10" s="20">
        <v>239.09</v>
      </c>
      <c r="AB10" s="20">
        <v>249.01</v>
      </c>
      <c r="AC10" s="20">
        <v>259.20999999999998</v>
      </c>
      <c r="AD10" s="20">
        <v>269.7</v>
      </c>
      <c r="AE10" s="20">
        <v>280.48</v>
      </c>
      <c r="AF10" s="20">
        <v>291.57</v>
      </c>
      <c r="AG10" s="20">
        <v>302.95999999999998</v>
      </c>
      <c r="AH10" s="20">
        <v>314.66000000000003</v>
      </c>
      <c r="AI10" s="20">
        <v>326.69</v>
      </c>
      <c r="AJ10" s="20">
        <v>339.06</v>
      </c>
    </row>
    <row r="11" spans="1:36" x14ac:dyDescent="0.25">
      <c r="A11" t="s">
        <v>54</v>
      </c>
      <c r="B11" t="s">
        <v>75</v>
      </c>
      <c r="C11" t="s">
        <v>76</v>
      </c>
      <c r="D11" t="s">
        <v>57</v>
      </c>
      <c r="E11" t="s">
        <v>57</v>
      </c>
      <c r="F11" t="s">
        <v>57</v>
      </c>
      <c r="G11" t="s">
        <v>58</v>
      </c>
      <c r="H11">
        <v>0</v>
      </c>
      <c r="I11" s="20">
        <v>57.951219512195124</v>
      </c>
      <c r="J11" s="20">
        <v>59.4</v>
      </c>
      <c r="K11" s="20">
        <v>62.77</v>
      </c>
      <c r="L11" s="20">
        <v>66.31</v>
      </c>
      <c r="M11" s="20">
        <v>70.03</v>
      </c>
      <c r="N11" s="20">
        <v>73.94</v>
      </c>
      <c r="O11" s="20">
        <v>78.05</v>
      </c>
      <c r="P11" s="20">
        <v>82.36</v>
      </c>
      <c r="Q11" s="20">
        <v>86.89</v>
      </c>
      <c r="R11" s="20">
        <v>91.66</v>
      </c>
      <c r="S11" s="20">
        <v>96.66</v>
      </c>
      <c r="T11" s="20">
        <v>101.91</v>
      </c>
      <c r="U11" s="20">
        <v>107.42</v>
      </c>
      <c r="V11" s="20">
        <v>113.34</v>
      </c>
      <c r="W11" s="20">
        <v>119.49</v>
      </c>
      <c r="X11" s="20">
        <v>125.9</v>
      </c>
      <c r="Y11" s="20">
        <v>132.57</v>
      </c>
      <c r="Z11" s="20">
        <v>139.51</v>
      </c>
      <c r="AA11" s="20">
        <v>146.74</v>
      </c>
      <c r="AB11" s="20">
        <v>154.25</v>
      </c>
      <c r="AC11" s="20">
        <v>162.07</v>
      </c>
      <c r="AD11" s="20">
        <v>170.2</v>
      </c>
      <c r="AE11" s="20">
        <v>178.66</v>
      </c>
      <c r="AF11" s="20">
        <v>187.45</v>
      </c>
      <c r="AG11" s="20">
        <v>196.59</v>
      </c>
      <c r="AH11" s="20">
        <v>206.1</v>
      </c>
      <c r="AI11" s="20">
        <v>215.97</v>
      </c>
      <c r="AJ11" s="20">
        <v>226.23</v>
      </c>
    </row>
    <row r="12" spans="1:36" x14ac:dyDescent="0.25">
      <c r="A12" t="s">
        <v>54</v>
      </c>
      <c r="B12" t="s">
        <v>77</v>
      </c>
      <c r="C12" t="s">
        <v>78</v>
      </c>
      <c r="D12" t="s">
        <v>57</v>
      </c>
      <c r="E12" t="s">
        <v>57</v>
      </c>
      <c r="F12" t="s">
        <v>57</v>
      </c>
      <c r="G12" t="s">
        <v>58</v>
      </c>
      <c r="H12">
        <v>0</v>
      </c>
      <c r="I12" s="20">
        <v>37.258536585365853</v>
      </c>
      <c r="J12" s="20">
        <v>38.19</v>
      </c>
      <c r="K12" s="20">
        <v>40.200000000000003</v>
      </c>
      <c r="L12" s="20">
        <v>42.3</v>
      </c>
      <c r="M12" s="20">
        <v>44.5</v>
      </c>
      <c r="N12" s="20">
        <v>46.8</v>
      </c>
      <c r="O12" s="20">
        <v>49.21</v>
      </c>
      <c r="P12" s="20">
        <v>51.73</v>
      </c>
      <c r="Q12" s="20">
        <v>54.37</v>
      </c>
      <c r="R12" s="20">
        <v>57.13</v>
      </c>
      <c r="S12" s="20">
        <v>60.02</v>
      </c>
      <c r="T12" s="20">
        <v>63.03</v>
      </c>
      <c r="U12" s="20">
        <v>66.19</v>
      </c>
      <c r="V12" s="20">
        <v>69.680000000000007</v>
      </c>
      <c r="W12" s="20">
        <v>73.31</v>
      </c>
      <c r="X12" s="20">
        <v>77.08</v>
      </c>
      <c r="Y12" s="20">
        <v>80.989999999999995</v>
      </c>
      <c r="Z12" s="20">
        <v>85.04</v>
      </c>
      <c r="AA12" s="20">
        <v>89.26</v>
      </c>
      <c r="AB12" s="20">
        <v>93.63</v>
      </c>
      <c r="AC12" s="20">
        <v>98.16</v>
      </c>
      <c r="AD12" s="20">
        <v>102.87</v>
      </c>
      <c r="AE12" s="20">
        <v>107.75</v>
      </c>
      <c r="AF12" s="20">
        <v>112.81</v>
      </c>
      <c r="AG12" s="20">
        <v>118.06</v>
      </c>
      <c r="AH12" s="20">
        <v>123.5</v>
      </c>
      <c r="AI12" s="20">
        <v>129.13999999999999</v>
      </c>
      <c r="AJ12" s="20">
        <v>134.97999999999999</v>
      </c>
    </row>
    <row r="13" spans="1:36" x14ac:dyDescent="0.25">
      <c r="A13" t="s">
        <v>54</v>
      </c>
      <c r="B13" t="s">
        <v>79</v>
      </c>
      <c r="C13" t="s">
        <v>80</v>
      </c>
      <c r="D13" t="s">
        <v>57</v>
      </c>
      <c r="E13" t="s">
        <v>57</v>
      </c>
      <c r="F13" t="s">
        <v>57</v>
      </c>
      <c r="G13" t="s">
        <v>58</v>
      </c>
      <c r="H13">
        <v>0</v>
      </c>
      <c r="I13" s="20">
        <v>1211.1414634146342</v>
      </c>
      <c r="J13" s="20">
        <v>1241.42</v>
      </c>
      <c r="K13" s="20">
        <v>1273.32</v>
      </c>
      <c r="L13" s="20">
        <v>1306.05</v>
      </c>
      <c r="M13" s="20">
        <v>1339.61</v>
      </c>
      <c r="N13" s="20">
        <v>1374.04</v>
      </c>
      <c r="O13" s="20">
        <v>1409.36</v>
      </c>
      <c r="P13" s="20">
        <v>1445.58</v>
      </c>
      <c r="Q13" s="20">
        <v>1482.73</v>
      </c>
      <c r="R13" s="20">
        <v>1520.83</v>
      </c>
      <c r="S13" s="20">
        <v>1559.92</v>
      </c>
      <c r="T13" s="20">
        <v>1600.01</v>
      </c>
      <c r="U13" s="20">
        <v>1641.13</v>
      </c>
      <c r="V13" s="20">
        <v>1667.55</v>
      </c>
      <c r="W13" s="20">
        <v>1694.4</v>
      </c>
      <c r="X13" s="20">
        <v>1721.68</v>
      </c>
      <c r="Y13" s="20">
        <v>1749.4</v>
      </c>
      <c r="Z13" s="20">
        <v>1777.56</v>
      </c>
      <c r="AA13" s="20">
        <v>1806.18</v>
      </c>
      <c r="AB13" s="20">
        <v>1835.26</v>
      </c>
      <c r="AC13" s="20">
        <v>1864.81</v>
      </c>
      <c r="AD13" s="20">
        <v>1894.83</v>
      </c>
      <c r="AE13" s="20">
        <v>1925.34</v>
      </c>
      <c r="AF13" s="20">
        <v>1956.34</v>
      </c>
      <c r="AG13" s="20">
        <v>1987.83</v>
      </c>
      <c r="AH13" s="20">
        <v>2019.84</v>
      </c>
      <c r="AI13" s="20">
        <v>2052.36</v>
      </c>
      <c r="AJ13" s="20">
        <v>2085.4</v>
      </c>
    </row>
    <row r="14" spans="1:36" x14ac:dyDescent="0.25">
      <c r="A14" t="s">
        <v>54</v>
      </c>
      <c r="B14" t="s">
        <v>81</v>
      </c>
      <c r="C14" t="s">
        <v>82</v>
      </c>
      <c r="D14" t="s">
        <v>57</v>
      </c>
      <c r="E14" t="s">
        <v>57</v>
      </c>
      <c r="F14" t="s">
        <v>57</v>
      </c>
      <c r="G14" t="s">
        <v>58</v>
      </c>
      <c r="H14">
        <v>0</v>
      </c>
      <c r="I14" s="20">
        <v>20.692682926829271</v>
      </c>
      <c r="J14" s="20">
        <v>21.21</v>
      </c>
      <c r="K14" s="20">
        <v>22.25</v>
      </c>
      <c r="L14" s="20">
        <v>23.33</v>
      </c>
      <c r="M14" s="20">
        <v>24.46</v>
      </c>
      <c r="N14" s="20">
        <v>25.63</v>
      </c>
      <c r="O14" s="20">
        <v>26.86</v>
      </c>
      <c r="P14" s="20">
        <v>28.13</v>
      </c>
      <c r="Q14" s="20">
        <v>29.46</v>
      </c>
      <c r="R14" s="20">
        <v>30.84</v>
      </c>
      <c r="S14" s="20">
        <v>32.29</v>
      </c>
      <c r="T14" s="20">
        <v>33.79</v>
      </c>
      <c r="U14" s="20">
        <v>35.35</v>
      </c>
      <c r="V14" s="20">
        <v>37.1</v>
      </c>
      <c r="W14" s="20">
        <v>38.9</v>
      </c>
      <c r="X14" s="20">
        <v>40.770000000000003</v>
      </c>
      <c r="Y14" s="20">
        <v>42.7</v>
      </c>
      <c r="Z14" s="20">
        <v>44.7</v>
      </c>
      <c r="AA14" s="20">
        <v>46.76</v>
      </c>
      <c r="AB14" s="20">
        <v>48.89</v>
      </c>
      <c r="AC14" s="20">
        <v>51.09</v>
      </c>
      <c r="AD14" s="20">
        <v>53.37</v>
      </c>
      <c r="AE14" s="20">
        <v>55.72</v>
      </c>
      <c r="AF14" s="20">
        <v>58.15</v>
      </c>
      <c r="AG14" s="20">
        <v>60.66</v>
      </c>
      <c r="AH14" s="20">
        <v>63.25</v>
      </c>
      <c r="AI14" s="20">
        <v>65.930000000000007</v>
      </c>
      <c r="AJ14" s="20">
        <v>68.69</v>
      </c>
    </row>
    <row r="15" spans="1:36" x14ac:dyDescent="0.25">
      <c r="A15" t="s">
        <v>54</v>
      </c>
      <c r="B15" t="s">
        <v>83</v>
      </c>
      <c r="C15" t="s">
        <v>84</v>
      </c>
      <c r="D15" t="s">
        <v>57</v>
      </c>
      <c r="E15" t="s">
        <v>57</v>
      </c>
      <c r="F15" t="s">
        <v>57</v>
      </c>
      <c r="G15" t="s">
        <v>58</v>
      </c>
      <c r="H15">
        <v>0</v>
      </c>
      <c r="I15" s="20">
        <v>53.814634146341461</v>
      </c>
      <c r="J15" s="20">
        <v>55.16</v>
      </c>
      <c r="K15" s="20">
        <v>58.36</v>
      </c>
      <c r="L15" s="20">
        <v>61.73</v>
      </c>
      <c r="M15" s="20">
        <v>65.27</v>
      </c>
      <c r="N15" s="20">
        <v>69</v>
      </c>
      <c r="O15" s="20">
        <v>72.930000000000007</v>
      </c>
      <c r="P15" s="20">
        <v>77.05</v>
      </c>
      <c r="Q15" s="20">
        <v>81.400000000000006</v>
      </c>
      <c r="R15" s="20">
        <v>85.96</v>
      </c>
      <c r="S15" s="20">
        <v>90.77</v>
      </c>
      <c r="T15" s="20">
        <v>95.82</v>
      </c>
      <c r="U15" s="20">
        <v>101.13</v>
      </c>
      <c r="V15" s="20">
        <v>106.96</v>
      </c>
      <c r="W15" s="20">
        <v>113.04</v>
      </c>
      <c r="X15" s="20">
        <v>119.39</v>
      </c>
      <c r="Y15" s="20">
        <v>126.03</v>
      </c>
      <c r="Z15" s="20">
        <v>132.94999999999999</v>
      </c>
      <c r="AA15" s="20">
        <v>140.16999999999999</v>
      </c>
      <c r="AB15" s="20">
        <v>147.71</v>
      </c>
      <c r="AC15" s="20">
        <v>155.57</v>
      </c>
      <c r="AD15" s="20">
        <v>163.78</v>
      </c>
      <c r="AE15" s="20">
        <v>172.33</v>
      </c>
      <c r="AF15" s="20">
        <v>181.25</v>
      </c>
      <c r="AG15" s="20">
        <v>190.56</v>
      </c>
      <c r="AH15" s="20">
        <v>200.25</v>
      </c>
      <c r="AI15" s="20">
        <v>210.36</v>
      </c>
      <c r="AJ15" s="20">
        <v>220.89</v>
      </c>
    </row>
    <row r="16" spans="1:36" x14ac:dyDescent="0.25">
      <c r="A16" t="s">
        <v>54</v>
      </c>
      <c r="B16" t="s">
        <v>85</v>
      </c>
      <c r="C16" t="s">
        <v>86</v>
      </c>
      <c r="D16" t="s">
        <v>57</v>
      </c>
      <c r="E16" t="s">
        <v>57</v>
      </c>
      <c r="F16" t="s">
        <v>57</v>
      </c>
      <c r="G16" t="s">
        <v>58</v>
      </c>
      <c r="H16">
        <v>0</v>
      </c>
      <c r="I16" s="20">
        <v>227.66829268292688</v>
      </c>
      <c r="J16" s="20">
        <v>233.36</v>
      </c>
      <c r="K16" s="20">
        <v>246.9</v>
      </c>
      <c r="L16" s="20">
        <v>261.14999999999998</v>
      </c>
      <c r="M16" s="20">
        <v>276.14</v>
      </c>
      <c r="N16" s="20">
        <v>291.93</v>
      </c>
      <c r="O16" s="20">
        <v>308.52999999999997</v>
      </c>
      <c r="P16" s="20">
        <v>326</v>
      </c>
      <c r="Q16" s="20">
        <v>344.37</v>
      </c>
      <c r="R16" s="20">
        <v>363.7</v>
      </c>
      <c r="S16" s="20">
        <v>384.02</v>
      </c>
      <c r="T16" s="20">
        <v>405.39</v>
      </c>
      <c r="U16" s="20">
        <v>427.87</v>
      </c>
      <c r="V16" s="20">
        <v>452.51</v>
      </c>
      <c r="W16" s="20">
        <v>478.25</v>
      </c>
      <c r="X16" s="20">
        <v>505.13</v>
      </c>
      <c r="Y16" s="20">
        <v>533.17999999999995</v>
      </c>
      <c r="Z16" s="20">
        <v>562.47</v>
      </c>
      <c r="AA16" s="20">
        <v>593.04</v>
      </c>
      <c r="AB16" s="20">
        <v>624.92999999999995</v>
      </c>
      <c r="AC16" s="20">
        <v>658.2</v>
      </c>
      <c r="AD16" s="20">
        <v>692.91</v>
      </c>
      <c r="AE16" s="20">
        <v>729.1</v>
      </c>
      <c r="AF16" s="20">
        <v>766.85</v>
      </c>
      <c r="AG16" s="20">
        <v>806.2</v>
      </c>
      <c r="AH16" s="20">
        <v>847.22</v>
      </c>
      <c r="AI16" s="20">
        <v>889.98</v>
      </c>
      <c r="AJ16" s="20">
        <v>934.54</v>
      </c>
    </row>
    <row r="17" spans="1:36" x14ac:dyDescent="0.25">
      <c r="A17" t="s">
        <v>54</v>
      </c>
      <c r="B17" t="s">
        <v>87</v>
      </c>
      <c r="C17" t="s">
        <v>88</v>
      </c>
      <c r="D17" t="s">
        <v>57</v>
      </c>
      <c r="E17" t="s">
        <v>57</v>
      </c>
      <c r="F17" t="s">
        <v>57</v>
      </c>
      <c r="G17" t="s">
        <v>58</v>
      </c>
      <c r="H17">
        <v>0</v>
      </c>
      <c r="I17" s="20">
        <v>66.234146341463415</v>
      </c>
      <c r="J17" s="20">
        <v>67.89</v>
      </c>
      <c r="K17" s="20">
        <v>71.53</v>
      </c>
      <c r="L17" s="20">
        <v>75.34</v>
      </c>
      <c r="M17" s="20">
        <v>79.34</v>
      </c>
      <c r="N17" s="20">
        <v>83.53</v>
      </c>
      <c r="O17" s="20">
        <v>87.91</v>
      </c>
      <c r="P17" s="20">
        <v>92.51</v>
      </c>
      <c r="Q17" s="20">
        <v>97.32</v>
      </c>
      <c r="R17" s="20">
        <v>102.35</v>
      </c>
      <c r="S17" s="20">
        <v>107.63</v>
      </c>
      <c r="T17" s="20">
        <v>113.15</v>
      </c>
      <c r="U17" s="20">
        <v>118.93</v>
      </c>
      <c r="V17" s="20">
        <v>125.51</v>
      </c>
      <c r="W17" s="20">
        <v>132.36000000000001</v>
      </c>
      <c r="X17" s="20">
        <v>139.5</v>
      </c>
      <c r="Y17" s="20">
        <v>146.94</v>
      </c>
      <c r="Z17" s="20">
        <v>154.68</v>
      </c>
      <c r="AA17" s="20">
        <v>162.72999999999999</v>
      </c>
      <c r="AB17" s="20">
        <v>171.12</v>
      </c>
      <c r="AC17" s="20">
        <v>179.85</v>
      </c>
      <c r="AD17" s="20">
        <v>188.92</v>
      </c>
      <c r="AE17" s="20">
        <v>198.37</v>
      </c>
      <c r="AF17" s="20">
        <v>208.19</v>
      </c>
      <c r="AG17" s="20">
        <v>218.41</v>
      </c>
      <c r="AH17" s="20">
        <v>229.03</v>
      </c>
      <c r="AI17" s="20">
        <v>240.08</v>
      </c>
      <c r="AJ17" s="20">
        <v>251.56</v>
      </c>
    </row>
    <row r="18" spans="1:36" x14ac:dyDescent="0.25">
      <c r="A18" t="s">
        <v>54</v>
      </c>
      <c r="B18" t="s">
        <v>89</v>
      </c>
      <c r="C18" t="s">
        <v>90</v>
      </c>
      <c r="D18" t="s">
        <v>57</v>
      </c>
      <c r="E18" t="s">
        <v>57</v>
      </c>
      <c r="F18" t="s">
        <v>57</v>
      </c>
      <c r="G18" t="s">
        <v>58</v>
      </c>
      <c r="H18">
        <v>0</v>
      </c>
      <c r="I18" s="20">
        <v>28.975609756097562</v>
      </c>
      <c r="J18" s="20">
        <v>29.7</v>
      </c>
      <c r="K18" s="20">
        <v>31.04</v>
      </c>
      <c r="L18" s="20">
        <v>32.42</v>
      </c>
      <c r="M18" s="20">
        <v>33.86</v>
      </c>
      <c r="N18" s="20">
        <v>35.36</v>
      </c>
      <c r="O18" s="20">
        <v>36.909999999999997</v>
      </c>
      <c r="P18" s="20">
        <v>38.520000000000003</v>
      </c>
      <c r="Q18" s="20">
        <v>40.19</v>
      </c>
      <c r="R18" s="20">
        <v>41.92</v>
      </c>
      <c r="S18" s="20">
        <v>43.72</v>
      </c>
      <c r="T18" s="20">
        <v>45.59</v>
      </c>
      <c r="U18" s="20">
        <v>47.52</v>
      </c>
      <c r="V18" s="20">
        <v>49.72</v>
      </c>
      <c r="W18" s="20">
        <v>51.99</v>
      </c>
      <c r="X18" s="20">
        <v>54.33</v>
      </c>
      <c r="Y18" s="20">
        <v>56.73</v>
      </c>
      <c r="Z18" s="20">
        <v>59.21</v>
      </c>
      <c r="AA18" s="20">
        <v>61.76</v>
      </c>
      <c r="AB18" s="20">
        <v>64.38</v>
      </c>
      <c r="AC18" s="20">
        <v>67.09</v>
      </c>
      <c r="AD18" s="20">
        <v>69.87</v>
      </c>
      <c r="AE18" s="20">
        <v>72.739999999999995</v>
      </c>
      <c r="AF18" s="20">
        <v>75.680000000000007</v>
      </c>
      <c r="AG18" s="20">
        <v>78.72</v>
      </c>
      <c r="AH18" s="20">
        <v>81.84</v>
      </c>
      <c r="AI18" s="20">
        <v>85.05</v>
      </c>
      <c r="AJ18" s="20">
        <v>88.36</v>
      </c>
    </row>
    <row r="19" spans="1:36" x14ac:dyDescent="0.25">
      <c r="A19" t="s">
        <v>54</v>
      </c>
      <c r="B19" t="s">
        <v>91</v>
      </c>
      <c r="C19" t="s">
        <v>92</v>
      </c>
      <c r="D19" t="s">
        <v>57</v>
      </c>
      <c r="E19" t="s">
        <v>57</v>
      </c>
      <c r="F19" t="s">
        <v>57</v>
      </c>
      <c r="G19" t="s">
        <v>58</v>
      </c>
      <c r="H19">
        <v>0</v>
      </c>
      <c r="I19" s="20">
        <v>49.678048780487813</v>
      </c>
      <c r="J19" s="20">
        <v>50.92</v>
      </c>
      <c r="K19" s="20">
        <v>52.61</v>
      </c>
      <c r="L19" s="20">
        <v>54.35</v>
      </c>
      <c r="M19" s="20">
        <v>56.13</v>
      </c>
      <c r="N19" s="20">
        <v>57.95</v>
      </c>
      <c r="O19" s="20">
        <v>59.81</v>
      </c>
      <c r="P19" s="20">
        <v>61.72</v>
      </c>
      <c r="Q19" s="20">
        <v>63.68</v>
      </c>
      <c r="R19" s="20">
        <v>65.680000000000007</v>
      </c>
      <c r="S19" s="20">
        <v>67.73</v>
      </c>
      <c r="T19" s="20">
        <v>69.83</v>
      </c>
      <c r="U19" s="20">
        <v>71.98</v>
      </c>
      <c r="V19" s="20">
        <v>74.69</v>
      </c>
      <c r="W19" s="20">
        <v>77.44</v>
      </c>
      <c r="X19" s="20">
        <v>80.239999999999995</v>
      </c>
      <c r="Y19" s="20">
        <v>83.1</v>
      </c>
      <c r="Z19" s="20">
        <v>86</v>
      </c>
      <c r="AA19" s="20">
        <v>88.96</v>
      </c>
      <c r="AB19" s="20">
        <v>91.97</v>
      </c>
      <c r="AC19" s="20">
        <v>95.03</v>
      </c>
      <c r="AD19" s="20">
        <v>98.15</v>
      </c>
      <c r="AE19" s="20">
        <v>101.32</v>
      </c>
      <c r="AF19" s="20">
        <v>104.54</v>
      </c>
      <c r="AG19" s="20">
        <v>107.83</v>
      </c>
      <c r="AH19" s="20">
        <v>111.17</v>
      </c>
      <c r="AI19" s="20">
        <v>114.57</v>
      </c>
      <c r="AJ19" s="20">
        <v>118.03</v>
      </c>
    </row>
    <row r="20" spans="1:36" x14ac:dyDescent="0.25">
      <c r="A20" t="s">
        <v>54</v>
      </c>
      <c r="B20" t="s">
        <v>93</v>
      </c>
      <c r="C20" t="s">
        <v>94</v>
      </c>
      <c r="D20" t="s">
        <v>57</v>
      </c>
      <c r="E20" t="s">
        <v>57</v>
      </c>
      <c r="F20" t="s">
        <v>57</v>
      </c>
      <c r="G20" t="s">
        <v>58</v>
      </c>
      <c r="H20">
        <v>0</v>
      </c>
      <c r="I20" s="20">
        <v>6.2048780487804889</v>
      </c>
      <c r="J20" s="20">
        <v>6.36</v>
      </c>
      <c r="K20" s="20">
        <v>6.67</v>
      </c>
      <c r="L20" s="20">
        <v>6.98</v>
      </c>
      <c r="M20" s="20">
        <v>7.31</v>
      </c>
      <c r="N20" s="20">
        <v>7.65</v>
      </c>
      <c r="O20" s="20">
        <v>8.01</v>
      </c>
      <c r="P20" s="20">
        <v>8.3800000000000008</v>
      </c>
      <c r="Q20" s="20">
        <v>8.76</v>
      </c>
      <c r="R20" s="20">
        <v>9.16</v>
      </c>
      <c r="S20" s="20">
        <v>9.58</v>
      </c>
      <c r="T20" s="20">
        <v>10.01</v>
      </c>
      <c r="U20" s="20">
        <v>10.46</v>
      </c>
      <c r="V20" s="20">
        <v>10.95</v>
      </c>
      <c r="W20" s="20">
        <v>11.45</v>
      </c>
      <c r="X20" s="20">
        <v>11.97</v>
      </c>
      <c r="Y20" s="20">
        <v>12.51</v>
      </c>
      <c r="Z20" s="20">
        <v>13.06</v>
      </c>
      <c r="AA20" s="20">
        <v>13.63</v>
      </c>
      <c r="AB20" s="20">
        <v>14.22</v>
      </c>
      <c r="AC20" s="20">
        <v>14.82</v>
      </c>
      <c r="AD20" s="20">
        <v>15.45</v>
      </c>
      <c r="AE20" s="20">
        <v>16.09</v>
      </c>
      <c r="AF20" s="20">
        <v>16.75</v>
      </c>
      <c r="AG20" s="20">
        <v>17.43</v>
      </c>
      <c r="AH20" s="20">
        <v>18.13</v>
      </c>
      <c r="AI20" s="20">
        <v>18.850000000000001</v>
      </c>
      <c r="AJ20" s="20">
        <v>19.59</v>
      </c>
    </row>
    <row r="21" spans="1:36" x14ac:dyDescent="0.25"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 spans="1:36" x14ac:dyDescent="0.25">
      <c r="I22" s="20">
        <f>SUM(I2:I20)</f>
        <v>5499.5121951219526</v>
      </c>
      <c r="J22" s="20">
        <f t="shared" ref="J22:AJ22" si="0">SUM(J2:J20)</f>
        <v>5636.9999999999991</v>
      </c>
      <c r="K22" s="20">
        <f t="shared" si="0"/>
        <v>5846.3899999999985</v>
      </c>
      <c r="L22" s="20">
        <f t="shared" si="0"/>
        <v>6062.82</v>
      </c>
      <c r="M22" s="20">
        <f t="shared" si="0"/>
        <v>6286.6200000000008</v>
      </c>
      <c r="N22" s="20">
        <f t="shared" si="0"/>
        <v>6518.01</v>
      </c>
      <c r="O22" s="20">
        <f t="shared" si="0"/>
        <v>6757.26</v>
      </c>
      <c r="P22" s="20">
        <f t="shared" si="0"/>
        <v>7004.6000000000013</v>
      </c>
      <c r="Q22" s="20">
        <f t="shared" si="0"/>
        <v>7260.3399999999992</v>
      </c>
      <c r="R22" s="20">
        <f t="shared" si="0"/>
        <v>7524.7500000000009</v>
      </c>
      <c r="S22" s="20">
        <f t="shared" si="0"/>
        <v>7798.17</v>
      </c>
      <c r="T22" s="20">
        <f t="shared" si="0"/>
        <v>8080.84</v>
      </c>
      <c r="U22" s="20">
        <f t="shared" si="0"/>
        <v>8373.119999999999</v>
      </c>
      <c r="V22" s="20">
        <f t="shared" si="0"/>
        <v>8693.9100000000017</v>
      </c>
      <c r="W22" s="20">
        <f t="shared" si="0"/>
        <v>9023.9600000000028</v>
      </c>
      <c r="X22" s="20">
        <f t="shared" si="0"/>
        <v>9363.5899999999983</v>
      </c>
      <c r="Y22" s="20">
        <f t="shared" si="0"/>
        <v>9713.0600000000013</v>
      </c>
      <c r="Z22" s="20">
        <f t="shared" si="0"/>
        <v>10072.57</v>
      </c>
      <c r="AA22" s="20">
        <f t="shared" si="0"/>
        <v>10442.499999999996</v>
      </c>
      <c r="AB22" s="20">
        <f t="shared" si="0"/>
        <v>10823.079999999996</v>
      </c>
      <c r="AC22" s="20">
        <f t="shared" si="0"/>
        <v>11214.640000000001</v>
      </c>
      <c r="AD22" s="20">
        <f t="shared" si="0"/>
        <v>11617.470000000003</v>
      </c>
      <c r="AE22" s="20">
        <f t="shared" si="0"/>
        <v>12031.9</v>
      </c>
      <c r="AF22" s="20">
        <f t="shared" si="0"/>
        <v>12458.2</v>
      </c>
      <c r="AG22" s="20">
        <f t="shared" si="0"/>
        <v>12896.759999999997</v>
      </c>
      <c r="AH22" s="20">
        <f t="shared" si="0"/>
        <v>13347.9</v>
      </c>
      <c r="AI22" s="20">
        <f>SUM(AI2:AI20)</f>
        <v>13812.02</v>
      </c>
      <c r="AJ22" s="20">
        <f>SUM(AJ2:AJ20)</f>
        <v>14289.39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CireLAC Demanda PJ</vt:lpstr>
      <vt:lpstr>GETR Demanda PJ</vt:lpstr>
      <vt:lpstr>WEO Demanda PJ</vt:lpstr>
      <vt:lpstr>GETR formato CireLAC</vt:lpstr>
      <vt:lpstr>WEO formato CireLAC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Salazar-Vargas</dc:creator>
  <cp:lastModifiedBy>Andrey Salazar-Vargas</cp:lastModifiedBy>
  <dcterms:created xsi:type="dcterms:W3CDTF">2026-05-29T15:19:51Z</dcterms:created>
  <dcterms:modified xsi:type="dcterms:W3CDTF">2026-05-29T20:05:21Z</dcterms:modified>
</cp:coreProperties>
</file>