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"/>
    </mc:Choice>
  </mc:AlternateContent>
  <xr:revisionPtr revIDLastSave="0" documentId="13_ncr:1_{D636FDCE-8FEF-4632-AE6D-8D05CABE5BB8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eadMe" sheetId="1" r:id="rId1"/>
    <sheet name="Historical" sheetId="2" r:id="rId2"/>
    <sheet name="Parameters" sheetId="3" r:id="rId3"/>
    <sheet name="Trajectory" sheetId="4" r:id="rId4"/>
    <sheet name="Comparison" sheetId="5" r:id="rId5"/>
    <sheet name="Export" sheetId="6" r:id="rId6"/>
    <sheet name="Sourc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0" i="6" l="1"/>
  <c r="J26" i="6"/>
  <c r="AD14" i="6"/>
  <c r="J7" i="6"/>
  <c r="J12" i="5"/>
  <c r="AH10" i="5"/>
  <c r="AZ8" i="5"/>
  <c r="BF6" i="5"/>
  <c r="J5" i="5"/>
  <c r="AO4" i="5"/>
  <c r="Q4" i="5"/>
  <c r="AU44" i="4"/>
  <c r="AT44" i="4"/>
  <c r="AQ44" i="4"/>
  <c r="AP44" i="4"/>
  <c r="AM44" i="4"/>
  <c r="AL44" i="4"/>
  <c r="AI44" i="4"/>
  <c r="AH44" i="4"/>
  <c r="AE44" i="4"/>
  <c r="AD44" i="4"/>
  <c r="AA44" i="4"/>
  <c r="Z44" i="4"/>
  <c r="W44" i="4"/>
  <c r="V44" i="4"/>
  <c r="S44" i="4"/>
  <c r="R44" i="4"/>
  <c r="O44" i="4"/>
  <c r="N44" i="4"/>
  <c r="K44" i="4"/>
  <c r="J44" i="4"/>
  <c r="G44" i="4"/>
  <c r="F44" i="4"/>
  <c r="C44" i="4"/>
  <c r="B44" i="4"/>
  <c r="AU43" i="4"/>
  <c r="AT43" i="4"/>
  <c r="AQ43" i="4"/>
  <c r="AP43" i="4"/>
  <c r="AM43" i="4"/>
  <c r="AL43" i="4"/>
  <c r="AI43" i="4"/>
  <c r="AH43" i="4"/>
  <c r="AE43" i="4"/>
  <c r="AD43" i="4"/>
  <c r="AA43" i="4"/>
  <c r="Z43" i="4"/>
  <c r="W43" i="4"/>
  <c r="V43" i="4"/>
  <c r="S43" i="4"/>
  <c r="R43" i="4"/>
  <c r="O43" i="4"/>
  <c r="N43" i="4"/>
  <c r="K43" i="4"/>
  <c r="J43" i="4"/>
  <c r="G43" i="4"/>
  <c r="F43" i="4"/>
  <c r="C43" i="4"/>
  <c r="B43" i="4"/>
  <c r="AU42" i="4"/>
  <c r="AT42" i="4"/>
  <c r="AQ42" i="4"/>
  <c r="AP42" i="4"/>
  <c r="AM42" i="4"/>
  <c r="AL42" i="4"/>
  <c r="AI42" i="4"/>
  <c r="AH42" i="4"/>
  <c r="AE42" i="4"/>
  <c r="AD42" i="4"/>
  <c r="AA42" i="4"/>
  <c r="Z42" i="4"/>
  <c r="W42" i="4"/>
  <c r="V42" i="4"/>
  <c r="S42" i="4"/>
  <c r="R42" i="4"/>
  <c r="O42" i="4"/>
  <c r="N42" i="4"/>
  <c r="K42" i="4"/>
  <c r="J42" i="4"/>
  <c r="G42" i="4"/>
  <c r="F42" i="4"/>
  <c r="C42" i="4"/>
  <c r="B42" i="4"/>
  <c r="AU41" i="4"/>
  <c r="AT41" i="4"/>
  <c r="AQ41" i="4"/>
  <c r="AP41" i="4"/>
  <c r="AM41" i="4"/>
  <c r="AL41" i="4"/>
  <c r="AI41" i="4"/>
  <c r="AH41" i="4"/>
  <c r="AE41" i="4"/>
  <c r="AD41" i="4"/>
  <c r="AA41" i="4"/>
  <c r="Z41" i="4"/>
  <c r="W41" i="4"/>
  <c r="V41" i="4"/>
  <c r="S41" i="4"/>
  <c r="R41" i="4"/>
  <c r="O41" i="4"/>
  <c r="N41" i="4"/>
  <c r="K41" i="4"/>
  <c r="J41" i="4"/>
  <c r="G41" i="4"/>
  <c r="F41" i="4"/>
  <c r="C41" i="4"/>
  <c r="B41" i="4"/>
  <c r="AU40" i="4"/>
  <c r="AT40" i="4"/>
  <c r="AQ40" i="4"/>
  <c r="AP40" i="4"/>
  <c r="AM40" i="4"/>
  <c r="AL40" i="4"/>
  <c r="AI40" i="4"/>
  <c r="AH40" i="4"/>
  <c r="AE40" i="4"/>
  <c r="AD40" i="4"/>
  <c r="AA40" i="4"/>
  <c r="Z40" i="4"/>
  <c r="W40" i="4"/>
  <c r="V40" i="4"/>
  <c r="S40" i="4"/>
  <c r="R40" i="4"/>
  <c r="T40" i="4" s="1"/>
  <c r="O40" i="4"/>
  <c r="N40" i="4"/>
  <c r="P40" i="4" s="1"/>
  <c r="K40" i="4"/>
  <c r="J40" i="4"/>
  <c r="L40" i="4" s="1"/>
  <c r="G40" i="4"/>
  <c r="F40" i="4"/>
  <c r="H40" i="4" s="1"/>
  <c r="C40" i="4"/>
  <c r="B40" i="4"/>
  <c r="D40" i="4" s="1"/>
  <c r="AU39" i="4"/>
  <c r="AT39" i="4"/>
  <c r="AV39" i="4" s="1"/>
  <c r="AQ39" i="4"/>
  <c r="AP39" i="4"/>
  <c r="AR39" i="4" s="1"/>
  <c r="AM39" i="4"/>
  <c r="AL39" i="4"/>
  <c r="AN39" i="4" s="1"/>
  <c r="AI39" i="4"/>
  <c r="AH39" i="4"/>
  <c r="AJ39" i="4" s="1"/>
  <c r="AE39" i="4"/>
  <c r="AD39" i="4"/>
  <c r="AF39" i="4" s="1"/>
  <c r="AA39" i="4"/>
  <c r="Z39" i="4"/>
  <c r="AB39" i="4" s="1"/>
  <c r="W39" i="4"/>
  <c r="V39" i="4"/>
  <c r="X39" i="4" s="1"/>
  <c r="S39" i="4"/>
  <c r="R39" i="4"/>
  <c r="T39" i="4" s="1"/>
  <c r="O39" i="4"/>
  <c r="Q39" i="4" s="1"/>
  <c r="N39" i="4"/>
  <c r="L39" i="4"/>
  <c r="K39" i="4"/>
  <c r="J39" i="4"/>
  <c r="G39" i="4"/>
  <c r="F39" i="4"/>
  <c r="C39" i="4"/>
  <c r="E39" i="4" s="1"/>
  <c r="B39" i="4"/>
  <c r="D39" i="4" s="1"/>
  <c r="AU38" i="4"/>
  <c r="AW38" i="4" s="1"/>
  <c r="AT38" i="4"/>
  <c r="AR38" i="4"/>
  <c r="AQ38" i="4"/>
  <c r="AP38" i="4"/>
  <c r="AM38" i="4"/>
  <c r="AL38" i="4"/>
  <c r="AN38" i="4" s="1"/>
  <c r="AI38" i="4"/>
  <c r="AK38" i="4" s="1"/>
  <c r="AH38" i="4"/>
  <c r="AJ38" i="4" s="1"/>
  <c r="AE38" i="4"/>
  <c r="AD38" i="4"/>
  <c r="AA38" i="4"/>
  <c r="Z38" i="4"/>
  <c r="AB38" i="4" s="1"/>
  <c r="W38" i="4"/>
  <c r="V38" i="4"/>
  <c r="X38" i="4" s="1"/>
  <c r="S38" i="4"/>
  <c r="R38" i="4"/>
  <c r="O38" i="4"/>
  <c r="N38" i="4"/>
  <c r="K38" i="4"/>
  <c r="J38" i="4"/>
  <c r="L38" i="4" s="1"/>
  <c r="G38" i="4"/>
  <c r="F38" i="4"/>
  <c r="H38" i="4" s="1"/>
  <c r="C38" i="4"/>
  <c r="B38" i="4"/>
  <c r="D38" i="4" s="1"/>
  <c r="AU37" i="4"/>
  <c r="AW37" i="4" s="1"/>
  <c r="AT37" i="4"/>
  <c r="AQ37" i="4"/>
  <c r="AP37" i="4"/>
  <c r="AR37" i="4" s="1"/>
  <c r="AM37" i="4"/>
  <c r="AL37" i="4"/>
  <c r="AI37" i="4"/>
  <c r="AK37" i="4" s="1"/>
  <c r="AH37" i="4"/>
  <c r="AJ37" i="4" s="1"/>
  <c r="AE37" i="4"/>
  <c r="AG37" i="4" s="1"/>
  <c r="AD37" i="4"/>
  <c r="AB37" i="4"/>
  <c r="AA37" i="4"/>
  <c r="Z37" i="4"/>
  <c r="W37" i="4"/>
  <c r="V37" i="4"/>
  <c r="X37" i="4" s="1"/>
  <c r="S37" i="4"/>
  <c r="U37" i="4" s="1"/>
  <c r="R37" i="4"/>
  <c r="T37" i="4" s="1"/>
  <c r="O37" i="4"/>
  <c r="Q37" i="4" s="1"/>
  <c r="N37" i="4"/>
  <c r="K37" i="4"/>
  <c r="J37" i="4"/>
  <c r="L37" i="4" s="1"/>
  <c r="G37" i="4"/>
  <c r="F37" i="4"/>
  <c r="C37" i="4"/>
  <c r="E37" i="4" s="1"/>
  <c r="B37" i="4"/>
  <c r="AU36" i="4"/>
  <c r="AW36" i="4" s="1"/>
  <c r="AT36" i="4"/>
  <c r="AQ36" i="4"/>
  <c r="AP36" i="4"/>
  <c r="AR36" i="4" s="1"/>
  <c r="AM36" i="4"/>
  <c r="AL36" i="4"/>
  <c r="AN36" i="4" s="1"/>
  <c r="AI36" i="4"/>
  <c r="AH36" i="4"/>
  <c r="AJ36" i="4" s="1"/>
  <c r="AE36" i="4"/>
  <c r="AG36" i="4" s="1"/>
  <c r="AD36" i="4"/>
  <c r="AA36" i="4"/>
  <c r="Z36" i="4"/>
  <c r="AB36" i="4" s="1"/>
  <c r="W36" i="4"/>
  <c r="V36" i="4"/>
  <c r="X36" i="4" s="1"/>
  <c r="S36" i="4"/>
  <c r="R36" i="4"/>
  <c r="P36" i="4"/>
  <c r="O36" i="4"/>
  <c r="Q36" i="4" s="1"/>
  <c r="N36" i="4"/>
  <c r="K36" i="4"/>
  <c r="M36" i="4" s="1"/>
  <c r="J36" i="4"/>
  <c r="L36" i="4" s="1"/>
  <c r="G36" i="4"/>
  <c r="F36" i="4"/>
  <c r="H36" i="4" s="1"/>
  <c r="E36" i="4"/>
  <c r="C36" i="4"/>
  <c r="B36" i="4"/>
  <c r="D36" i="4" s="1"/>
  <c r="AU35" i="4"/>
  <c r="AT35" i="4"/>
  <c r="AS35" i="4"/>
  <c r="AR35" i="4"/>
  <c r="AQ35" i="4"/>
  <c r="AP35" i="4"/>
  <c r="AM35" i="4"/>
  <c r="AL35" i="4"/>
  <c r="AK35" i="4"/>
  <c r="AJ35" i="4"/>
  <c r="AI35" i="4"/>
  <c r="AH35" i="4"/>
  <c r="AE35" i="4"/>
  <c r="AD35" i="4"/>
  <c r="AF35" i="4" s="1"/>
  <c r="AB35" i="4"/>
  <c r="AA35" i="4"/>
  <c r="AC35" i="4" s="1"/>
  <c r="Z35" i="4"/>
  <c r="W35" i="4"/>
  <c r="V35" i="4"/>
  <c r="X35" i="4" s="1"/>
  <c r="S35" i="4"/>
  <c r="R35" i="4"/>
  <c r="T35" i="4" s="1"/>
  <c r="P35" i="4"/>
  <c r="O35" i="4"/>
  <c r="N35" i="4"/>
  <c r="K35" i="4"/>
  <c r="J35" i="4"/>
  <c r="H35" i="4"/>
  <c r="G35" i="4"/>
  <c r="I35" i="4" s="1"/>
  <c r="F35" i="4"/>
  <c r="C35" i="4"/>
  <c r="B35" i="4"/>
  <c r="AU34" i="4"/>
  <c r="AW34" i="4" s="1"/>
  <c r="AT34" i="4"/>
  <c r="AV34" i="4" s="1"/>
  <c r="AQ34" i="4"/>
  <c r="AS34" i="4" s="1"/>
  <c r="AP34" i="4"/>
  <c r="AR34" i="4" s="1"/>
  <c r="AM34" i="4"/>
  <c r="AL34" i="4"/>
  <c r="AN34" i="4" s="1"/>
  <c r="AK34" i="4"/>
  <c r="AI34" i="4"/>
  <c r="AH34" i="4"/>
  <c r="AJ34" i="4" s="1"/>
  <c r="AE34" i="4"/>
  <c r="AD34" i="4"/>
  <c r="AC34" i="4"/>
  <c r="AB34" i="4"/>
  <c r="AA34" i="4"/>
  <c r="Z34" i="4"/>
  <c r="W34" i="4"/>
  <c r="V34" i="4"/>
  <c r="T34" i="4"/>
  <c r="S34" i="4"/>
  <c r="U34" i="4" s="1"/>
  <c r="R34" i="4"/>
  <c r="O34" i="4"/>
  <c r="N34" i="4"/>
  <c r="K34" i="4"/>
  <c r="J34" i="4"/>
  <c r="L34" i="4" s="1"/>
  <c r="G34" i="4"/>
  <c r="F34" i="4"/>
  <c r="H34" i="4" s="1"/>
  <c r="C34" i="4"/>
  <c r="B34" i="4"/>
  <c r="D34" i="4" s="1"/>
  <c r="AV33" i="4"/>
  <c r="AU33" i="4"/>
  <c r="AT33" i="4"/>
  <c r="AQ33" i="4"/>
  <c r="AP33" i="4"/>
  <c r="AN33" i="4"/>
  <c r="AM33" i="4"/>
  <c r="AO33" i="4" s="1"/>
  <c r="AL33" i="4"/>
  <c r="AI33" i="4"/>
  <c r="AH33" i="4"/>
  <c r="AF33" i="4"/>
  <c r="AE33" i="4"/>
  <c r="AG33" i="4" s="1"/>
  <c r="AD33" i="4"/>
  <c r="AA33" i="4"/>
  <c r="AC33" i="4" s="1"/>
  <c r="Z33" i="4"/>
  <c r="AB33" i="4" s="1"/>
  <c r="W33" i="4"/>
  <c r="V33" i="4"/>
  <c r="X33" i="4" s="1"/>
  <c r="U33" i="4"/>
  <c r="S33" i="4"/>
  <c r="R33" i="4"/>
  <c r="T33" i="4" s="1"/>
  <c r="O33" i="4"/>
  <c r="N33" i="4"/>
  <c r="M33" i="4"/>
  <c r="L33" i="4"/>
  <c r="K33" i="4"/>
  <c r="J33" i="4"/>
  <c r="G33" i="4"/>
  <c r="F33" i="4"/>
  <c r="H33" i="4" s="1"/>
  <c r="D33" i="4"/>
  <c r="C33" i="4"/>
  <c r="E33" i="4" s="1"/>
  <c r="B33" i="4"/>
  <c r="AU32" i="4"/>
  <c r="AT32" i="4"/>
  <c r="AR32" i="4"/>
  <c r="AQ32" i="4"/>
  <c r="AP32" i="4"/>
  <c r="AM32" i="4"/>
  <c r="AL32" i="4"/>
  <c r="AN32" i="4" s="1"/>
  <c r="AI32" i="4"/>
  <c r="AH32" i="4"/>
  <c r="AJ32" i="4" s="1"/>
  <c r="AF32" i="4"/>
  <c r="AE32" i="4"/>
  <c r="AD32" i="4"/>
  <c r="AA32" i="4"/>
  <c r="Z32" i="4"/>
  <c r="AB32" i="4" s="1"/>
  <c r="X32" i="4"/>
  <c r="W32" i="4"/>
  <c r="Y32" i="4" s="1"/>
  <c r="V32" i="4"/>
  <c r="S32" i="4"/>
  <c r="R32" i="4"/>
  <c r="T32" i="4" s="1"/>
  <c r="O32" i="4"/>
  <c r="Q32" i="4" s="1"/>
  <c r="N32" i="4"/>
  <c r="P32" i="4" s="1"/>
  <c r="K32" i="4"/>
  <c r="M32" i="4" s="1"/>
  <c r="J32" i="4"/>
  <c r="L32" i="4" s="1"/>
  <c r="G32" i="4"/>
  <c r="I32" i="4" s="1"/>
  <c r="F32" i="4"/>
  <c r="H32" i="4" s="1"/>
  <c r="C32" i="4"/>
  <c r="B32" i="4"/>
  <c r="D32" i="4" s="1"/>
  <c r="AU31" i="4"/>
  <c r="AT31" i="4"/>
  <c r="AV31" i="4" s="1"/>
  <c r="AR31" i="4"/>
  <c r="AQ31" i="4"/>
  <c r="AP31" i="4"/>
  <c r="AM31" i="4"/>
  <c r="AL31" i="4"/>
  <c r="AN31" i="4" s="1"/>
  <c r="AK31" i="4"/>
  <c r="AJ31" i="4"/>
  <c r="AI31" i="4"/>
  <c r="AH31" i="4"/>
  <c r="AE31" i="4"/>
  <c r="AG31" i="4" s="1"/>
  <c r="AD31" i="4"/>
  <c r="AF31" i="4" s="1"/>
  <c r="AB31" i="4"/>
  <c r="AA31" i="4"/>
  <c r="AC32" i="4" s="1"/>
  <c r="Z31" i="4"/>
  <c r="W31" i="4"/>
  <c r="Y31" i="4" s="1"/>
  <c r="V31" i="4"/>
  <c r="X31" i="4" s="1"/>
  <c r="T31" i="4"/>
  <c r="S31" i="4"/>
  <c r="U31" i="4" s="1"/>
  <c r="R31" i="4"/>
  <c r="O31" i="4"/>
  <c r="Q31" i="4" s="1"/>
  <c r="N31" i="4"/>
  <c r="P31" i="4" s="1"/>
  <c r="L31" i="4"/>
  <c r="K31" i="4"/>
  <c r="J31" i="4"/>
  <c r="G31" i="4"/>
  <c r="I31" i="4" s="1"/>
  <c r="F31" i="4"/>
  <c r="H31" i="4" s="1"/>
  <c r="E31" i="4"/>
  <c r="D31" i="4"/>
  <c r="C31" i="4"/>
  <c r="E32" i="4" s="1"/>
  <c r="B31" i="4"/>
  <c r="AU30" i="4"/>
  <c r="AW30" i="4" s="1"/>
  <c r="AT30" i="4"/>
  <c r="AV30" i="4" s="1"/>
  <c r="AR30" i="4"/>
  <c r="AQ30" i="4"/>
  <c r="AS31" i="4" s="1"/>
  <c r="AP30" i="4"/>
  <c r="AM30" i="4"/>
  <c r="AO30" i="4" s="1"/>
  <c r="AL30" i="4"/>
  <c r="AN30" i="4" s="1"/>
  <c r="AJ30" i="4"/>
  <c r="AI30" i="4"/>
  <c r="AK30" i="4" s="1"/>
  <c r="AH30" i="4"/>
  <c r="AE30" i="4"/>
  <c r="AG30" i="4" s="1"/>
  <c r="AD30" i="4"/>
  <c r="AF30" i="4" s="1"/>
  <c r="AB30" i="4"/>
  <c r="AA30" i="4"/>
  <c r="Z30" i="4"/>
  <c r="W30" i="4"/>
  <c r="Y30" i="4" s="1"/>
  <c r="V30" i="4"/>
  <c r="X30" i="4" s="1"/>
  <c r="U30" i="4"/>
  <c r="T30" i="4"/>
  <c r="S30" i="4"/>
  <c r="R30" i="4"/>
  <c r="O30" i="4"/>
  <c r="Q30" i="4" s="1"/>
  <c r="N30" i="4"/>
  <c r="P30" i="4" s="1"/>
  <c r="L30" i="4"/>
  <c r="K30" i="4"/>
  <c r="M31" i="4" s="1"/>
  <c r="J30" i="4"/>
  <c r="G30" i="4"/>
  <c r="I30" i="4" s="1"/>
  <c r="F30" i="4"/>
  <c r="H30" i="4" s="1"/>
  <c r="D30" i="4"/>
  <c r="C30" i="4"/>
  <c r="E30" i="4" s="1"/>
  <c r="B30" i="4"/>
  <c r="AU29" i="4"/>
  <c r="AW29" i="4" s="1"/>
  <c r="AT29" i="4"/>
  <c r="AV29" i="4" s="1"/>
  <c r="AR29" i="4"/>
  <c r="AQ29" i="4"/>
  <c r="AP29" i="4"/>
  <c r="AM29" i="4"/>
  <c r="AO29" i="4" s="1"/>
  <c r="AL29" i="4"/>
  <c r="AN29" i="4" s="1"/>
  <c r="AK29" i="4"/>
  <c r="AJ29" i="4"/>
  <c r="AI29" i="4"/>
  <c r="AH29" i="4"/>
  <c r="AE29" i="4"/>
  <c r="AG29" i="4" s="1"/>
  <c r="AD29" i="4"/>
  <c r="AF29" i="4" s="1"/>
  <c r="AB29" i="4"/>
  <c r="AA29" i="4"/>
  <c r="AC30" i="4" s="1"/>
  <c r="Z29" i="4"/>
  <c r="W29" i="4"/>
  <c r="Y29" i="4" s="1"/>
  <c r="V29" i="4"/>
  <c r="X29" i="4" s="1"/>
  <c r="T29" i="4"/>
  <c r="S29" i="4"/>
  <c r="U29" i="4" s="1"/>
  <c r="R29" i="4"/>
  <c r="O29" i="4"/>
  <c r="Q29" i="4" s="1"/>
  <c r="N29" i="4"/>
  <c r="P29" i="4" s="1"/>
  <c r="L29" i="4"/>
  <c r="K29" i="4"/>
  <c r="J29" i="4"/>
  <c r="G29" i="4"/>
  <c r="I29" i="4" s="1"/>
  <c r="F29" i="4"/>
  <c r="H29" i="4" s="1"/>
  <c r="E29" i="4"/>
  <c r="D29" i="4"/>
  <c r="C29" i="4"/>
  <c r="B29" i="4"/>
  <c r="AU28" i="4"/>
  <c r="AW28" i="4" s="1"/>
  <c r="AT28" i="4"/>
  <c r="AV28" i="4" s="1"/>
  <c r="AR28" i="4"/>
  <c r="AQ28" i="4"/>
  <c r="AS29" i="4" s="1"/>
  <c r="AP28" i="4"/>
  <c r="AM28" i="4"/>
  <c r="AO28" i="4" s="1"/>
  <c r="AL28" i="4"/>
  <c r="AN28" i="4" s="1"/>
  <c r="AJ28" i="4"/>
  <c r="AI28" i="4"/>
  <c r="AK28" i="4" s="1"/>
  <c r="AH28" i="4"/>
  <c r="AE28" i="4"/>
  <c r="AG28" i="4" s="1"/>
  <c r="AD28" i="4"/>
  <c r="AF28" i="4" s="1"/>
  <c r="AB28" i="4"/>
  <c r="AA28" i="4"/>
  <c r="AC28" i="4" s="1"/>
  <c r="Z28" i="4"/>
  <c r="W28" i="4"/>
  <c r="Y28" i="4" s="1"/>
  <c r="V28" i="4"/>
  <c r="X28" i="4" s="1"/>
  <c r="U28" i="4"/>
  <c r="T28" i="4"/>
  <c r="S28" i="4"/>
  <c r="R28" i="4"/>
  <c r="O28" i="4"/>
  <c r="Q28" i="4" s="1"/>
  <c r="N28" i="4"/>
  <c r="P28" i="4" s="1"/>
  <c r="L28" i="4"/>
  <c r="K28" i="4"/>
  <c r="M29" i="4" s="1"/>
  <c r="J28" i="4"/>
  <c r="G28" i="4"/>
  <c r="I28" i="4" s="1"/>
  <c r="F28" i="4"/>
  <c r="H28" i="4" s="1"/>
  <c r="E28" i="4"/>
  <c r="D28" i="4"/>
  <c r="C28" i="4"/>
  <c r="B28" i="4"/>
  <c r="AU27" i="4"/>
  <c r="AW27" i="4" s="1"/>
  <c r="AT27" i="4"/>
  <c r="AV27" i="4" s="1"/>
  <c r="AR27" i="4"/>
  <c r="AQ27" i="4"/>
  <c r="AS27" i="4" s="1"/>
  <c r="AP27" i="4"/>
  <c r="AM27" i="4"/>
  <c r="AO27" i="4" s="1"/>
  <c r="AL27" i="4"/>
  <c r="AN27" i="4" s="1"/>
  <c r="AK27" i="4"/>
  <c r="AJ27" i="4"/>
  <c r="AI27" i="4"/>
  <c r="AH27" i="4"/>
  <c r="AE27" i="4"/>
  <c r="AG27" i="4" s="1"/>
  <c r="AD27" i="4"/>
  <c r="AF27" i="4" s="1"/>
  <c r="AB27" i="4"/>
  <c r="AA27" i="4"/>
  <c r="AC27" i="4" s="1"/>
  <c r="Z27" i="4"/>
  <c r="W27" i="4"/>
  <c r="Y27" i="4" s="1"/>
  <c r="V27" i="4"/>
  <c r="X27" i="4" s="1"/>
  <c r="U27" i="4"/>
  <c r="T27" i="4"/>
  <c r="S27" i="4"/>
  <c r="R27" i="4"/>
  <c r="O27" i="4"/>
  <c r="Q27" i="4" s="1"/>
  <c r="N27" i="4"/>
  <c r="P27" i="4" s="1"/>
  <c r="L27" i="4"/>
  <c r="K27" i="4"/>
  <c r="M27" i="4" s="1"/>
  <c r="J27" i="4"/>
  <c r="G27" i="4"/>
  <c r="I27" i="4" s="1"/>
  <c r="F27" i="4"/>
  <c r="H27" i="4" s="1"/>
  <c r="E27" i="4"/>
  <c r="D27" i="4"/>
  <c r="C27" i="4"/>
  <c r="B27" i="4"/>
  <c r="AU26" i="4"/>
  <c r="AW26" i="4" s="1"/>
  <c r="AT26" i="4"/>
  <c r="AV26" i="4" s="1"/>
  <c r="AR26" i="4"/>
  <c r="AQ26" i="4"/>
  <c r="AS26" i="4" s="1"/>
  <c r="AP26" i="4"/>
  <c r="AM26" i="4"/>
  <c r="AO26" i="4" s="1"/>
  <c r="AL26" i="4"/>
  <c r="AN26" i="4" s="1"/>
  <c r="AK26" i="4"/>
  <c r="AJ26" i="4"/>
  <c r="AI26" i="4"/>
  <c r="AH26" i="4"/>
  <c r="AE26" i="4"/>
  <c r="AG26" i="4" s="1"/>
  <c r="AU12" i="5" s="1"/>
  <c r="AD26" i="4"/>
  <c r="AF26" i="4" s="1"/>
  <c r="AB26" i="4"/>
  <c r="AA26" i="4"/>
  <c r="AC26" i="4" s="1"/>
  <c r="Z26" i="4"/>
  <c r="W26" i="4"/>
  <c r="Y26" i="4" s="1"/>
  <c r="V26" i="4"/>
  <c r="X26" i="4" s="1"/>
  <c r="U26" i="4"/>
  <c r="T26" i="4"/>
  <c r="S26" i="4"/>
  <c r="R26" i="4"/>
  <c r="O26" i="4"/>
  <c r="Q26" i="4" s="1"/>
  <c r="N26" i="4"/>
  <c r="P26" i="4" s="1"/>
  <c r="L26" i="4"/>
  <c r="K26" i="4"/>
  <c r="M26" i="4" s="1"/>
  <c r="J26" i="4"/>
  <c r="G26" i="4"/>
  <c r="I26" i="4" s="1"/>
  <c r="F26" i="4"/>
  <c r="H26" i="4" s="1"/>
  <c r="E26" i="4"/>
  <c r="D26" i="4"/>
  <c r="C26" i="4"/>
  <c r="B26" i="4"/>
  <c r="AU25" i="4"/>
  <c r="AW25" i="4" s="1"/>
  <c r="AT25" i="4"/>
  <c r="AV25" i="4" s="1"/>
  <c r="AR25" i="4"/>
  <c r="AQ25" i="4"/>
  <c r="AS25" i="4" s="1"/>
  <c r="AP25" i="4"/>
  <c r="AM25" i="4"/>
  <c r="AO25" i="4" s="1"/>
  <c r="AL25" i="4"/>
  <c r="AN25" i="4" s="1"/>
  <c r="AK25" i="4"/>
  <c r="AJ25" i="4"/>
  <c r="AI25" i="4"/>
  <c r="AH25" i="4"/>
  <c r="AE25" i="4"/>
  <c r="AG25" i="4" s="1"/>
  <c r="AD25" i="4"/>
  <c r="AF25" i="4" s="1"/>
  <c r="AB25" i="4"/>
  <c r="AA25" i="4"/>
  <c r="AC25" i="4" s="1"/>
  <c r="Z25" i="4"/>
  <c r="W25" i="4"/>
  <c r="Y25" i="4" s="1"/>
  <c r="V25" i="4"/>
  <c r="X25" i="4" s="1"/>
  <c r="U25" i="4"/>
  <c r="T25" i="4"/>
  <c r="S25" i="4"/>
  <c r="R25" i="4"/>
  <c r="O25" i="4"/>
  <c r="Q25" i="4" s="1"/>
  <c r="N25" i="4"/>
  <c r="P25" i="4" s="1"/>
  <c r="L25" i="4"/>
  <c r="K25" i="4"/>
  <c r="M25" i="4" s="1"/>
  <c r="J25" i="4"/>
  <c r="G25" i="4"/>
  <c r="I25" i="4" s="1"/>
  <c r="F25" i="4"/>
  <c r="H25" i="4" s="1"/>
  <c r="E25" i="4"/>
  <c r="D25" i="4"/>
  <c r="C25" i="4"/>
  <c r="B25" i="4"/>
  <c r="AU24" i="4"/>
  <c r="AW24" i="4" s="1"/>
  <c r="AT24" i="4"/>
  <c r="AV24" i="4" s="1"/>
  <c r="AR24" i="4"/>
  <c r="AQ24" i="4"/>
  <c r="AS24" i="4" s="1"/>
  <c r="AP24" i="4"/>
  <c r="AM24" i="4"/>
  <c r="AO24" i="4" s="1"/>
  <c r="AL24" i="4"/>
  <c r="AN24" i="4" s="1"/>
  <c r="BF10" i="5" s="1"/>
  <c r="AK24" i="4"/>
  <c r="AJ24" i="4"/>
  <c r="AI24" i="4"/>
  <c r="AH24" i="4"/>
  <c r="AE24" i="4"/>
  <c r="AG24" i="4" s="1"/>
  <c r="AD24" i="4"/>
  <c r="AF24" i="4" s="1"/>
  <c r="AB24" i="4"/>
  <c r="AA24" i="4"/>
  <c r="AC24" i="4" s="1"/>
  <c r="Z24" i="4"/>
  <c r="W24" i="4"/>
  <c r="Y24" i="4" s="1"/>
  <c r="V24" i="4"/>
  <c r="X24" i="4" s="1"/>
  <c r="U24" i="4"/>
  <c r="T24" i="4"/>
  <c r="S24" i="4"/>
  <c r="R24" i="4"/>
  <c r="O24" i="4"/>
  <c r="Q24" i="4" s="1"/>
  <c r="N24" i="4"/>
  <c r="P24" i="4" s="1"/>
  <c r="L24" i="4"/>
  <c r="K24" i="4"/>
  <c r="M24" i="4" s="1"/>
  <c r="J24" i="4"/>
  <c r="G24" i="4"/>
  <c r="I24" i="4" s="1"/>
  <c r="F24" i="4"/>
  <c r="H24" i="4" s="1"/>
  <c r="E24" i="4"/>
  <c r="D24" i="4"/>
  <c r="C24" i="4"/>
  <c r="B24" i="4"/>
  <c r="AU23" i="4"/>
  <c r="AW23" i="4" s="1"/>
  <c r="AT23" i="4"/>
  <c r="AV23" i="4" s="1"/>
  <c r="AR23" i="4"/>
  <c r="AQ23" i="4"/>
  <c r="AS23" i="4" s="1"/>
  <c r="AP23" i="4"/>
  <c r="AM23" i="4"/>
  <c r="AO23" i="4" s="1"/>
  <c r="AL23" i="4"/>
  <c r="AN23" i="4" s="1"/>
  <c r="AK23" i="4"/>
  <c r="AJ23" i="4"/>
  <c r="AI23" i="4"/>
  <c r="AH23" i="4"/>
  <c r="AE23" i="4"/>
  <c r="AG23" i="4" s="1"/>
  <c r="AD23" i="4"/>
  <c r="AF23" i="4" s="1"/>
  <c r="AB23" i="4"/>
  <c r="AA23" i="4"/>
  <c r="AC23" i="4" s="1"/>
  <c r="Z23" i="4"/>
  <c r="W23" i="4"/>
  <c r="Y23" i="4" s="1"/>
  <c r="V23" i="4"/>
  <c r="X23" i="4" s="1"/>
  <c r="AH9" i="5" s="1"/>
  <c r="U23" i="4"/>
  <c r="T23" i="4"/>
  <c r="S23" i="4"/>
  <c r="R23" i="4"/>
  <c r="O23" i="4"/>
  <c r="Q23" i="4" s="1"/>
  <c r="N23" i="4"/>
  <c r="P23" i="4" s="1"/>
  <c r="L23" i="4"/>
  <c r="K23" i="4"/>
  <c r="M23" i="4" s="1"/>
  <c r="J23" i="4"/>
  <c r="G23" i="4"/>
  <c r="I23" i="4" s="1"/>
  <c r="F23" i="4"/>
  <c r="H23" i="4" s="1"/>
  <c r="E23" i="4"/>
  <c r="D23" i="4"/>
  <c r="D9" i="5" s="1"/>
  <c r="C23" i="4"/>
  <c r="B23" i="4"/>
  <c r="AU22" i="4"/>
  <c r="AW22" i="4" s="1"/>
  <c r="AT22" i="4"/>
  <c r="AV22" i="4" s="1"/>
  <c r="AR22" i="4"/>
  <c r="AQ22" i="4"/>
  <c r="AS22" i="4" s="1"/>
  <c r="AP22" i="4"/>
  <c r="AM22" i="4"/>
  <c r="AO22" i="4" s="1"/>
  <c r="AL22" i="4"/>
  <c r="AN22" i="4" s="1"/>
  <c r="AK22" i="4"/>
  <c r="AJ22" i="4"/>
  <c r="AI22" i="4"/>
  <c r="AH22" i="4"/>
  <c r="AE22" i="4"/>
  <c r="AG22" i="4" s="1"/>
  <c r="AD22" i="4"/>
  <c r="AF22" i="4" s="1"/>
  <c r="AB22" i="4"/>
  <c r="AA22" i="4"/>
  <c r="AC22" i="4" s="1"/>
  <c r="Z22" i="4"/>
  <c r="W22" i="4"/>
  <c r="Y22" i="4" s="1"/>
  <c r="V22" i="4"/>
  <c r="X22" i="4" s="1"/>
  <c r="U22" i="4"/>
  <c r="T22" i="4"/>
  <c r="S22" i="4"/>
  <c r="R22" i="4"/>
  <c r="O22" i="4"/>
  <c r="Q22" i="4" s="1"/>
  <c r="N22" i="4"/>
  <c r="P22" i="4" s="1"/>
  <c r="L22" i="4"/>
  <c r="K22" i="4"/>
  <c r="M22" i="4" s="1"/>
  <c r="J22" i="4"/>
  <c r="G22" i="4"/>
  <c r="I22" i="4" s="1"/>
  <c r="F22" i="4"/>
  <c r="H22" i="4" s="1"/>
  <c r="E22" i="4"/>
  <c r="D22" i="4"/>
  <c r="C22" i="4"/>
  <c r="B22" i="4"/>
  <c r="AU21" i="4"/>
  <c r="AW21" i="4" s="1"/>
  <c r="AT21" i="4"/>
  <c r="AV21" i="4" s="1"/>
  <c r="AR21" i="4"/>
  <c r="AQ21" i="4"/>
  <c r="AS21" i="4" s="1"/>
  <c r="AP21" i="4"/>
  <c r="AM21" i="4"/>
  <c r="AO21" i="4" s="1"/>
  <c r="AL21" i="4"/>
  <c r="AN21" i="4" s="1"/>
  <c r="AK21" i="4"/>
  <c r="AJ21" i="4"/>
  <c r="AZ7" i="5" s="1"/>
  <c r="AI21" i="4"/>
  <c r="AH21" i="4"/>
  <c r="AE21" i="4"/>
  <c r="AG21" i="4" s="1"/>
  <c r="AD21" i="4"/>
  <c r="AF21" i="4" s="1"/>
  <c r="AA21" i="4"/>
  <c r="AC21" i="4" s="1"/>
  <c r="Z21" i="4"/>
  <c r="W21" i="4"/>
  <c r="Y21" i="4" s="1"/>
  <c r="V21" i="4"/>
  <c r="X21" i="4" s="1"/>
  <c r="U21" i="4"/>
  <c r="S21" i="4"/>
  <c r="R21" i="4"/>
  <c r="O21" i="4"/>
  <c r="Q21" i="4" s="1"/>
  <c r="N21" i="4"/>
  <c r="P21" i="4" s="1"/>
  <c r="K21" i="4"/>
  <c r="M21" i="4" s="1"/>
  <c r="J21" i="4"/>
  <c r="G21" i="4"/>
  <c r="I21" i="4" s="1"/>
  <c r="F21" i="4"/>
  <c r="H21" i="4" s="1"/>
  <c r="E21" i="4"/>
  <c r="D21" i="4"/>
  <c r="C21" i="4"/>
  <c r="B21" i="4"/>
  <c r="AU20" i="4"/>
  <c r="AW20" i="4" s="1"/>
  <c r="AT20" i="4"/>
  <c r="AV20" i="4" s="1"/>
  <c r="AQ20" i="4"/>
  <c r="AS20" i="4" s="1"/>
  <c r="AP20" i="4"/>
  <c r="AM20" i="4"/>
  <c r="AO20" i="4" s="1"/>
  <c r="AL20" i="4"/>
  <c r="AN20" i="4" s="1"/>
  <c r="AK20" i="4"/>
  <c r="AI20" i="4"/>
  <c r="AH20" i="4"/>
  <c r="AE20" i="4"/>
  <c r="AG20" i="4" s="1"/>
  <c r="AD20" i="4"/>
  <c r="AF20" i="4" s="1"/>
  <c r="AA20" i="4"/>
  <c r="AC20" i="4" s="1"/>
  <c r="Z20" i="4"/>
  <c r="AB20" i="4" s="1"/>
  <c r="W20" i="4"/>
  <c r="Y20" i="4" s="1"/>
  <c r="V20" i="4"/>
  <c r="X20" i="4" s="1"/>
  <c r="U20" i="4"/>
  <c r="T20" i="4"/>
  <c r="S20" i="4"/>
  <c r="R20" i="4"/>
  <c r="T21" i="4" s="1"/>
  <c r="O20" i="4"/>
  <c r="Q20" i="4" s="1"/>
  <c r="N20" i="4"/>
  <c r="P20" i="4" s="1"/>
  <c r="K20" i="4"/>
  <c r="M20" i="4" s="1"/>
  <c r="J20" i="4"/>
  <c r="L21" i="4" s="1"/>
  <c r="G20" i="4"/>
  <c r="I20" i="4" s="1"/>
  <c r="F20" i="4"/>
  <c r="H20" i="4" s="1"/>
  <c r="E20" i="4"/>
  <c r="D20" i="4"/>
  <c r="C20" i="4"/>
  <c r="B20" i="4"/>
  <c r="AU19" i="4"/>
  <c r="AW19" i="4" s="1"/>
  <c r="AT19" i="4"/>
  <c r="AV19" i="4" s="1"/>
  <c r="AQ19" i="4"/>
  <c r="AS19" i="4" s="1"/>
  <c r="AP19" i="4"/>
  <c r="AR19" i="4" s="1"/>
  <c r="AM19" i="4"/>
  <c r="AO19" i="4" s="1"/>
  <c r="AL19" i="4"/>
  <c r="AN19" i="4" s="1"/>
  <c r="AK19" i="4"/>
  <c r="AJ19" i="4"/>
  <c r="AI19" i="4"/>
  <c r="AH19" i="4"/>
  <c r="AJ20" i="4" s="1"/>
  <c r="AE19" i="4"/>
  <c r="AG19" i="4" s="1"/>
  <c r="AD19" i="4"/>
  <c r="AF19" i="4" s="1"/>
  <c r="AA19" i="4"/>
  <c r="AC19" i="4" s="1"/>
  <c r="Z19" i="4"/>
  <c r="AB19" i="4" s="1"/>
  <c r="W19" i="4"/>
  <c r="Y19" i="4" s="1"/>
  <c r="V19" i="4"/>
  <c r="X19" i="4" s="1"/>
  <c r="AH5" i="5" s="1"/>
  <c r="U19" i="4"/>
  <c r="T19" i="4"/>
  <c r="S19" i="4"/>
  <c r="R19" i="4"/>
  <c r="O19" i="4"/>
  <c r="Q19" i="4" s="1"/>
  <c r="N19" i="4"/>
  <c r="P19" i="4" s="1"/>
  <c r="K19" i="4"/>
  <c r="M19" i="4" s="1"/>
  <c r="J19" i="4"/>
  <c r="L19" i="4" s="1"/>
  <c r="G19" i="4"/>
  <c r="I19" i="4" s="1"/>
  <c r="F19" i="4"/>
  <c r="H19" i="4" s="1"/>
  <c r="E19" i="4"/>
  <c r="D19" i="4"/>
  <c r="C19" i="4"/>
  <c r="B19" i="4"/>
  <c r="AW18" i="4"/>
  <c r="BS4" i="5" s="1"/>
  <c r="AV18" i="4"/>
  <c r="AS18" i="4"/>
  <c r="BM4" i="5" s="1"/>
  <c r="AR18" i="4"/>
  <c r="BL4" i="5" s="1"/>
  <c r="AO18" i="4"/>
  <c r="BG4" i="5" s="1"/>
  <c r="AN18" i="4"/>
  <c r="AK18" i="4"/>
  <c r="BA4" i="5" s="1"/>
  <c r="AJ18" i="4"/>
  <c r="AG18" i="4"/>
  <c r="AU4" i="5" s="1"/>
  <c r="AF18" i="4"/>
  <c r="AT4" i="5" s="1"/>
  <c r="AC18" i="4"/>
  <c r="AB18" i="4"/>
  <c r="Y18" i="4"/>
  <c r="AI4" i="5" s="1"/>
  <c r="X18" i="4"/>
  <c r="U18" i="4"/>
  <c r="AC4" i="5" s="1"/>
  <c r="T18" i="4"/>
  <c r="Q18" i="4"/>
  <c r="W4" i="5" s="1"/>
  <c r="P18" i="4"/>
  <c r="V4" i="5" s="1"/>
  <c r="M18" i="4"/>
  <c r="L18" i="4"/>
  <c r="P4" i="5" s="1"/>
  <c r="I18" i="4"/>
  <c r="K4" i="5" s="1"/>
  <c r="H18" i="4"/>
  <c r="E18" i="4"/>
  <c r="E4" i="5" s="1"/>
  <c r="D18" i="4"/>
  <c r="AW17" i="4"/>
  <c r="AV17" i="4"/>
  <c r="AS17" i="4"/>
  <c r="AR17" i="4"/>
  <c r="AO17" i="4"/>
  <c r="AN17" i="4"/>
  <c r="AK17" i="4"/>
  <c r="AJ17" i="4"/>
  <c r="AG17" i="4"/>
  <c r="AF17" i="4"/>
  <c r="AC17" i="4"/>
  <c r="AB17" i="4"/>
  <c r="Y17" i="4"/>
  <c r="X17" i="4"/>
  <c r="U17" i="4"/>
  <c r="T17" i="4"/>
  <c r="Q17" i="4"/>
  <c r="P17" i="4"/>
  <c r="M17" i="4"/>
  <c r="L17" i="4"/>
  <c r="I17" i="4"/>
  <c r="H17" i="4"/>
  <c r="E17" i="4"/>
  <c r="D17" i="4"/>
  <c r="AW16" i="4"/>
  <c r="AV16" i="4"/>
  <c r="AS16" i="4"/>
  <c r="AR16" i="4"/>
  <c r="AO16" i="4"/>
  <c r="AN16" i="4"/>
  <c r="AK16" i="4"/>
  <c r="AJ16" i="4"/>
  <c r="AG16" i="4"/>
  <c r="AF16" i="4"/>
  <c r="AC16" i="4"/>
  <c r="AB16" i="4"/>
  <c r="Y16" i="4"/>
  <c r="X16" i="4"/>
  <c r="U16" i="4"/>
  <c r="T16" i="4"/>
  <c r="Q16" i="4"/>
  <c r="P16" i="4"/>
  <c r="M16" i="4"/>
  <c r="L16" i="4"/>
  <c r="I16" i="4"/>
  <c r="H16" i="4"/>
  <c r="E16" i="4"/>
  <c r="D16" i="4"/>
  <c r="AW15" i="4"/>
  <c r="AV15" i="4"/>
  <c r="AS15" i="4"/>
  <c r="AR15" i="4"/>
  <c r="AO15" i="4"/>
  <c r="AN15" i="4"/>
  <c r="AK15" i="4"/>
  <c r="AJ15" i="4"/>
  <c r="AG15" i="4"/>
  <c r="AF15" i="4"/>
  <c r="AC15" i="4"/>
  <c r="AB15" i="4"/>
  <c r="Y15" i="4"/>
  <c r="X15" i="4"/>
  <c r="U15" i="4"/>
  <c r="T15" i="4"/>
  <c r="Q15" i="4"/>
  <c r="P15" i="4"/>
  <c r="M15" i="4"/>
  <c r="L15" i="4"/>
  <c r="I15" i="4"/>
  <c r="H15" i="4"/>
  <c r="E15" i="4"/>
  <c r="D15" i="4"/>
  <c r="AW14" i="4"/>
  <c r="AV14" i="4"/>
  <c r="AS14" i="4"/>
  <c r="AR14" i="4"/>
  <c r="AO14" i="4"/>
  <c r="AN14" i="4"/>
  <c r="AK14" i="4"/>
  <c r="AJ14" i="4"/>
  <c r="AG14" i="4"/>
  <c r="AF14" i="4"/>
  <c r="AC14" i="4"/>
  <c r="AB14" i="4"/>
  <c r="Y14" i="4"/>
  <c r="X14" i="4"/>
  <c r="U14" i="4"/>
  <c r="T14" i="4"/>
  <c r="Q14" i="4"/>
  <c r="P14" i="4"/>
  <c r="M14" i="4"/>
  <c r="L14" i="4"/>
  <c r="I14" i="4"/>
  <c r="H14" i="4"/>
  <c r="E14" i="4"/>
  <c r="D14" i="4"/>
  <c r="AW13" i="4"/>
  <c r="AV13" i="4"/>
  <c r="AS13" i="4"/>
  <c r="AR13" i="4"/>
  <c r="AO13" i="4"/>
  <c r="AN13" i="4"/>
  <c r="AK13" i="4"/>
  <c r="AJ13" i="4"/>
  <c r="AG13" i="4"/>
  <c r="AF13" i="4"/>
  <c r="AC13" i="4"/>
  <c r="AB13" i="4"/>
  <c r="Y13" i="4"/>
  <c r="X13" i="4"/>
  <c r="U13" i="4"/>
  <c r="T13" i="4"/>
  <c r="Q13" i="4"/>
  <c r="P13" i="4"/>
  <c r="M13" i="4"/>
  <c r="L13" i="4"/>
  <c r="I13" i="4"/>
  <c r="H13" i="4"/>
  <c r="E13" i="4"/>
  <c r="D13" i="4"/>
  <c r="AW12" i="4"/>
  <c r="AV12" i="4"/>
  <c r="AS12" i="4"/>
  <c r="AR12" i="4"/>
  <c r="AO12" i="4"/>
  <c r="AN12" i="4"/>
  <c r="AK12" i="4"/>
  <c r="AJ12" i="4"/>
  <c r="AG12" i="4"/>
  <c r="AF12" i="4"/>
  <c r="AC12" i="4"/>
  <c r="AB12" i="4"/>
  <c r="Y12" i="4"/>
  <c r="X12" i="4"/>
  <c r="U12" i="4"/>
  <c r="T12" i="4"/>
  <c r="Q12" i="4"/>
  <c r="P12" i="4"/>
  <c r="M12" i="4"/>
  <c r="L12" i="4"/>
  <c r="I12" i="4"/>
  <c r="H12" i="4"/>
  <c r="E12" i="4"/>
  <c r="D12" i="4"/>
  <c r="AW11" i="4"/>
  <c r="AV11" i="4"/>
  <c r="AS11" i="4"/>
  <c r="AR11" i="4"/>
  <c r="AO11" i="4"/>
  <c r="AN11" i="4"/>
  <c r="AK11" i="4"/>
  <c r="AJ11" i="4"/>
  <c r="AG11" i="4"/>
  <c r="AF11" i="4"/>
  <c r="AC11" i="4"/>
  <c r="AB11" i="4"/>
  <c r="Y11" i="4"/>
  <c r="X11" i="4"/>
  <c r="U11" i="4"/>
  <c r="T11" i="4"/>
  <c r="Q11" i="4"/>
  <c r="P11" i="4"/>
  <c r="M11" i="4"/>
  <c r="L11" i="4"/>
  <c r="I11" i="4"/>
  <c r="H11" i="4"/>
  <c r="E11" i="4"/>
  <c r="D11" i="4"/>
  <c r="AW10" i="4"/>
  <c r="AV10" i="4"/>
  <c r="AS10" i="4"/>
  <c r="AR10" i="4"/>
  <c r="AO10" i="4"/>
  <c r="AN10" i="4"/>
  <c r="AK10" i="4"/>
  <c r="AJ10" i="4"/>
  <c r="AG10" i="4"/>
  <c r="AF10" i="4"/>
  <c r="AC10" i="4"/>
  <c r="AB10" i="4"/>
  <c r="Y10" i="4"/>
  <c r="X10" i="4"/>
  <c r="U10" i="4"/>
  <c r="T10" i="4"/>
  <c r="Q10" i="4"/>
  <c r="P10" i="4"/>
  <c r="M10" i="4"/>
  <c r="L10" i="4"/>
  <c r="I10" i="4"/>
  <c r="H10" i="4"/>
  <c r="E10" i="4"/>
  <c r="D10" i="4"/>
  <c r="AW9" i="4"/>
  <c r="AV9" i="4"/>
  <c r="AS9" i="4"/>
  <c r="AR9" i="4"/>
  <c r="AO9" i="4"/>
  <c r="AN9" i="4"/>
  <c r="AK9" i="4"/>
  <c r="AJ9" i="4"/>
  <c r="AG9" i="4"/>
  <c r="AF9" i="4"/>
  <c r="AC9" i="4"/>
  <c r="AB9" i="4"/>
  <c r="Y9" i="4"/>
  <c r="X9" i="4"/>
  <c r="U9" i="4"/>
  <c r="T9" i="4"/>
  <c r="Q9" i="4"/>
  <c r="P9" i="4"/>
  <c r="M9" i="4"/>
  <c r="L9" i="4"/>
  <c r="I9" i="4"/>
  <c r="H9" i="4"/>
  <c r="E9" i="4"/>
  <c r="D9" i="4"/>
  <c r="AW8" i="4"/>
  <c r="AV8" i="4"/>
  <c r="AS8" i="4"/>
  <c r="AR8" i="4"/>
  <c r="AO8" i="4"/>
  <c r="AN8" i="4"/>
  <c r="AK8" i="4"/>
  <c r="AJ8" i="4"/>
  <c r="AG8" i="4"/>
  <c r="AF8" i="4"/>
  <c r="AC8" i="4"/>
  <c r="AB8" i="4"/>
  <c r="Y8" i="4"/>
  <c r="X8" i="4"/>
  <c r="U8" i="4"/>
  <c r="T8" i="4"/>
  <c r="Q8" i="4"/>
  <c r="P8" i="4"/>
  <c r="M8" i="4"/>
  <c r="L8" i="4"/>
  <c r="I8" i="4"/>
  <c r="H8" i="4"/>
  <c r="E8" i="4"/>
  <c r="D8" i="4"/>
  <c r="AW7" i="4"/>
  <c r="AV7" i="4"/>
  <c r="AS7" i="4"/>
  <c r="AR7" i="4"/>
  <c r="AO7" i="4"/>
  <c r="AN7" i="4"/>
  <c r="AK7" i="4"/>
  <c r="AJ7" i="4"/>
  <c r="AG7" i="4"/>
  <c r="AF7" i="4"/>
  <c r="AC7" i="4"/>
  <c r="AB7" i="4"/>
  <c r="Y7" i="4"/>
  <c r="X7" i="4"/>
  <c r="U7" i="4"/>
  <c r="T7" i="4"/>
  <c r="Q7" i="4"/>
  <c r="P7" i="4"/>
  <c r="M7" i="4"/>
  <c r="L7" i="4"/>
  <c r="I7" i="4"/>
  <c r="H7" i="4"/>
  <c r="E7" i="4"/>
  <c r="D7" i="4"/>
  <c r="AW6" i="4"/>
  <c r="AV6" i="4"/>
  <c r="AS6" i="4"/>
  <c r="AR6" i="4"/>
  <c r="AO6" i="4"/>
  <c r="AN6" i="4"/>
  <c r="AK6" i="4"/>
  <c r="AJ6" i="4"/>
  <c r="AG6" i="4"/>
  <c r="AF6" i="4"/>
  <c r="AC6" i="4"/>
  <c r="AB6" i="4"/>
  <c r="Y6" i="4"/>
  <c r="X6" i="4"/>
  <c r="U6" i="4"/>
  <c r="T6" i="4"/>
  <c r="Q6" i="4"/>
  <c r="P6" i="4"/>
  <c r="M6" i="4"/>
  <c r="L6" i="4"/>
  <c r="I6" i="4"/>
  <c r="H6" i="4"/>
  <c r="E6" i="4"/>
  <c r="D6" i="4"/>
  <c r="AW5" i="4"/>
  <c r="AV5" i="4"/>
  <c r="AS5" i="4"/>
  <c r="AR5" i="4"/>
  <c r="AO5" i="4"/>
  <c r="AN5" i="4"/>
  <c r="AK5" i="4"/>
  <c r="AJ5" i="4"/>
  <c r="AG5" i="4"/>
  <c r="AF5" i="4"/>
  <c r="AC5" i="4"/>
  <c r="AB5" i="4"/>
  <c r="Y5" i="4"/>
  <c r="X5" i="4"/>
  <c r="U5" i="4"/>
  <c r="T5" i="4"/>
  <c r="Q5" i="4"/>
  <c r="P5" i="4"/>
  <c r="M5" i="4"/>
  <c r="L5" i="4"/>
  <c r="I5" i="4"/>
  <c r="H5" i="4"/>
  <c r="E5" i="4"/>
  <c r="D5" i="4"/>
  <c r="Q22" i="6" l="1"/>
  <c r="Q82" i="6"/>
  <c r="Q11" i="5"/>
  <c r="U84" i="6"/>
  <c r="U24" i="6"/>
  <c r="AC15" i="5"/>
  <c r="L118" i="6"/>
  <c r="L103" i="6"/>
  <c r="L73" i="6"/>
  <c r="L43" i="6"/>
  <c r="L13" i="6"/>
  <c r="L58" i="6"/>
  <c r="AZ6" i="5"/>
  <c r="M112" i="6"/>
  <c r="M97" i="6"/>
  <c r="M67" i="6"/>
  <c r="M52" i="6"/>
  <c r="M37" i="6"/>
  <c r="M7" i="6"/>
  <c r="P7" i="5"/>
  <c r="O86" i="6"/>
  <c r="O26" i="6"/>
  <c r="AO9" i="5"/>
  <c r="R82" i="6"/>
  <c r="R22" i="6"/>
  <c r="Q12" i="5"/>
  <c r="X113" i="6"/>
  <c r="X98" i="6"/>
  <c r="X68" i="6"/>
  <c r="X38" i="6"/>
  <c r="X8" i="6"/>
  <c r="V18" i="5"/>
  <c r="X53" i="6"/>
  <c r="Z112" i="6"/>
  <c r="Z67" i="6"/>
  <c r="Z52" i="6"/>
  <c r="P20" i="5"/>
  <c r="Z7" i="6"/>
  <c r="L82" i="6"/>
  <c r="L22" i="6"/>
  <c r="Q6" i="5"/>
  <c r="M90" i="6"/>
  <c r="M30" i="6"/>
  <c r="BM7" i="5"/>
  <c r="P86" i="6"/>
  <c r="P26" i="6"/>
  <c r="AO10" i="5"/>
  <c r="BI10" i="5"/>
  <c r="S82" i="6"/>
  <c r="S22" i="6"/>
  <c r="Q13" i="5"/>
  <c r="W82" i="6"/>
  <c r="W22" i="6"/>
  <c r="Q17" i="5"/>
  <c r="V88" i="6"/>
  <c r="BA16" i="5"/>
  <c r="V28" i="6"/>
  <c r="K112" i="6"/>
  <c r="K97" i="6"/>
  <c r="K67" i="6"/>
  <c r="K52" i="6"/>
  <c r="K37" i="6"/>
  <c r="P5" i="5"/>
  <c r="K7" i="6"/>
  <c r="AJ5" i="5"/>
  <c r="L116" i="6"/>
  <c r="L101" i="6"/>
  <c r="L41" i="6"/>
  <c r="L11" i="6"/>
  <c r="L71" i="6"/>
  <c r="L56" i="6"/>
  <c r="AN6" i="5"/>
  <c r="N90" i="6"/>
  <c r="N30" i="6"/>
  <c r="BM8" i="5"/>
  <c r="Q26" i="6"/>
  <c r="Q86" i="6"/>
  <c r="AO11" i="5"/>
  <c r="U82" i="6"/>
  <c r="U22" i="6"/>
  <c r="Q15" i="5"/>
  <c r="T88" i="6"/>
  <c r="T28" i="6"/>
  <c r="BA14" i="5"/>
  <c r="K90" i="6"/>
  <c r="K30" i="6"/>
  <c r="BM5" i="5"/>
  <c r="U90" i="6"/>
  <c r="U30" i="6"/>
  <c r="BM15" i="5"/>
  <c r="O90" i="6"/>
  <c r="O30" i="6"/>
  <c r="BM9" i="5"/>
  <c r="K101" i="6"/>
  <c r="K71" i="6"/>
  <c r="K56" i="6"/>
  <c r="K116" i="6"/>
  <c r="K11" i="6"/>
  <c r="K41" i="6"/>
  <c r="AN5" i="5"/>
  <c r="M114" i="6"/>
  <c r="M69" i="6"/>
  <c r="M99" i="6"/>
  <c r="M54" i="6"/>
  <c r="M39" i="6"/>
  <c r="M9" i="6"/>
  <c r="AB7" i="5"/>
  <c r="L90" i="6"/>
  <c r="L30" i="6"/>
  <c r="BM6" i="5"/>
  <c r="N82" i="6"/>
  <c r="N22" i="6"/>
  <c r="Q8" i="5"/>
  <c r="P90" i="6"/>
  <c r="P30" i="6"/>
  <c r="BM10" i="5"/>
  <c r="S86" i="6"/>
  <c r="S26" i="6"/>
  <c r="AO13" i="5"/>
  <c r="V86" i="6"/>
  <c r="V26" i="6"/>
  <c r="AO16" i="5"/>
  <c r="V80" i="6"/>
  <c r="E16" i="5"/>
  <c r="V20" i="6"/>
  <c r="N86" i="6"/>
  <c r="N26" i="6"/>
  <c r="AO8" i="5"/>
  <c r="K82" i="6"/>
  <c r="Q5" i="5"/>
  <c r="K22" i="6"/>
  <c r="R86" i="6"/>
  <c r="R26" i="6"/>
  <c r="AO12" i="5"/>
  <c r="K86" i="6"/>
  <c r="K26" i="6"/>
  <c r="AO5" i="5"/>
  <c r="Q90" i="6"/>
  <c r="Q30" i="6"/>
  <c r="BM11" i="5"/>
  <c r="T86" i="6"/>
  <c r="T26" i="6"/>
  <c r="AO14" i="5"/>
  <c r="Z84" i="6"/>
  <c r="AC20" i="5"/>
  <c r="Z24" i="6"/>
  <c r="AB71" i="6"/>
  <c r="AB56" i="6"/>
  <c r="AB11" i="6"/>
  <c r="AN22" i="5"/>
  <c r="M86" i="6"/>
  <c r="M26" i="6"/>
  <c r="AO7" i="5"/>
  <c r="S90" i="6"/>
  <c r="S30" i="6"/>
  <c r="BM13" i="5"/>
  <c r="L86" i="6"/>
  <c r="L26" i="6"/>
  <c r="AO6" i="5"/>
  <c r="X80" i="6"/>
  <c r="X20" i="6"/>
  <c r="E18" i="5"/>
  <c r="O82" i="6"/>
  <c r="O22" i="6"/>
  <c r="Q9" i="5"/>
  <c r="K75" i="6"/>
  <c r="K105" i="6"/>
  <c r="K60" i="6"/>
  <c r="K120" i="6"/>
  <c r="K45" i="6"/>
  <c r="K15" i="6"/>
  <c r="BL5" i="5"/>
  <c r="M82" i="6"/>
  <c r="M22" i="6"/>
  <c r="Q7" i="5"/>
  <c r="P82" i="6"/>
  <c r="P22" i="6"/>
  <c r="Q10" i="5"/>
  <c r="R90" i="6"/>
  <c r="R30" i="6"/>
  <c r="BM12" i="5"/>
  <c r="W90" i="6"/>
  <c r="W30" i="6"/>
  <c r="BM17" i="5"/>
  <c r="W84" i="6"/>
  <c r="W24" i="6"/>
  <c r="AC17" i="5"/>
  <c r="Y80" i="6"/>
  <c r="Y20" i="6"/>
  <c r="E19" i="5"/>
  <c r="Z121" i="6"/>
  <c r="Z106" i="6"/>
  <c r="Z76" i="6"/>
  <c r="Z61" i="6"/>
  <c r="Z46" i="6"/>
  <c r="Z16" i="6"/>
  <c r="BR20" i="5"/>
  <c r="AC105" i="6"/>
  <c r="AC75" i="6"/>
  <c r="AC45" i="6"/>
  <c r="AC15" i="6"/>
  <c r="BL23" i="5"/>
  <c r="I111" i="6"/>
  <c r="I96" i="6"/>
  <c r="I66" i="6"/>
  <c r="I81" i="6"/>
  <c r="I51" i="6"/>
  <c r="I36" i="6"/>
  <c r="I21" i="6"/>
  <c r="I6" i="6"/>
  <c r="J111" i="6"/>
  <c r="J96" i="6"/>
  <c r="J66" i="6"/>
  <c r="J81" i="6"/>
  <c r="J51" i="6"/>
  <c r="J36" i="6"/>
  <c r="J21" i="6"/>
  <c r="J6" i="6"/>
  <c r="K110" i="6"/>
  <c r="K95" i="6"/>
  <c r="K65" i="6"/>
  <c r="K35" i="6"/>
  <c r="K5" i="6"/>
  <c r="K50" i="6"/>
  <c r="K76" i="6"/>
  <c r="K121" i="6"/>
  <c r="K106" i="6"/>
  <c r="K61" i="6"/>
  <c r="K46" i="6"/>
  <c r="K16" i="6"/>
  <c r="BR5" i="5"/>
  <c r="N117" i="6"/>
  <c r="N102" i="6"/>
  <c r="N72" i="6"/>
  <c r="N57" i="6"/>
  <c r="N42" i="6"/>
  <c r="N12" i="6"/>
  <c r="AT8" i="5"/>
  <c r="O76" i="6"/>
  <c r="O121" i="6"/>
  <c r="O106" i="6"/>
  <c r="O61" i="6"/>
  <c r="O46" i="6"/>
  <c r="O16" i="6"/>
  <c r="BR9" i="5"/>
  <c r="Q110" i="6"/>
  <c r="Q95" i="6"/>
  <c r="Q50" i="6"/>
  <c r="Q65" i="6"/>
  <c r="Q35" i="6"/>
  <c r="Q5" i="6"/>
  <c r="D11" i="5"/>
  <c r="R114" i="6"/>
  <c r="R99" i="6"/>
  <c r="R69" i="6"/>
  <c r="R54" i="6"/>
  <c r="AB12" i="5"/>
  <c r="R39" i="6"/>
  <c r="R9" i="6"/>
  <c r="S106" i="6"/>
  <c r="S76" i="6"/>
  <c r="S121" i="6"/>
  <c r="S61" i="6"/>
  <c r="BR13" i="5"/>
  <c r="S46" i="6"/>
  <c r="S16" i="6"/>
  <c r="U110" i="6"/>
  <c r="U65" i="6"/>
  <c r="U50" i="6"/>
  <c r="U95" i="6"/>
  <c r="U35" i="6"/>
  <c r="U5" i="6"/>
  <c r="D15" i="5"/>
  <c r="U118" i="6"/>
  <c r="U73" i="6"/>
  <c r="U103" i="6"/>
  <c r="U58" i="6"/>
  <c r="U43" i="6"/>
  <c r="U13" i="6"/>
  <c r="AZ15" i="5"/>
  <c r="X115" i="6"/>
  <c r="X100" i="6"/>
  <c r="X70" i="6"/>
  <c r="X55" i="6"/>
  <c r="X40" i="6"/>
  <c r="X10" i="6"/>
  <c r="AH18" i="5"/>
  <c r="AA69" i="6"/>
  <c r="AA9" i="6"/>
  <c r="AB21" i="5"/>
  <c r="AF112" i="6"/>
  <c r="AF67" i="6"/>
  <c r="P26" i="5"/>
  <c r="AF7" i="6"/>
  <c r="AR41" i="4"/>
  <c r="AB43" i="4"/>
  <c r="AR44" i="4"/>
  <c r="BI6" i="5"/>
  <c r="K83" i="6"/>
  <c r="K23" i="6"/>
  <c r="W5" i="5"/>
  <c r="M23" i="6"/>
  <c r="M83" i="6"/>
  <c r="W7" i="5"/>
  <c r="O80" i="6"/>
  <c r="O20" i="6"/>
  <c r="E9" i="5"/>
  <c r="G9" i="5" s="1"/>
  <c r="O83" i="6"/>
  <c r="O23" i="6"/>
  <c r="W9" i="5"/>
  <c r="P84" i="6"/>
  <c r="P24" i="6"/>
  <c r="AC10" i="5"/>
  <c r="P87" i="6"/>
  <c r="P27" i="6"/>
  <c r="AU10" i="5"/>
  <c r="Q80" i="6"/>
  <c r="Q20" i="6"/>
  <c r="E11" i="5"/>
  <c r="Q83" i="6"/>
  <c r="Q23" i="6"/>
  <c r="W11" i="5"/>
  <c r="S88" i="6"/>
  <c r="BA13" i="5"/>
  <c r="S28" i="6"/>
  <c r="S91" i="6"/>
  <c r="BS13" i="5"/>
  <c r="S31" i="6"/>
  <c r="T84" i="6"/>
  <c r="T24" i="6"/>
  <c r="AC14" i="5"/>
  <c r="T87" i="6"/>
  <c r="T27" i="6"/>
  <c r="AU14" i="5"/>
  <c r="U88" i="6"/>
  <c r="U28" i="6"/>
  <c r="BA15" i="5"/>
  <c r="U31" i="6"/>
  <c r="U91" i="6"/>
  <c r="BS15" i="5"/>
  <c r="V84" i="6"/>
  <c r="AC16" i="5"/>
  <c r="V24" i="6"/>
  <c r="V87" i="6"/>
  <c r="AU16" i="5"/>
  <c r="V27" i="6"/>
  <c r="X86" i="6"/>
  <c r="X26" i="6"/>
  <c r="AO18" i="5"/>
  <c r="W88" i="6"/>
  <c r="W28" i="6"/>
  <c r="BA17" i="5"/>
  <c r="X116" i="6"/>
  <c r="X101" i="6"/>
  <c r="X56" i="6"/>
  <c r="X41" i="6"/>
  <c r="X71" i="6"/>
  <c r="X11" i="6"/>
  <c r="AN18" i="5"/>
  <c r="Y110" i="6"/>
  <c r="Y95" i="6"/>
  <c r="Y65" i="6"/>
  <c r="Y50" i="6"/>
  <c r="Y35" i="6"/>
  <c r="Y5" i="6"/>
  <c r="D19" i="5"/>
  <c r="Y86" i="6"/>
  <c r="Y26" i="6"/>
  <c r="AO19" i="5"/>
  <c r="Z120" i="6"/>
  <c r="Z105" i="6"/>
  <c r="Z60" i="6"/>
  <c r="Z45" i="6"/>
  <c r="Z75" i="6"/>
  <c r="BL20" i="5"/>
  <c r="Z15" i="6"/>
  <c r="U35" i="4"/>
  <c r="AA54" i="6" s="1"/>
  <c r="AA105" i="6"/>
  <c r="AA75" i="6"/>
  <c r="AA60" i="6"/>
  <c r="AA120" i="6"/>
  <c r="BL21" i="5"/>
  <c r="AA15" i="6"/>
  <c r="AA45" i="6"/>
  <c r="AC80" i="6"/>
  <c r="AC20" i="6"/>
  <c r="E23" i="5"/>
  <c r="AG38" i="4"/>
  <c r="BB8" i="5"/>
  <c r="S4" i="5"/>
  <c r="R4" i="5"/>
  <c r="BO4" i="5"/>
  <c r="BN4" i="5"/>
  <c r="K66" i="6"/>
  <c r="K96" i="6"/>
  <c r="K51" i="6"/>
  <c r="K111" i="6"/>
  <c r="K36" i="6"/>
  <c r="K6" i="6"/>
  <c r="K119" i="6"/>
  <c r="K104" i="6"/>
  <c r="K74" i="6"/>
  <c r="K59" i="6"/>
  <c r="K14" i="6"/>
  <c r="K44" i="6"/>
  <c r="BF5" i="5"/>
  <c r="L20" i="4"/>
  <c r="L115" i="6"/>
  <c r="L100" i="6"/>
  <c r="L70" i="6"/>
  <c r="L55" i="6"/>
  <c r="L40" i="6"/>
  <c r="L10" i="6"/>
  <c r="AR20" i="4"/>
  <c r="M111" i="6"/>
  <c r="M96" i="6"/>
  <c r="M51" i="6"/>
  <c r="M36" i="6"/>
  <c r="M6" i="6"/>
  <c r="M66" i="6"/>
  <c r="J7" i="5"/>
  <c r="AB21" i="4"/>
  <c r="M119" i="6"/>
  <c r="M104" i="6"/>
  <c r="M59" i="6"/>
  <c r="M44" i="6"/>
  <c r="M14" i="6"/>
  <c r="M74" i="6"/>
  <c r="N112" i="6"/>
  <c r="N97" i="6"/>
  <c r="N67" i="6"/>
  <c r="N52" i="6"/>
  <c r="N37" i="6"/>
  <c r="N7" i="6"/>
  <c r="P8" i="5"/>
  <c r="N115" i="6"/>
  <c r="N100" i="6"/>
  <c r="N70" i="6"/>
  <c r="N55" i="6"/>
  <c r="N40" i="6"/>
  <c r="N10" i="6"/>
  <c r="AH8" i="5"/>
  <c r="N120" i="6"/>
  <c r="N105" i="6"/>
  <c r="N60" i="6"/>
  <c r="N75" i="6"/>
  <c r="N45" i="6"/>
  <c r="N15" i="6"/>
  <c r="BL8" i="5"/>
  <c r="O96" i="6"/>
  <c r="O111" i="6"/>
  <c r="O66" i="6"/>
  <c r="O51" i="6"/>
  <c r="O36" i="6"/>
  <c r="O6" i="6"/>
  <c r="O71" i="6"/>
  <c r="O116" i="6"/>
  <c r="O101" i="6"/>
  <c r="O41" i="6"/>
  <c r="O11" i="6"/>
  <c r="AN9" i="5"/>
  <c r="O104" i="6"/>
  <c r="O119" i="6"/>
  <c r="O74" i="6"/>
  <c r="O44" i="6"/>
  <c r="O14" i="6"/>
  <c r="O59" i="6"/>
  <c r="BF9" i="5"/>
  <c r="P97" i="6"/>
  <c r="P112" i="6"/>
  <c r="P67" i="6"/>
  <c r="P52" i="6"/>
  <c r="P37" i="6"/>
  <c r="P7" i="6"/>
  <c r="P10" i="5"/>
  <c r="P115" i="6"/>
  <c r="P100" i="6"/>
  <c r="P70" i="6"/>
  <c r="P55" i="6"/>
  <c r="P40" i="6"/>
  <c r="P10" i="6"/>
  <c r="P120" i="6"/>
  <c r="P75" i="6"/>
  <c r="P105" i="6"/>
  <c r="P60" i="6"/>
  <c r="P45" i="6"/>
  <c r="P15" i="6"/>
  <c r="BL10" i="5"/>
  <c r="Q111" i="6"/>
  <c r="Q66" i="6"/>
  <c r="Q96" i="6"/>
  <c r="Q51" i="6"/>
  <c r="Q36" i="6"/>
  <c r="Q6" i="6"/>
  <c r="J11" i="5"/>
  <c r="Q116" i="6"/>
  <c r="Q101" i="6"/>
  <c r="Q56" i="6"/>
  <c r="Q41" i="6"/>
  <c r="Q71" i="6"/>
  <c r="Q11" i="6"/>
  <c r="AN11" i="5"/>
  <c r="Q119" i="6"/>
  <c r="Q59" i="6"/>
  <c r="Q44" i="6"/>
  <c r="Q104" i="6"/>
  <c r="Q14" i="6"/>
  <c r="Q74" i="6"/>
  <c r="R112" i="6"/>
  <c r="R97" i="6"/>
  <c r="R67" i="6"/>
  <c r="R52" i="6"/>
  <c r="R7" i="6"/>
  <c r="P12" i="5"/>
  <c r="R115" i="6"/>
  <c r="R100" i="6"/>
  <c r="R70" i="6"/>
  <c r="R55" i="6"/>
  <c r="R40" i="6"/>
  <c r="R10" i="6"/>
  <c r="AH12" i="5"/>
  <c r="R120" i="6"/>
  <c r="R105" i="6"/>
  <c r="R75" i="6"/>
  <c r="R60" i="6"/>
  <c r="R45" i="6"/>
  <c r="BL12" i="5"/>
  <c r="R15" i="6"/>
  <c r="S111" i="6"/>
  <c r="S66" i="6"/>
  <c r="S51" i="6"/>
  <c r="S36" i="6"/>
  <c r="S6" i="6"/>
  <c r="J13" i="5"/>
  <c r="S96" i="6"/>
  <c r="S101" i="6"/>
  <c r="S116" i="6"/>
  <c r="S71" i="6"/>
  <c r="S56" i="6"/>
  <c r="S11" i="6"/>
  <c r="S41" i="6"/>
  <c r="AN13" i="5"/>
  <c r="S119" i="6"/>
  <c r="S59" i="6"/>
  <c r="S74" i="6"/>
  <c r="S14" i="6"/>
  <c r="BF13" i="5"/>
  <c r="S44" i="6"/>
  <c r="S104" i="6"/>
  <c r="T67" i="6"/>
  <c r="T7" i="6"/>
  <c r="P14" i="5"/>
  <c r="T115" i="6"/>
  <c r="T100" i="6"/>
  <c r="T55" i="6"/>
  <c r="T40" i="6"/>
  <c r="T10" i="6"/>
  <c r="AH14" i="5"/>
  <c r="T70" i="6"/>
  <c r="T75" i="6"/>
  <c r="T15" i="6"/>
  <c r="BL14" i="5"/>
  <c r="U111" i="6"/>
  <c r="U96" i="6"/>
  <c r="U66" i="6"/>
  <c r="U51" i="6"/>
  <c r="U36" i="6"/>
  <c r="U6" i="6"/>
  <c r="J15" i="5"/>
  <c r="U71" i="6"/>
  <c r="U11" i="6"/>
  <c r="AN15" i="5"/>
  <c r="U119" i="6"/>
  <c r="U104" i="6"/>
  <c r="U74" i="6"/>
  <c r="U44" i="6"/>
  <c r="U59" i="6"/>
  <c r="U14" i="6"/>
  <c r="BF15" i="5"/>
  <c r="V67" i="6"/>
  <c r="V7" i="6"/>
  <c r="P16" i="5"/>
  <c r="V115" i="6"/>
  <c r="V100" i="6"/>
  <c r="V70" i="6"/>
  <c r="V55" i="6"/>
  <c r="V40" i="6"/>
  <c r="AH16" i="5"/>
  <c r="V10" i="6"/>
  <c r="V75" i="6"/>
  <c r="V15" i="6"/>
  <c r="BL16" i="5"/>
  <c r="W96" i="6"/>
  <c r="W111" i="6"/>
  <c r="W66" i="6"/>
  <c r="W51" i="6"/>
  <c r="J17" i="5"/>
  <c r="W6" i="6"/>
  <c r="W36" i="6"/>
  <c r="W71" i="6"/>
  <c r="W101" i="6"/>
  <c r="W11" i="6"/>
  <c r="AN17" i="5"/>
  <c r="W74" i="6"/>
  <c r="W59" i="6"/>
  <c r="BF17" i="5"/>
  <c r="W14" i="6"/>
  <c r="X110" i="6"/>
  <c r="X95" i="6"/>
  <c r="X65" i="6"/>
  <c r="X50" i="6"/>
  <c r="X35" i="6"/>
  <c r="X5" i="6"/>
  <c r="D18" i="5"/>
  <c r="X83" i="6"/>
  <c r="X23" i="6"/>
  <c r="W18" i="5"/>
  <c r="AR33" i="4"/>
  <c r="Z114" i="6"/>
  <c r="Z99" i="6"/>
  <c r="Z69" i="6"/>
  <c r="Z54" i="6"/>
  <c r="Z39" i="6"/>
  <c r="AB20" i="5"/>
  <c r="Z9" i="6"/>
  <c r="AF34" i="4"/>
  <c r="Z90" i="6"/>
  <c r="BM20" i="5"/>
  <c r="Z30" i="6"/>
  <c r="AA111" i="6"/>
  <c r="AA66" i="6"/>
  <c r="AA96" i="6"/>
  <c r="J21" i="5"/>
  <c r="AA36" i="6"/>
  <c r="AA6" i="6"/>
  <c r="AA51" i="6"/>
  <c r="AA70" i="6"/>
  <c r="AA55" i="6"/>
  <c r="AH21" i="5"/>
  <c r="AA10" i="6"/>
  <c r="AA90" i="6"/>
  <c r="BM21" i="5"/>
  <c r="AA30" i="6"/>
  <c r="AB112" i="6"/>
  <c r="AB97" i="6"/>
  <c r="AB67" i="6"/>
  <c r="AB37" i="6"/>
  <c r="AB7" i="6"/>
  <c r="AB52" i="6"/>
  <c r="P22" i="5"/>
  <c r="AB74" i="6"/>
  <c r="AB104" i="6"/>
  <c r="AB14" i="6"/>
  <c r="BF22" i="5"/>
  <c r="H37" i="4"/>
  <c r="AD65" i="6"/>
  <c r="AD5" i="6"/>
  <c r="D24" i="5"/>
  <c r="AD118" i="6"/>
  <c r="AD103" i="6"/>
  <c r="AD73" i="6"/>
  <c r="AD58" i="6"/>
  <c r="AD43" i="6"/>
  <c r="AD13" i="6"/>
  <c r="AZ24" i="5"/>
  <c r="AD91" i="6"/>
  <c r="BS24" i="5"/>
  <c r="AD31" i="6"/>
  <c r="L117" i="6"/>
  <c r="L102" i="6"/>
  <c r="L57" i="6"/>
  <c r="L42" i="6"/>
  <c r="L72" i="6"/>
  <c r="L12" i="6"/>
  <c r="AT6" i="5"/>
  <c r="M121" i="6"/>
  <c r="M106" i="6"/>
  <c r="M61" i="6"/>
  <c r="M46" i="6"/>
  <c r="M76" i="6"/>
  <c r="M16" i="6"/>
  <c r="BR7" i="5"/>
  <c r="O113" i="6"/>
  <c r="O98" i="6"/>
  <c r="O68" i="6"/>
  <c r="O8" i="6"/>
  <c r="O38" i="6"/>
  <c r="O53" i="6"/>
  <c r="V9" i="5"/>
  <c r="Q118" i="6"/>
  <c r="Q103" i="6"/>
  <c r="Q73" i="6"/>
  <c r="Q58" i="6"/>
  <c r="Q43" i="6"/>
  <c r="Q13" i="6"/>
  <c r="R117" i="6"/>
  <c r="R102" i="6"/>
  <c r="R72" i="6"/>
  <c r="R57" i="6"/>
  <c r="R42" i="6"/>
  <c r="AT12" i="5"/>
  <c r="R12" i="6"/>
  <c r="T114" i="6"/>
  <c r="T99" i="6"/>
  <c r="T69" i="6"/>
  <c r="T54" i="6"/>
  <c r="T39" i="6"/>
  <c r="T9" i="6"/>
  <c r="AB14" i="5"/>
  <c r="V117" i="6"/>
  <c r="V102" i="6"/>
  <c r="V72" i="6"/>
  <c r="V57" i="6"/>
  <c r="V42" i="6"/>
  <c r="AT16" i="5"/>
  <c r="V12" i="6"/>
  <c r="Y116" i="6"/>
  <c r="Y101" i="6"/>
  <c r="Y56" i="6"/>
  <c r="Y41" i="6"/>
  <c r="Y71" i="6"/>
  <c r="Y11" i="6"/>
  <c r="AN19" i="5"/>
  <c r="AO34" i="4"/>
  <c r="AB118" i="6"/>
  <c r="AB73" i="6"/>
  <c r="AB58" i="6"/>
  <c r="AB13" i="6"/>
  <c r="AZ22" i="5"/>
  <c r="AE75" i="6"/>
  <c r="AE60" i="6"/>
  <c r="BL25" i="5"/>
  <c r="AE45" i="6"/>
  <c r="AE15" i="6"/>
  <c r="AB41" i="4"/>
  <c r="L43" i="4"/>
  <c r="AB44" i="4"/>
  <c r="D5" i="5"/>
  <c r="K91" i="6"/>
  <c r="K31" i="6"/>
  <c r="BS5" i="5"/>
  <c r="L84" i="6"/>
  <c r="L24" i="6"/>
  <c r="AC6" i="5"/>
  <c r="L87" i="6"/>
  <c r="L27" i="6"/>
  <c r="AU6" i="5"/>
  <c r="M88" i="6"/>
  <c r="M28" i="6"/>
  <c r="BA7" i="5"/>
  <c r="BC7" i="5" s="1"/>
  <c r="M91" i="6"/>
  <c r="M31" i="6"/>
  <c r="BS7" i="5"/>
  <c r="N84" i="6"/>
  <c r="N24" i="6"/>
  <c r="AC8" i="5"/>
  <c r="N87" i="6"/>
  <c r="AU8" i="5"/>
  <c r="N27" i="6"/>
  <c r="O88" i="6"/>
  <c r="O28" i="6"/>
  <c r="BA9" i="5"/>
  <c r="O91" i="6"/>
  <c r="BS9" i="5"/>
  <c r="Q88" i="6"/>
  <c r="Q28" i="6"/>
  <c r="BA11" i="5"/>
  <c r="Q91" i="6"/>
  <c r="Q31" i="6"/>
  <c r="BS11" i="5"/>
  <c r="R84" i="6"/>
  <c r="R24" i="6"/>
  <c r="AC12" i="5"/>
  <c r="R87" i="6"/>
  <c r="R27" i="6"/>
  <c r="S80" i="6"/>
  <c r="S20" i="6"/>
  <c r="E13" i="5"/>
  <c r="S83" i="6"/>
  <c r="W13" i="5"/>
  <c r="S23" i="6"/>
  <c r="U80" i="6"/>
  <c r="U20" i="6"/>
  <c r="E15" i="5"/>
  <c r="U83" i="6"/>
  <c r="U23" i="6"/>
  <c r="W15" i="5"/>
  <c r="W80" i="6"/>
  <c r="W20" i="6"/>
  <c r="E17" i="5"/>
  <c r="W83" i="6"/>
  <c r="W17" i="5"/>
  <c r="W23" i="6"/>
  <c r="P33" i="4"/>
  <c r="Y119" i="6"/>
  <c r="Y104" i="6"/>
  <c r="Y59" i="6"/>
  <c r="Y74" i="6"/>
  <c r="Y44" i="6"/>
  <c r="Y14" i="6"/>
  <c r="BF19" i="5"/>
  <c r="Z66" i="6"/>
  <c r="Z51" i="6"/>
  <c r="J20" i="5"/>
  <c r="Z6" i="6"/>
  <c r="Z86" i="6"/>
  <c r="AO20" i="5"/>
  <c r="Z26" i="6"/>
  <c r="AA81" i="6"/>
  <c r="K21" i="5"/>
  <c r="AA21" i="6"/>
  <c r="I36" i="4"/>
  <c r="AC84" i="6"/>
  <c r="AC24" i="6"/>
  <c r="AC23" i="5"/>
  <c r="AC118" i="6"/>
  <c r="AC73" i="6"/>
  <c r="AC103" i="6"/>
  <c r="AC58" i="6"/>
  <c r="AC43" i="6"/>
  <c r="AC13" i="6"/>
  <c r="AZ23" i="5"/>
  <c r="AE67" i="6"/>
  <c r="AE97" i="6"/>
  <c r="AE52" i="6"/>
  <c r="AE7" i="6"/>
  <c r="P25" i="5"/>
  <c r="K81" i="6"/>
  <c r="K21" i="6"/>
  <c r="K5" i="5"/>
  <c r="M5" i="5" s="1"/>
  <c r="K89" i="6"/>
  <c r="K29" i="6"/>
  <c r="BG5" i="5"/>
  <c r="L85" i="6"/>
  <c r="L25" i="6"/>
  <c r="AI6" i="5"/>
  <c r="M81" i="6"/>
  <c r="M21" i="6"/>
  <c r="K7" i="5"/>
  <c r="M29" i="6"/>
  <c r="BG7" i="5"/>
  <c r="M89" i="6"/>
  <c r="N85" i="6"/>
  <c r="AI8" i="5"/>
  <c r="N25" i="6"/>
  <c r="O81" i="6"/>
  <c r="O21" i="6"/>
  <c r="K9" i="5"/>
  <c r="O89" i="6"/>
  <c r="O29" i="6"/>
  <c r="BG9" i="5"/>
  <c r="P85" i="6"/>
  <c r="P25" i="6"/>
  <c r="AI10" i="5"/>
  <c r="AK10" i="5" s="1"/>
  <c r="Q81" i="6"/>
  <c r="Q21" i="6"/>
  <c r="K11" i="5"/>
  <c r="Q89" i="6"/>
  <c r="Q29" i="6"/>
  <c r="BG11" i="5"/>
  <c r="R85" i="6"/>
  <c r="R25" i="6"/>
  <c r="AI12" i="5"/>
  <c r="S81" i="6"/>
  <c r="S21" i="6"/>
  <c r="K13" i="5"/>
  <c r="S89" i="6"/>
  <c r="S29" i="6"/>
  <c r="BG13" i="5"/>
  <c r="M28" i="4"/>
  <c r="T85" i="6"/>
  <c r="T25" i="6"/>
  <c r="AI14" i="5"/>
  <c r="AS28" i="4"/>
  <c r="T105" i="6" s="1"/>
  <c r="U81" i="6"/>
  <c r="U21" i="6"/>
  <c r="K15" i="5"/>
  <c r="AC29" i="4"/>
  <c r="U56" i="6" s="1"/>
  <c r="U29" i="6"/>
  <c r="BG15" i="5"/>
  <c r="U89" i="6"/>
  <c r="M30" i="4"/>
  <c r="V52" i="6" s="1"/>
  <c r="V85" i="6"/>
  <c r="AI16" i="5"/>
  <c r="V25" i="6"/>
  <c r="AS30" i="4"/>
  <c r="V60" i="6" s="1"/>
  <c r="W81" i="6"/>
  <c r="K17" i="5"/>
  <c r="W21" i="6"/>
  <c r="AC31" i="4"/>
  <c r="W116" i="6" s="1"/>
  <c r="AS33" i="4"/>
  <c r="AS32" i="4"/>
  <c r="Y111" i="6"/>
  <c r="Y66" i="6"/>
  <c r="Y6" i="6"/>
  <c r="J19" i="5"/>
  <c r="Y114" i="6"/>
  <c r="Y99" i="6"/>
  <c r="Y54" i="6"/>
  <c r="Y39" i="6"/>
  <c r="Y9" i="6"/>
  <c r="Y69" i="6"/>
  <c r="AB19" i="5"/>
  <c r="Y87" i="6"/>
  <c r="Y27" i="6"/>
  <c r="AU19" i="5"/>
  <c r="L35" i="4"/>
  <c r="AA103" i="6"/>
  <c r="AA118" i="6"/>
  <c r="AA73" i="6"/>
  <c r="AA58" i="6"/>
  <c r="AA43" i="6"/>
  <c r="AA13" i="6"/>
  <c r="AZ21" i="5"/>
  <c r="AV35" i="4"/>
  <c r="AB82" i="6"/>
  <c r="AB22" i="6"/>
  <c r="Q22" i="5"/>
  <c r="U38" i="4"/>
  <c r="AD88" i="6"/>
  <c r="AD28" i="6"/>
  <c r="BA24" i="5"/>
  <c r="AE95" i="6"/>
  <c r="AE65" i="6"/>
  <c r="AE110" i="6"/>
  <c r="AE35" i="6"/>
  <c r="AE5" i="6"/>
  <c r="D25" i="5"/>
  <c r="AE50" i="6"/>
  <c r="J9" i="5"/>
  <c r="M113" i="6"/>
  <c r="M98" i="6"/>
  <c r="M53" i="6"/>
  <c r="M38" i="6"/>
  <c r="M8" i="6"/>
  <c r="M68" i="6"/>
  <c r="V7" i="5"/>
  <c r="N114" i="6"/>
  <c r="N99" i="6"/>
  <c r="N69" i="6"/>
  <c r="N54" i="6"/>
  <c r="N39" i="6"/>
  <c r="N9" i="6"/>
  <c r="AB8" i="5"/>
  <c r="P114" i="6"/>
  <c r="P99" i="6"/>
  <c r="P54" i="6"/>
  <c r="P39" i="6"/>
  <c r="P9" i="6"/>
  <c r="P69" i="6"/>
  <c r="Q121" i="6"/>
  <c r="Q106" i="6"/>
  <c r="Q61" i="6"/>
  <c r="Q76" i="6"/>
  <c r="Q46" i="6"/>
  <c r="Q16" i="6"/>
  <c r="BR11" i="5"/>
  <c r="S98" i="6"/>
  <c r="S68" i="6"/>
  <c r="S53" i="6"/>
  <c r="S113" i="6"/>
  <c r="V13" i="5"/>
  <c r="S38" i="6"/>
  <c r="S8" i="6"/>
  <c r="T117" i="6"/>
  <c r="T102" i="6"/>
  <c r="T72" i="6"/>
  <c r="T57" i="6"/>
  <c r="T42" i="6"/>
  <c r="T12" i="6"/>
  <c r="AT14" i="5"/>
  <c r="U121" i="6"/>
  <c r="U106" i="6"/>
  <c r="U46" i="6"/>
  <c r="U76" i="6"/>
  <c r="U61" i="6"/>
  <c r="U16" i="6"/>
  <c r="BR15" i="5"/>
  <c r="W110" i="6"/>
  <c r="W95" i="6"/>
  <c r="W65" i="6"/>
  <c r="W50" i="6"/>
  <c r="W35" i="6"/>
  <c r="W5" i="6"/>
  <c r="D17" i="5"/>
  <c r="W73" i="6"/>
  <c r="W118" i="6"/>
  <c r="W103" i="6"/>
  <c r="W43" i="6"/>
  <c r="W58" i="6"/>
  <c r="W13" i="6"/>
  <c r="AZ17" i="5"/>
  <c r="X74" i="6"/>
  <c r="X14" i="6"/>
  <c r="BF18" i="5"/>
  <c r="E34" i="4"/>
  <c r="AE101" i="6"/>
  <c r="AE71" i="6"/>
  <c r="AN25" i="5"/>
  <c r="AE11" i="6"/>
  <c r="L41" i="4"/>
  <c r="AB42" i="4"/>
  <c r="L44" i="4"/>
  <c r="K80" i="6"/>
  <c r="K20" i="6"/>
  <c r="E5" i="5"/>
  <c r="K88" i="6"/>
  <c r="K28" i="6"/>
  <c r="BA5" i="5"/>
  <c r="M80" i="6"/>
  <c r="M20" i="6"/>
  <c r="E7" i="5"/>
  <c r="Y4" i="5"/>
  <c r="X4" i="5"/>
  <c r="AW4" i="5"/>
  <c r="AV4" i="5"/>
  <c r="K99" i="6"/>
  <c r="K69" i="6"/>
  <c r="K114" i="6"/>
  <c r="K54" i="6"/>
  <c r="K39" i="6"/>
  <c r="K9" i="6"/>
  <c r="AB5" i="5"/>
  <c r="K117" i="6"/>
  <c r="K72" i="6"/>
  <c r="K102" i="6"/>
  <c r="K57" i="6"/>
  <c r="K12" i="6"/>
  <c r="K42" i="6"/>
  <c r="AT5" i="5"/>
  <c r="L110" i="6"/>
  <c r="L95" i="6"/>
  <c r="L35" i="6"/>
  <c r="L5" i="6"/>
  <c r="L65" i="6"/>
  <c r="L50" i="6"/>
  <c r="L113" i="6"/>
  <c r="L98" i="6"/>
  <c r="L53" i="6"/>
  <c r="L38" i="6"/>
  <c r="L8" i="6"/>
  <c r="L68" i="6"/>
  <c r="V6" i="5"/>
  <c r="L121" i="6"/>
  <c r="L76" i="6"/>
  <c r="L106" i="6"/>
  <c r="L61" i="6"/>
  <c r="L46" i="6"/>
  <c r="L16" i="6"/>
  <c r="BR6" i="5"/>
  <c r="M117" i="6"/>
  <c r="M102" i="6"/>
  <c r="M57" i="6"/>
  <c r="M42" i="6"/>
  <c r="M72" i="6"/>
  <c r="M12" i="6"/>
  <c r="AT7" i="5"/>
  <c r="N110" i="6"/>
  <c r="N95" i="6"/>
  <c r="N65" i="6"/>
  <c r="N50" i="6"/>
  <c r="N35" i="6"/>
  <c r="N5" i="6"/>
  <c r="D8" i="5"/>
  <c r="N113" i="6"/>
  <c r="N98" i="6"/>
  <c r="N68" i="6"/>
  <c r="N53" i="6"/>
  <c r="N8" i="6"/>
  <c r="V8" i="5"/>
  <c r="N38" i="6"/>
  <c r="N118" i="6"/>
  <c r="N103" i="6"/>
  <c r="N73" i="6"/>
  <c r="N58" i="6"/>
  <c r="N43" i="6"/>
  <c r="N13" i="6"/>
  <c r="N121" i="6"/>
  <c r="N106" i="6"/>
  <c r="N61" i="6"/>
  <c r="N46" i="6"/>
  <c r="N76" i="6"/>
  <c r="BR8" i="5"/>
  <c r="N16" i="6"/>
  <c r="O69" i="6"/>
  <c r="O114" i="6"/>
  <c r="O99" i="6"/>
  <c r="O39" i="6"/>
  <c r="O9" i="6"/>
  <c r="O54" i="6"/>
  <c r="AB9" i="5"/>
  <c r="O102" i="6"/>
  <c r="O72" i="6"/>
  <c r="O117" i="6"/>
  <c r="O57" i="6"/>
  <c r="O42" i="6"/>
  <c r="O12" i="6"/>
  <c r="AT9" i="5"/>
  <c r="P95" i="6"/>
  <c r="P110" i="6"/>
  <c r="P50" i="6"/>
  <c r="P65" i="6"/>
  <c r="P35" i="6"/>
  <c r="P5" i="6"/>
  <c r="P113" i="6"/>
  <c r="P98" i="6"/>
  <c r="P68" i="6"/>
  <c r="P53" i="6"/>
  <c r="P38" i="6"/>
  <c r="P8" i="6"/>
  <c r="V10" i="5"/>
  <c r="P118" i="6"/>
  <c r="P103" i="6"/>
  <c r="P73" i="6"/>
  <c r="P58" i="6"/>
  <c r="P43" i="6"/>
  <c r="P13" i="6"/>
  <c r="AZ10" i="5"/>
  <c r="P121" i="6"/>
  <c r="P106" i="6"/>
  <c r="P76" i="6"/>
  <c r="P16" i="6"/>
  <c r="P61" i="6"/>
  <c r="P46" i="6"/>
  <c r="BR10" i="5"/>
  <c r="Q114" i="6"/>
  <c r="Q99" i="6"/>
  <c r="Q54" i="6"/>
  <c r="Q69" i="6"/>
  <c r="Q39" i="6"/>
  <c r="Q9" i="6"/>
  <c r="Q117" i="6"/>
  <c r="Q72" i="6"/>
  <c r="Q102" i="6"/>
  <c r="Q57" i="6"/>
  <c r="Q42" i="6"/>
  <c r="Q12" i="6"/>
  <c r="AT11" i="5"/>
  <c r="R110" i="6"/>
  <c r="R95" i="6"/>
  <c r="R65" i="6"/>
  <c r="R50" i="6"/>
  <c r="R5" i="6"/>
  <c r="R35" i="6"/>
  <c r="D12" i="5"/>
  <c r="R113" i="6"/>
  <c r="R98" i="6"/>
  <c r="R68" i="6"/>
  <c r="R53" i="6"/>
  <c r="R38" i="6"/>
  <c r="R8" i="6"/>
  <c r="V12" i="5"/>
  <c r="R118" i="6"/>
  <c r="R103" i="6"/>
  <c r="R73" i="6"/>
  <c r="R58" i="6"/>
  <c r="R43" i="6"/>
  <c r="AZ12" i="5"/>
  <c r="R13" i="6"/>
  <c r="R121" i="6"/>
  <c r="R106" i="6"/>
  <c r="R61" i="6"/>
  <c r="R76" i="6"/>
  <c r="R46" i="6"/>
  <c r="BR12" i="5"/>
  <c r="R16" i="6"/>
  <c r="S114" i="6"/>
  <c r="S99" i="6"/>
  <c r="S69" i="6"/>
  <c r="S54" i="6"/>
  <c r="AB13" i="5"/>
  <c r="S9" i="6"/>
  <c r="S39" i="6"/>
  <c r="S72" i="6"/>
  <c r="S102" i="6"/>
  <c r="S117" i="6"/>
  <c r="S42" i="6"/>
  <c r="S57" i="6"/>
  <c r="AT13" i="5"/>
  <c r="S12" i="6"/>
  <c r="T110" i="6"/>
  <c r="T95" i="6"/>
  <c r="T65" i="6"/>
  <c r="T35" i="6"/>
  <c r="T5" i="6"/>
  <c r="T50" i="6"/>
  <c r="D14" i="5"/>
  <c r="T98" i="6"/>
  <c r="T113" i="6"/>
  <c r="T53" i="6"/>
  <c r="T68" i="6"/>
  <c r="T38" i="6"/>
  <c r="T8" i="6"/>
  <c r="V14" i="5"/>
  <c r="T118" i="6"/>
  <c r="T103" i="6"/>
  <c r="T43" i="6"/>
  <c r="T13" i="6"/>
  <c r="T73" i="6"/>
  <c r="AZ14" i="5"/>
  <c r="T58" i="6"/>
  <c r="T121" i="6"/>
  <c r="T106" i="6"/>
  <c r="T76" i="6"/>
  <c r="T46" i="6"/>
  <c r="T16" i="6"/>
  <c r="T61" i="6"/>
  <c r="BR14" i="5"/>
  <c r="U114" i="6"/>
  <c r="U99" i="6"/>
  <c r="U69" i="6"/>
  <c r="U54" i="6"/>
  <c r="U39" i="6"/>
  <c r="U9" i="6"/>
  <c r="AB15" i="5"/>
  <c r="U117" i="6"/>
  <c r="U102" i="6"/>
  <c r="U72" i="6"/>
  <c r="U57" i="6"/>
  <c r="U42" i="6"/>
  <c r="U12" i="6"/>
  <c r="AT15" i="5"/>
  <c r="V110" i="6"/>
  <c r="V95" i="6"/>
  <c r="V65" i="6"/>
  <c r="V50" i="6"/>
  <c r="V35" i="6"/>
  <c r="V5" i="6"/>
  <c r="D16" i="5"/>
  <c r="V113" i="6"/>
  <c r="V98" i="6"/>
  <c r="V68" i="6"/>
  <c r="V53" i="6"/>
  <c r="V16" i="5"/>
  <c r="V38" i="6"/>
  <c r="V8" i="6"/>
  <c r="V118" i="6"/>
  <c r="V103" i="6"/>
  <c r="V73" i="6"/>
  <c r="V58" i="6"/>
  <c r="V43" i="6"/>
  <c r="V13" i="6"/>
  <c r="AZ16" i="5"/>
  <c r="V121" i="6"/>
  <c r="V106" i="6"/>
  <c r="V76" i="6"/>
  <c r="V61" i="6"/>
  <c r="V46" i="6"/>
  <c r="BR16" i="5"/>
  <c r="V16" i="6"/>
  <c r="W99" i="6"/>
  <c r="W69" i="6"/>
  <c r="W114" i="6"/>
  <c r="W54" i="6"/>
  <c r="W39" i="6"/>
  <c r="W9" i="6"/>
  <c r="AB17" i="5"/>
  <c r="W102" i="6"/>
  <c r="W117" i="6"/>
  <c r="W72" i="6"/>
  <c r="W57" i="6"/>
  <c r="AT17" i="5"/>
  <c r="W12" i="6"/>
  <c r="W42" i="6"/>
  <c r="X69" i="6"/>
  <c r="X54" i="6"/>
  <c r="X9" i="6"/>
  <c r="AB18" i="5"/>
  <c r="X120" i="6"/>
  <c r="X75" i="6"/>
  <c r="X105" i="6"/>
  <c r="X45" i="6"/>
  <c r="X60" i="6"/>
  <c r="X15" i="6"/>
  <c r="BL18" i="5"/>
  <c r="Y117" i="6"/>
  <c r="Y72" i="6"/>
  <c r="Y57" i="6"/>
  <c r="Y42" i="6"/>
  <c r="Y102" i="6"/>
  <c r="Y12" i="6"/>
  <c r="AT19" i="5"/>
  <c r="M35" i="4"/>
  <c r="M34" i="4"/>
  <c r="Z97" i="6" s="1"/>
  <c r="X34" i="4"/>
  <c r="Z118" i="6"/>
  <c r="Z103" i="6"/>
  <c r="Z73" i="6"/>
  <c r="Z58" i="6"/>
  <c r="Z43" i="6"/>
  <c r="AZ20" i="5"/>
  <c r="Z13" i="6"/>
  <c r="Z91" i="6"/>
  <c r="BS20" i="5"/>
  <c r="Z31" i="6"/>
  <c r="AA88" i="6"/>
  <c r="AA28" i="6"/>
  <c r="BA21" i="5"/>
  <c r="AB75" i="6"/>
  <c r="AB15" i="6"/>
  <c r="BL22" i="5"/>
  <c r="AC67" i="6"/>
  <c r="AC7" i="6"/>
  <c r="P23" i="5"/>
  <c r="AD111" i="6"/>
  <c r="AD66" i="6"/>
  <c r="J24" i="5"/>
  <c r="AD6" i="6"/>
  <c r="AD100" i="6"/>
  <c r="AD70" i="6"/>
  <c r="AH24" i="5"/>
  <c r="AE69" i="6"/>
  <c r="AE99" i="6"/>
  <c r="AB25" i="5"/>
  <c r="AE9" i="6"/>
  <c r="J4" i="5"/>
  <c r="O31" i="6"/>
  <c r="T91" i="6"/>
  <c r="T31" i="6"/>
  <c r="BS14" i="5"/>
  <c r="U87" i="6"/>
  <c r="U27" i="6"/>
  <c r="AU15" i="5"/>
  <c r="V83" i="6"/>
  <c r="W16" i="5"/>
  <c r="V23" i="6"/>
  <c r="V91" i="6"/>
  <c r="BS16" i="5"/>
  <c r="V31" i="6"/>
  <c r="W87" i="6"/>
  <c r="AU17" i="5"/>
  <c r="W27" i="6"/>
  <c r="X111" i="6"/>
  <c r="X96" i="6"/>
  <c r="X66" i="6"/>
  <c r="X36" i="6"/>
  <c r="X6" i="6"/>
  <c r="J18" i="5"/>
  <c r="X51" i="6"/>
  <c r="U32" i="4"/>
  <c r="X99" i="6" s="1"/>
  <c r="X72" i="6"/>
  <c r="X57" i="6"/>
  <c r="X12" i="6"/>
  <c r="AT18" i="5"/>
  <c r="AV32" i="4"/>
  <c r="Y84" i="6"/>
  <c r="Y24" i="6"/>
  <c r="AC19" i="5"/>
  <c r="AJ33" i="4"/>
  <c r="AA86" i="6"/>
  <c r="AO21" i="5"/>
  <c r="AA26" i="6"/>
  <c r="AN35" i="4"/>
  <c r="AB110" i="6"/>
  <c r="AB95" i="6"/>
  <c r="AB65" i="6"/>
  <c r="AB50" i="6"/>
  <c r="AB35" i="6"/>
  <c r="AB5" i="6"/>
  <c r="D22" i="5"/>
  <c r="AB83" i="6"/>
  <c r="AB23" i="6"/>
  <c r="W22" i="5"/>
  <c r="D6" i="5"/>
  <c r="BF7" i="5"/>
  <c r="AB11" i="5"/>
  <c r="R37" i="6"/>
  <c r="I115" i="6"/>
  <c r="I70" i="6"/>
  <c r="I100" i="6"/>
  <c r="I85" i="6"/>
  <c r="I55" i="6"/>
  <c r="I25" i="6"/>
  <c r="I10" i="6"/>
  <c r="I40" i="6"/>
  <c r="J115" i="6"/>
  <c r="J100" i="6"/>
  <c r="J70" i="6"/>
  <c r="J85" i="6"/>
  <c r="J55" i="6"/>
  <c r="J40" i="6"/>
  <c r="J25" i="6"/>
  <c r="J10" i="6"/>
  <c r="AH4" i="5"/>
  <c r="K113" i="6"/>
  <c r="K68" i="6"/>
  <c r="K98" i="6"/>
  <c r="K38" i="6"/>
  <c r="K8" i="6"/>
  <c r="K53" i="6"/>
  <c r="V5" i="5"/>
  <c r="L114" i="6"/>
  <c r="L99" i="6"/>
  <c r="L69" i="6"/>
  <c r="L54" i="6"/>
  <c r="L39" i="6"/>
  <c r="L9" i="6"/>
  <c r="M118" i="6"/>
  <c r="M73" i="6"/>
  <c r="M103" i="6"/>
  <c r="M58" i="6"/>
  <c r="M43" i="6"/>
  <c r="M13" i="6"/>
  <c r="O110" i="6"/>
  <c r="O65" i="6"/>
  <c r="O95" i="6"/>
  <c r="O50" i="6"/>
  <c r="O35" i="6"/>
  <c r="O5" i="6"/>
  <c r="Q113" i="6"/>
  <c r="Q98" i="6"/>
  <c r="Q68" i="6"/>
  <c r="Q53" i="6"/>
  <c r="Q38" i="6"/>
  <c r="Q8" i="6"/>
  <c r="V11" i="5"/>
  <c r="S95" i="6"/>
  <c r="S65" i="6"/>
  <c r="S110" i="6"/>
  <c r="S50" i="6"/>
  <c r="D13" i="5"/>
  <c r="S35" i="6"/>
  <c r="S5" i="6"/>
  <c r="W76" i="6"/>
  <c r="W61" i="6"/>
  <c r="BR17" i="5"/>
  <c r="W16" i="6"/>
  <c r="Y82" i="6"/>
  <c r="Y22" i="6"/>
  <c r="Q19" i="5"/>
  <c r="AB111" i="6"/>
  <c r="AB96" i="6"/>
  <c r="AB51" i="6"/>
  <c r="AB36" i="6"/>
  <c r="AB6" i="6"/>
  <c r="AB66" i="6"/>
  <c r="J22" i="5"/>
  <c r="AC114" i="6"/>
  <c r="AC69" i="6"/>
  <c r="AC54" i="6"/>
  <c r="AC99" i="6"/>
  <c r="AC9" i="6"/>
  <c r="AC39" i="6"/>
  <c r="AB23" i="5"/>
  <c r="AB40" i="4"/>
  <c r="L42" i="4"/>
  <c r="AR43" i="4"/>
  <c r="AB10" i="5"/>
  <c r="K84" i="6"/>
  <c r="K24" i="6"/>
  <c r="AC5" i="5"/>
  <c r="K87" i="6"/>
  <c r="K27" i="6"/>
  <c r="AU5" i="5"/>
  <c r="L83" i="6"/>
  <c r="L23" i="6"/>
  <c r="W6" i="5"/>
  <c r="L88" i="6"/>
  <c r="L28" i="6"/>
  <c r="BA6" i="5"/>
  <c r="L91" i="6"/>
  <c r="L31" i="6"/>
  <c r="BS6" i="5"/>
  <c r="M84" i="6"/>
  <c r="M24" i="6"/>
  <c r="AC7" i="5"/>
  <c r="M87" i="6"/>
  <c r="M27" i="6"/>
  <c r="AU7" i="5"/>
  <c r="N80" i="6"/>
  <c r="N20" i="6"/>
  <c r="E8" i="5"/>
  <c r="N83" i="6"/>
  <c r="N23" i="6"/>
  <c r="W8" i="5"/>
  <c r="N88" i="6"/>
  <c r="N28" i="6"/>
  <c r="BA8" i="5"/>
  <c r="BC8" i="5" s="1"/>
  <c r="N91" i="6"/>
  <c r="N31" i="6"/>
  <c r="BS8" i="5"/>
  <c r="O84" i="6"/>
  <c r="O24" i="6"/>
  <c r="AC9" i="5"/>
  <c r="O87" i="6"/>
  <c r="AU9" i="5"/>
  <c r="O27" i="6"/>
  <c r="P80" i="6"/>
  <c r="P20" i="6"/>
  <c r="E10" i="5"/>
  <c r="P83" i="6"/>
  <c r="P23" i="6"/>
  <c r="W10" i="5"/>
  <c r="P88" i="6"/>
  <c r="P28" i="6"/>
  <c r="BA10" i="5"/>
  <c r="P91" i="6"/>
  <c r="P31" i="6"/>
  <c r="BS10" i="5"/>
  <c r="Q84" i="6"/>
  <c r="Q24" i="6"/>
  <c r="AC11" i="5"/>
  <c r="Q87" i="6"/>
  <c r="Q27" i="6"/>
  <c r="AU11" i="5"/>
  <c r="R80" i="6"/>
  <c r="R20" i="6"/>
  <c r="E12" i="5"/>
  <c r="R83" i="6"/>
  <c r="R23" i="6"/>
  <c r="W12" i="5"/>
  <c r="R88" i="6"/>
  <c r="R28" i="6"/>
  <c r="BA12" i="5"/>
  <c r="R91" i="6"/>
  <c r="R31" i="6"/>
  <c r="BS12" i="5"/>
  <c r="S84" i="6"/>
  <c r="AC13" i="5"/>
  <c r="S24" i="6"/>
  <c r="S87" i="6"/>
  <c r="AU13" i="5"/>
  <c r="S27" i="6"/>
  <c r="T80" i="6"/>
  <c r="T20" i="6"/>
  <c r="E14" i="5"/>
  <c r="T83" i="6"/>
  <c r="T23" i="6"/>
  <c r="W14" i="5"/>
  <c r="I110" i="6"/>
  <c r="I95" i="6"/>
  <c r="I50" i="6"/>
  <c r="I35" i="6"/>
  <c r="I20" i="6"/>
  <c r="I5" i="6"/>
  <c r="I80" i="6"/>
  <c r="I65" i="6"/>
  <c r="I114" i="6"/>
  <c r="I99" i="6"/>
  <c r="I54" i="6"/>
  <c r="I84" i="6"/>
  <c r="I69" i="6"/>
  <c r="I39" i="6"/>
  <c r="I24" i="6"/>
  <c r="I9" i="6"/>
  <c r="I118" i="6"/>
  <c r="I103" i="6"/>
  <c r="I58" i="6"/>
  <c r="I43" i="6"/>
  <c r="I88" i="6"/>
  <c r="I28" i="6"/>
  <c r="I13" i="6"/>
  <c r="I73" i="6"/>
  <c r="J110" i="6"/>
  <c r="J80" i="6"/>
  <c r="J65" i="6"/>
  <c r="J95" i="6"/>
  <c r="J50" i="6"/>
  <c r="J5" i="6"/>
  <c r="J20" i="6"/>
  <c r="D4" i="5"/>
  <c r="J35" i="6"/>
  <c r="J114" i="6"/>
  <c r="J99" i="6"/>
  <c r="J84" i="6"/>
  <c r="J69" i="6"/>
  <c r="J54" i="6"/>
  <c r="J9" i="6"/>
  <c r="J24" i="6"/>
  <c r="J39" i="6"/>
  <c r="AB4" i="5"/>
  <c r="J118" i="6"/>
  <c r="J103" i="6"/>
  <c r="J88" i="6"/>
  <c r="J73" i="6"/>
  <c r="J58" i="6"/>
  <c r="J43" i="6"/>
  <c r="J28" i="6"/>
  <c r="J13" i="6"/>
  <c r="K70" i="6"/>
  <c r="K100" i="6"/>
  <c r="K40" i="6"/>
  <c r="K115" i="6"/>
  <c r="K55" i="6"/>
  <c r="K10" i="6"/>
  <c r="L96" i="6"/>
  <c r="L111" i="6"/>
  <c r="L51" i="6"/>
  <c r="L66" i="6"/>
  <c r="L36" i="6"/>
  <c r="L6" i="6"/>
  <c r="J6" i="5"/>
  <c r="L119" i="6"/>
  <c r="L104" i="6"/>
  <c r="L74" i="6"/>
  <c r="L59" i="6"/>
  <c r="L44" i="6"/>
  <c r="L14" i="6"/>
  <c r="M115" i="6"/>
  <c r="M100" i="6"/>
  <c r="M70" i="6"/>
  <c r="M55" i="6"/>
  <c r="M10" i="6"/>
  <c r="M40" i="6"/>
  <c r="AH7" i="5"/>
  <c r="M120" i="6"/>
  <c r="M105" i="6"/>
  <c r="M60" i="6"/>
  <c r="M75" i="6"/>
  <c r="M45" i="6"/>
  <c r="M15" i="6"/>
  <c r="BL7" i="5"/>
  <c r="N111" i="6"/>
  <c r="N96" i="6"/>
  <c r="N66" i="6"/>
  <c r="N51" i="6"/>
  <c r="N36" i="6"/>
  <c r="N6" i="6"/>
  <c r="N116" i="6"/>
  <c r="N101" i="6"/>
  <c r="N71" i="6"/>
  <c r="N56" i="6"/>
  <c r="N41" i="6"/>
  <c r="N11" i="6"/>
  <c r="AN8" i="5"/>
  <c r="N119" i="6"/>
  <c r="N104" i="6"/>
  <c r="N74" i="6"/>
  <c r="N59" i="6"/>
  <c r="N44" i="6"/>
  <c r="N14" i="6"/>
  <c r="BF8" i="5"/>
  <c r="O97" i="6"/>
  <c r="O67" i="6"/>
  <c r="O112" i="6"/>
  <c r="O52" i="6"/>
  <c r="O37" i="6"/>
  <c r="O7" i="6"/>
  <c r="P9" i="5"/>
  <c r="O100" i="6"/>
  <c r="O115" i="6"/>
  <c r="O70" i="6"/>
  <c r="O55" i="6"/>
  <c r="O10" i="6"/>
  <c r="O40" i="6"/>
  <c r="O75" i="6"/>
  <c r="O105" i="6"/>
  <c r="O60" i="6"/>
  <c r="O120" i="6"/>
  <c r="O45" i="6"/>
  <c r="O15" i="6"/>
  <c r="BL9" i="5"/>
  <c r="P111" i="6"/>
  <c r="P96" i="6"/>
  <c r="P66" i="6"/>
  <c r="P36" i="6"/>
  <c r="P6" i="6"/>
  <c r="P51" i="6"/>
  <c r="J10" i="5"/>
  <c r="P116" i="6"/>
  <c r="P101" i="6"/>
  <c r="P56" i="6"/>
  <c r="P41" i="6"/>
  <c r="P11" i="6"/>
  <c r="P71" i="6"/>
  <c r="AN10" i="5"/>
  <c r="P119" i="6"/>
  <c r="P104" i="6"/>
  <c r="P74" i="6"/>
  <c r="P44" i="6"/>
  <c r="P14" i="6"/>
  <c r="P59" i="6"/>
  <c r="Q112" i="6"/>
  <c r="Q97" i="6"/>
  <c r="Q52" i="6"/>
  <c r="Q37" i="6"/>
  <c r="Q7" i="6"/>
  <c r="Q67" i="6"/>
  <c r="P11" i="5"/>
  <c r="Q115" i="6"/>
  <c r="Q70" i="6"/>
  <c r="Q100" i="6"/>
  <c r="Q55" i="6"/>
  <c r="Q40" i="6"/>
  <c r="Q10" i="6"/>
  <c r="AH11" i="5"/>
  <c r="Q120" i="6"/>
  <c r="Q105" i="6"/>
  <c r="Q75" i="6"/>
  <c r="Q60" i="6"/>
  <c r="Q45" i="6"/>
  <c r="Q15" i="6"/>
  <c r="BL11" i="5"/>
  <c r="R111" i="6"/>
  <c r="R96" i="6"/>
  <c r="R66" i="6"/>
  <c r="R51" i="6"/>
  <c r="R36" i="6"/>
  <c r="R6" i="6"/>
  <c r="R116" i="6"/>
  <c r="R101" i="6"/>
  <c r="R71" i="6"/>
  <c r="R56" i="6"/>
  <c r="R41" i="6"/>
  <c r="AN12" i="5"/>
  <c r="R11" i="6"/>
  <c r="R119" i="6"/>
  <c r="R104" i="6"/>
  <c r="R59" i="6"/>
  <c r="R74" i="6"/>
  <c r="R44" i="6"/>
  <c r="R14" i="6"/>
  <c r="BF12" i="5"/>
  <c r="S97" i="6"/>
  <c r="S112" i="6"/>
  <c r="S67" i="6"/>
  <c r="S37" i="6"/>
  <c r="S7" i="6"/>
  <c r="P13" i="5"/>
  <c r="S52" i="6"/>
  <c r="S115" i="6"/>
  <c r="S70" i="6"/>
  <c r="S100" i="6"/>
  <c r="S10" i="6"/>
  <c r="AH13" i="5"/>
  <c r="S55" i="6"/>
  <c r="S40" i="6"/>
  <c r="S120" i="6"/>
  <c r="S75" i="6"/>
  <c r="S105" i="6"/>
  <c r="S60" i="6"/>
  <c r="S45" i="6"/>
  <c r="S15" i="6"/>
  <c r="BL13" i="5"/>
  <c r="T96" i="6"/>
  <c r="T111" i="6"/>
  <c r="T66" i="6"/>
  <c r="T51" i="6"/>
  <c r="T36" i="6"/>
  <c r="T6" i="6"/>
  <c r="J14" i="5"/>
  <c r="T116" i="6"/>
  <c r="T101" i="6"/>
  <c r="T71" i="6"/>
  <c r="T56" i="6"/>
  <c r="T11" i="6"/>
  <c r="T41" i="6"/>
  <c r="AN14" i="5"/>
  <c r="T119" i="6"/>
  <c r="T74" i="6"/>
  <c r="T104" i="6"/>
  <c r="T44" i="6"/>
  <c r="T59" i="6"/>
  <c r="T14" i="6"/>
  <c r="BF14" i="5"/>
  <c r="U112" i="6"/>
  <c r="U67" i="6"/>
  <c r="U97" i="6"/>
  <c r="U52" i="6"/>
  <c r="U37" i="6"/>
  <c r="U7" i="6"/>
  <c r="P15" i="5"/>
  <c r="U115" i="6"/>
  <c r="U100" i="6"/>
  <c r="U55" i="6"/>
  <c r="U40" i="6"/>
  <c r="U10" i="6"/>
  <c r="U70" i="6"/>
  <c r="AH15" i="5"/>
  <c r="U120" i="6"/>
  <c r="U105" i="6"/>
  <c r="U75" i="6"/>
  <c r="U60" i="6"/>
  <c r="U45" i="6"/>
  <c r="U15" i="6"/>
  <c r="BL15" i="5"/>
  <c r="V111" i="6"/>
  <c r="V96" i="6"/>
  <c r="V66" i="6"/>
  <c r="V51" i="6"/>
  <c r="J16" i="5"/>
  <c r="V6" i="6"/>
  <c r="V36" i="6"/>
  <c r="V116" i="6"/>
  <c r="V101" i="6"/>
  <c r="V71" i="6"/>
  <c r="V56" i="6"/>
  <c r="V41" i="6"/>
  <c r="V11" i="6"/>
  <c r="AN16" i="5"/>
  <c r="V119" i="6"/>
  <c r="V104" i="6"/>
  <c r="V59" i="6"/>
  <c r="V44" i="6"/>
  <c r="V74" i="6"/>
  <c r="BF16" i="5"/>
  <c r="V14" i="6"/>
  <c r="W112" i="6"/>
  <c r="W67" i="6"/>
  <c r="W97" i="6"/>
  <c r="W52" i="6"/>
  <c r="W37" i="6"/>
  <c r="W7" i="6"/>
  <c r="P17" i="5"/>
  <c r="W100" i="6"/>
  <c r="W70" i="6"/>
  <c r="W115" i="6"/>
  <c r="AH17" i="5"/>
  <c r="W55" i="6"/>
  <c r="W40" i="6"/>
  <c r="W10" i="6"/>
  <c r="W120" i="6"/>
  <c r="W75" i="6"/>
  <c r="W105" i="6"/>
  <c r="W60" i="6"/>
  <c r="W15" i="6"/>
  <c r="BL17" i="5"/>
  <c r="W45" i="6"/>
  <c r="X81" i="6"/>
  <c r="X21" i="6"/>
  <c r="K18" i="5"/>
  <c r="X103" i="6"/>
  <c r="X73" i="6"/>
  <c r="X13" i="6"/>
  <c r="AZ18" i="5"/>
  <c r="Y70" i="6"/>
  <c r="Y10" i="6"/>
  <c r="AH19" i="5"/>
  <c r="AK33" i="4"/>
  <c r="Y76" i="6"/>
  <c r="Y16" i="6"/>
  <c r="BR19" i="5"/>
  <c r="P34" i="4"/>
  <c r="Z88" i="6"/>
  <c r="BA20" i="5"/>
  <c r="Z28" i="6"/>
  <c r="D35" i="4"/>
  <c r="AA101" i="6"/>
  <c r="AA116" i="6"/>
  <c r="AA71" i="6"/>
  <c r="AA41" i="6"/>
  <c r="AA56" i="6"/>
  <c r="AN21" i="5"/>
  <c r="AA11" i="6"/>
  <c r="AB98" i="6"/>
  <c r="AB113" i="6"/>
  <c r="AB68" i="6"/>
  <c r="AB53" i="6"/>
  <c r="AB38" i="6"/>
  <c r="AB8" i="6"/>
  <c r="V22" i="5"/>
  <c r="AC71" i="6"/>
  <c r="AC41" i="6"/>
  <c r="AC11" i="6"/>
  <c r="AN23" i="5"/>
  <c r="AD112" i="6"/>
  <c r="AD97" i="6"/>
  <c r="AD67" i="6"/>
  <c r="AD37" i="6"/>
  <c r="AD7" i="6"/>
  <c r="P24" i="5"/>
  <c r="AD71" i="6"/>
  <c r="AD11" i="6"/>
  <c r="AN24" i="5"/>
  <c r="AE70" i="6"/>
  <c r="AH25" i="5"/>
  <c r="AE10" i="6"/>
  <c r="AE104" i="6"/>
  <c r="AE74" i="6"/>
  <c r="BF25" i="5"/>
  <c r="AE14" i="6"/>
  <c r="AF66" i="6"/>
  <c r="J26" i="5"/>
  <c r="AF6" i="6"/>
  <c r="X40" i="4"/>
  <c r="AN40" i="4"/>
  <c r="H41" i="4"/>
  <c r="X41" i="4"/>
  <c r="AN41" i="4"/>
  <c r="H42" i="4"/>
  <c r="X42" i="4"/>
  <c r="AN42" i="4"/>
  <c r="H43" i="4"/>
  <c r="X43" i="4"/>
  <c r="AN43" i="4"/>
  <c r="H44" i="4"/>
  <c r="X44" i="4"/>
  <c r="AN44" i="4"/>
  <c r="AB6" i="5"/>
  <c r="J8" i="5"/>
  <c r="AZ11" i="5"/>
  <c r="X42" i="6"/>
  <c r="I119" i="6"/>
  <c r="I104" i="6"/>
  <c r="I74" i="6"/>
  <c r="I89" i="6"/>
  <c r="I59" i="6"/>
  <c r="I44" i="6"/>
  <c r="I29" i="6"/>
  <c r="I14" i="6"/>
  <c r="J119" i="6"/>
  <c r="J104" i="6"/>
  <c r="J74" i="6"/>
  <c r="J89" i="6"/>
  <c r="J59" i="6"/>
  <c r="J44" i="6"/>
  <c r="J29" i="6"/>
  <c r="J14" i="6"/>
  <c r="BF4" i="5"/>
  <c r="K103" i="6"/>
  <c r="K118" i="6"/>
  <c r="K73" i="6"/>
  <c r="K43" i="6"/>
  <c r="K13" i="6"/>
  <c r="K58" i="6"/>
  <c r="AZ5" i="5"/>
  <c r="M110" i="6"/>
  <c r="M95" i="6"/>
  <c r="M65" i="6"/>
  <c r="M50" i="6"/>
  <c r="M35" i="6"/>
  <c r="M5" i="6"/>
  <c r="D7" i="5"/>
  <c r="O118" i="6"/>
  <c r="O73" i="6"/>
  <c r="O103" i="6"/>
  <c r="O58" i="6"/>
  <c r="O13" i="6"/>
  <c r="O43" i="6"/>
  <c r="AZ9" i="5"/>
  <c r="P117" i="6"/>
  <c r="P102" i="6"/>
  <c r="P42" i="6"/>
  <c r="P12" i="6"/>
  <c r="P57" i="6"/>
  <c r="P72" i="6"/>
  <c r="AT10" i="5"/>
  <c r="S103" i="6"/>
  <c r="S73" i="6"/>
  <c r="S118" i="6"/>
  <c r="S58" i="6"/>
  <c r="S43" i="6"/>
  <c r="AZ13" i="5"/>
  <c r="S13" i="6"/>
  <c r="U113" i="6"/>
  <c r="U98" i="6"/>
  <c r="U53" i="6"/>
  <c r="U38" i="6"/>
  <c r="U8" i="6"/>
  <c r="U68" i="6"/>
  <c r="V15" i="5"/>
  <c r="V114" i="6"/>
  <c r="V99" i="6"/>
  <c r="V69" i="6"/>
  <c r="V54" i="6"/>
  <c r="V39" i="6"/>
  <c r="V9" i="6"/>
  <c r="AB16" i="5"/>
  <c r="W98" i="6"/>
  <c r="W113" i="6"/>
  <c r="W68" i="6"/>
  <c r="V17" i="5"/>
  <c r="W38" i="6"/>
  <c r="W8" i="6"/>
  <c r="W53" i="6"/>
  <c r="X82" i="6"/>
  <c r="X22" i="6"/>
  <c r="Q18" i="5"/>
  <c r="Y89" i="6"/>
  <c r="Y29" i="6"/>
  <c r="BG19" i="5"/>
  <c r="Z116" i="6"/>
  <c r="Z101" i="6"/>
  <c r="Z71" i="6"/>
  <c r="Z56" i="6"/>
  <c r="Z41" i="6"/>
  <c r="AN20" i="5"/>
  <c r="Z11" i="6"/>
  <c r="AC27" i="6"/>
  <c r="AU23" i="5"/>
  <c r="AC87" i="6"/>
  <c r="AD75" i="6"/>
  <c r="AD15" i="6"/>
  <c r="BL24" i="5"/>
  <c r="AR40" i="4"/>
  <c r="AR42" i="4"/>
  <c r="L80" i="6"/>
  <c r="L20" i="6"/>
  <c r="E6" i="5"/>
  <c r="K85" i="6"/>
  <c r="K25" i="6"/>
  <c r="AI5" i="5"/>
  <c r="AK5" i="5" s="1"/>
  <c r="L81" i="6"/>
  <c r="L21" i="6"/>
  <c r="K6" i="5"/>
  <c r="L89" i="6"/>
  <c r="L29" i="6"/>
  <c r="BG6" i="5"/>
  <c r="BH6" i="5" s="1"/>
  <c r="M85" i="6"/>
  <c r="M25" i="6"/>
  <c r="AI7" i="5"/>
  <c r="N81" i="6"/>
  <c r="K8" i="5"/>
  <c r="N21" i="6"/>
  <c r="N89" i="6"/>
  <c r="N29" i="6"/>
  <c r="BG8" i="5"/>
  <c r="O85" i="6"/>
  <c r="O25" i="6"/>
  <c r="AI9" i="5"/>
  <c r="AK9" i="5" s="1"/>
  <c r="P81" i="6"/>
  <c r="P21" i="6"/>
  <c r="K10" i="5"/>
  <c r="P89" i="6"/>
  <c r="P29" i="6"/>
  <c r="BG10" i="5"/>
  <c r="BH10" i="5" s="1"/>
  <c r="Q85" i="6"/>
  <c r="Q25" i="6"/>
  <c r="AI11" i="5"/>
  <c r="R81" i="6"/>
  <c r="R21" i="6"/>
  <c r="K12" i="5"/>
  <c r="M12" i="5" s="1"/>
  <c r="R89" i="6"/>
  <c r="R29" i="6"/>
  <c r="BG12" i="5"/>
  <c r="S85" i="6"/>
  <c r="S25" i="6"/>
  <c r="AI13" i="5"/>
  <c r="T81" i="6"/>
  <c r="T21" i="6"/>
  <c r="K14" i="5"/>
  <c r="T89" i="6"/>
  <c r="T29" i="6"/>
  <c r="BG14" i="5"/>
  <c r="U25" i="6"/>
  <c r="AI15" i="5"/>
  <c r="U85" i="6"/>
  <c r="K16" i="5"/>
  <c r="V81" i="6"/>
  <c r="V21" i="6"/>
  <c r="V89" i="6"/>
  <c r="BG16" i="5"/>
  <c r="V29" i="6"/>
  <c r="W85" i="6"/>
  <c r="AI17" i="5"/>
  <c r="W25" i="6"/>
  <c r="X97" i="6"/>
  <c r="X52" i="6"/>
  <c r="X112" i="6"/>
  <c r="X67" i="6"/>
  <c r="X37" i="6"/>
  <c r="X7" i="6"/>
  <c r="P18" i="5"/>
  <c r="X85" i="6"/>
  <c r="X25" i="6"/>
  <c r="AI18" i="5"/>
  <c r="AK32" i="4"/>
  <c r="X118" i="6" s="1"/>
  <c r="Y112" i="6"/>
  <c r="Y97" i="6"/>
  <c r="Y52" i="6"/>
  <c r="Y67" i="6"/>
  <c r="Y37" i="6"/>
  <c r="Y7" i="6"/>
  <c r="P19" i="5"/>
  <c r="Y33" i="4"/>
  <c r="Y100" i="6" s="1"/>
  <c r="Z110" i="6"/>
  <c r="Z95" i="6"/>
  <c r="Z65" i="6"/>
  <c r="Z50" i="6"/>
  <c r="D20" i="5"/>
  <c r="Z35" i="6"/>
  <c r="Z5" i="6"/>
  <c r="Z119" i="6"/>
  <c r="Z104" i="6"/>
  <c r="Z59" i="6"/>
  <c r="Z74" i="6"/>
  <c r="Z44" i="6"/>
  <c r="BF20" i="5"/>
  <c r="Z14" i="6"/>
  <c r="E35" i="4"/>
  <c r="AA68" i="6"/>
  <c r="AA8" i="6"/>
  <c r="V21" i="5"/>
  <c r="AA72" i="6"/>
  <c r="AA102" i="6"/>
  <c r="AA42" i="6"/>
  <c r="AA12" i="6"/>
  <c r="AT21" i="5"/>
  <c r="AA57" i="6"/>
  <c r="AB80" i="6"/>
  <c r="AB20" i="6"/>
  <c r="E22" i="5"/>
  <c r="T36" i="4"/>
  <c r="AC83" i="6"/>
  <c r="AC23" i="6"/>
  <c r="W23" i="5"/>
  <c r="AZ4" i="5"/>
  <c r="AH6" i="5"/>
  <c r="D10" i="5"/>
  <c r="BF11" i="5"/>
  <c r="AD10" i="6"/>
  <c r="O56" i="6"/>
  <c r="AC36" i="4"/>
  <c r="AB101" i="6" s="1"/>
  <c r="AO36" i="4"/>
  <c r="D37" i="4"/>
  <c r="AF37" i="4"/>
  <c r="AS37" i="4"/>
  <c r="AC120" i="6" s="1"/>
  <c r="I38" i="4"/>
  <c r="AD51" i="6" s="1"/>
  <c r="T38" i="4"/>
  <c r="AV38" i="4"/>
  <c r="M39" i="4"/>
  <c r="Y39" i="4"/>
  <c r="AO39" i="4"/>
  <c r="I40" i="4"/>
  <c r="AF51" i="6" s="1"/>
  <c r="Y40" i="4"/>
  <c r="AO40" i="4"/>
  <c r="I41" i="4"/>
  <c r="Y41" i="4"/>
  <c r="AO41" i="4"/>
  <c r="I42" i="4"/>
  <c r="Y42" i="4"/>
  <c r="AO42" i="4"/>
  <c r="I43" i="4"/>
  <c r="Y43" i="4"/>
  <c r="AO43" i="4"/>
  <c r="I44" i="4"/>
  <c r="Y44" i="4"/>
  <c r="AO44" i="4"/>
  <c r="J112" i="6"/>
  <c r="J97" i="6"/>
  <c r="J67" i="6"/>
  <c r="J52" i="6"/>
  <c r="J82" i="6"/>
  <c r="J22" i="6"/>
  <c r="J37" i="6"/>
  <c r="AW31" i="4"/>
  <c r="Q33" i="4"/>
  <c r="AG34" i="4"/>
  <c r="AW35" i="4"/>
  <c r="AF36" i="4"/>
  <c r="AS36" i="4"/>
  <c r="AB60" i="6" s="1"/>
  <c r="I37" i="4"/>
  <c r="AV37" i="4"/>
  <c r="M38" i="4"/>
  <c r="Y38" i="4"/>
  <c r="P39" i="4"/>
  <c r="AC39" i="4"/>
  <c r="AE41" i="6" s="1"/>
  <c r="AS39" i="4"/>
  <c r="AE120" i="6" s="1"/>
  <c r="M40" i="4"/>
  <c r="AF97" i="6" s="1"/>
  <c r="AC40" i="4"/>
  <c r="AS40" i="4"/>
  <c r="M41" i="4"/>
  <c r="AC41" i="4"/>
  <c r="AS41" i="4"/>
  <c r="M42" i="4"/>
  <c r="AC42" i="4"/>
  <c r="AS42" i="4"/>
  <c r="M43" i="4"/>
  <c r="AC43" i="4"/>
  <c r="AS43" i="4"/>
  <c r="M44" i="4"/>
  <c r="AC44" i="4"/>
  <c r="AS44" i="4"/>
  <c r="I112" i="6"/>
  <c r="I97" i="6"/>
  <c r="I52" i="6"/>
  <c r="I67" i="6"/>
  <c r="I82" i="6"/>
  <c r="I37" i="6"/>
  <c r="I22" i="6"/>
  <c r="I7" i="6"/>
  <c r="AO31" i="4"/>
  <c r="W104" i="6" s="1"/>
  <c r="I33" i="4"/>
  <c r="Y34" i="4"/>
  <c r="AO35" i="4"/>
  <c r="U36" i="4"/>
  <c r="AB87" i="6"/>
  <c r="AB27" i="6"/>
  <c r="AU22" i="5"/>
  <c r="AC55" i="6"/>
  <c r="AC10" i="6"/>
  <c r="AC70" i="6"/>
  <c r="AH23" i="5"/>
  <c r="AC88" i="6"/>
  <c r="AC28" i="6"/>
  <c r="BA23" i="5"/>
  <c r="AC91" i="6"/>
  <c r="AC31" i="6"/>
  <c r="BS23" i="5"/>
  <c r="AD119" i="6"/>
  <c r="AD104" i="6"/>
  <c r="AD74" i="6"/>
  <c r="BF24" i="5"/>
  <c r="AE80" i="6"/>
  <c r="AE20" i="6"/>
  <c r="E25" i="5"/>
  <c r="AE83" i="6"/>
  <c r="W25" i="5"/>
  <c r="AE102" i="6"/>
  <c r="AE72" i="6"/>
  <c r="AE117" i="6"/>
  <c r="AT25" i="5"/>
  <c r="AE12" i="6"/>
  <c r="AE121" i="6"/>
  <c r="AE106" i="6"/>
  <c r="AE76" i="6"/>
  <c r="AE61" i="6"/>
  <c r="BR25" i="5"/>
  <c r="AF68" i="6"/>
  <c r="V26" i="5"/>
  <c r="AF8" i="6"/>
  <c r="AF40" i="4"/>
  <c r="AV40" i="4"/>
  <c r="P41" i="4"/>
  <c r="AF41" i="4"/>
  <c r="AV41" i="4"/>
  <c r="P42" i="4"/>
  <c r="AF42" i="4"/>
  <c r="AV42" i="4"/>
  <c r="P43" i="4"/>
  <c r="AF43" i="4"/>
  <c r="AV43" i="4"/>
  <c r="P44" i="4"/>
  <c r="AF44" i="4"/>
  <c r="AV44" i="4"/>
  <c r="AE16" i="6"/>
  <c r="AE23" i="6"/>
  <c r="I120" i="6"/>
  <c r="I105" i="6"/>
  <c r="I45" i="6"/>
  <c r="I75" i="6"/>
  <c r="I60" i="6"/>
  <c r="I30" i="6"/>
  <c r="I15" i="6"/>
  <c r="I90" i="6"/>
  <c r="I113" i="6"/>
  <c r="I83" i="6"/>
  <c r="I68" i="6"/>
  <c r="I53" i="6"/>
  <c r="I38" i="6"/>
  <c r="I23" i="6"/>
  <c r="I8" i="6"/>
  <c r="I98" i="6"/>
  <c r="I117" i="6"/>
  <c r="I87" i="6"/>
  <c r="I72" i="6"/>
  <c r="I102" i="6"/>
  <c r="I57" i="6"/>
  <c r="I42" i="6"/>
  <c r="I27" i="6"/>
  <c r="I12" i="6"/>
  <c r="I121" i="6"/>
  <c r="I106" i="6"/>
  <c r="I91" i="6"/>
  <c r="I76" i="6"/>
  <c r="I61" i="6"/>
  <c r="I46" i="6"/>
  <c r="I31" i="6"/>
  <c r="I16" i="6"/>
  <c r="J113" i="6"/>
  <c r="J98" i="6"/>
  <c r="J83" i="6"/>
  <c r="J68" i="6"/>
  <c r="J53" i="6"/>
  <c r="J38" i="6"/>
  <c r="J23" i="6"/>
  <c r="J8" i="6"/>
  <c r="J117" i="6"/>
  <c r="J102" i="6"/>
  <c r="J87" i="6"/>
  <c r="J72" i="6"/>
  <c r="J57" i="6"/>
  <c r="J42" i="6"/>
  <c r="J27" i="6"/>
  <c r="J12" i="6"/>
  <c r="J121" i="6"/>
  <c r="J106" i="6"/>
  <c r="J91" i="6"/>
  <c r="J76" i="6"/>
  <c r="J61" i="6"/>
  <c r="J46" i="6"/>
  <c r="J31" i="6"/>
  <c r="J16" i="6"/>
  <c r="AW32" i="4"/>
  <c r="Q34" i="4"/>
  <c r="AG35" i="4"/>
  <c r="AV36" i="4"/>
  <c r="M37" i="4"/>
  <c r="AC37" i="6" s="1"/>
  <c r="Y37" i="4"/>
  <c r="AC115" i="6" s="1"/>
  <c r="P38" i="4"/>
  <c r="AC38" i="4"/>
  <c r="AD101" i="6" s="1"/>
  <c r="AO38" i="4"/>
  <c r="AD59" i="6" s="1"/>
  <c r="AG39" i="4"/>
  <c r="AW39" i="4"/>
  <c r="Q40" i="4"/>
  <c r="AG40" i="4"/>
  <c r="AW40" i="4"/>
  <c r="Q41" i="4"/>
  <c r="AG41" i="4"/>
  <c r="AW41" i="4"/>
  <c r="Q42" i="4"/>
  <c r="AG42" i="4"/>
  <c r="AW42" i="4"/>
  <c r="Q43" i="4"/>
  <c r="AG43" i="4"/>
  <c r="AW43" i="4"/>
  <c r="Q44" i="4"/>
  <c r="AG44" i="4"/>
  <c r="AW44" i="4"/>
  <c r="I116" i="6"/>
  <c r="I101" i="6"/>
  <c r="I86" i="6"/>
  <c r="I71" i="6"/>
  <c r="I56" i="6"/>
  <c r="I41" i="6"/>
  <c r="I26" i="6"/>
  <c r="I11" i="6"/>
  <c r="J116" i="6"/>
  <c r="J101" i="6"/>
  <c r="J71" i="6"/>
  <c r="J56" i="6"/>
  <c r="J41" i="6"/>
  <c r="J86" i="6"/>
  <c r="J11" i="6"/>
  <c r="J120" i="6"/>
  <c r="J105" i="6"/>
  <c r="J60" i="6"/>
  <c r="J45" i="6"/>
  <c r="J75" i="6"/>
  <c r="J90" i="6"/>
  <c r="J15" i="6"/>
  <c r="AO32" i="4"/>
  <c r="X104" i="6" s="1"/>
  <c r="I34" i="4"/>
  <c r="Z96" i="6" s="1"/>
  <c r="Y35" i="4"/>
  <c r="AB115" i="6"/>
  <c r="AB100" i="6"/>
  <c r="AB55" i="6"/>
  <c r="AB40" i="6"/>
  <c r="AB70" i="6"/>
  <c r="AB10" i="6"/>
  <c r="AH22" i="5"/>
  <c r="AK36" i="4"/>
  <c r="AB91" i="6"/>
  <c r="AB31" i="6"/>
  <c r="BS22" i="5"/>
  <c r="AN37" i="4"/>
  <c r="E38" i="4"/>
  <c r="AD95" i="6" s="1"/>
  <c r="Q38" i="4"/>
  <c r="H39" i="4"/>
  <c r="U39" i="4"/>
  <c r="AE118" i="6"/>
  <c r="AE73" i="6"/>
  <c r="AZ25" i="5"/>
  <c r="AE13" i="6"/>
  <c r="AF110" i="6"/>
  <c r="AF50" i="6"/>
  <c r="AF95" i="6"/>
  <c r="AF65" i="6"/>
  <c r="D26" i="5"/>
  <c r="AF35" i="6"/>
  <c r="AF5" i="6"/>
  <c r="AF54" i="6"/>
  <c r="AF69" i="6"/>
  <c r="AB26" i="5"/>
  <c r="AF9" i="6"/>
  <c r="AF39" i="6"/>
  <c r="AJ40" i="4"/>
  <c r="D41" i="4"/>
  <c r="T41" i="4"/>
  <c r="AJ41" i="4"/>
  <c r="D42" i="4"/>
  <c r="T42" i="4"/>
  <c r="AJ42" i="4"/>
  <c r="D43" i="4"/>
  <c r="T43" i="4"/>
  <c r="AJ43" i="4"/>
  <c r="D44" i="4"/>
  <c r="T44" i="4"/>
  <c r="AJ44" i="4"/>
  <c r="AG32" i="4"/>
  <c r="X117" i="6" s="1"/>
  <c r="AW33" i="4"/>
  <c r="Y106" i="6" s="1"/>
  <c r="Q35" i="4"/>
  <c r="AA53" i="6" s="1"/>
  <c r="Y36" i="4"/>
  <c r="P37" i="4"/>
  <c r="AC37" i="4"/>
  <c r="AC101" i="6" s="1"/>
  <c r="AO37" i="4"/>
  <c r="AF38" i="4"/>
  <c r="AS38" i="4"/>
  <c r="AD60" i="6" s="1"/>
  <c r="I39" i="4"/>
  <c r="AK39" i="4"/>
  <c r="AE58" i="6" s="1"/>
  <c r="E40" i="4"/>
  <c r="U40" i="4"/>
  <c r="AF99" i="6" s="1"/>
  <c r="AK40" i="4"/>
  <c r="E41" i="4"/>
  <c r="U41" i="4"/>
  <c r="AK41" i="4"/>
  <c r="E42" i="4"/>
  <c r="U42" i="4"/>
  <c r="AK42" i="4"/>
  <c r="E43" i="4"/>
  <c r="U43" i="4"/>
  <c r="AK43" i="4"/>
  <c r="E44" i="4"/>
  <c r="U44" i="4"/>
  <c r="AK44" i="4"/>
  <c r="AN4" i="5"/>
  <c r="BR4" i="5"/>
  <c r="AG20" i="6" l="1"/>
  <c r="E27" i="5"/>
  <c r="AG80" i="6"/>
  <c r="AJ118" i="6"/>
  <c r="AJ103" i="6"/>
  <c r="AJ73" i="6"/>
  <c r="AZ30" i="5"/>
  <c r="AJ58" i="6"/>
  <c r="AJ13" i="6"/>
  <c r="AJ43" i="6"/>
  <c r="AI83" i="6"/>
  <c r="W29" i="5"/>
  <c r="AI23" i="6"/>
  <c r="AC117" i="6"/>
  <c r="AC102" i="6"/>
  <c r="AC57" i="6"/>
  <c r="AC42" i="6"/>
  <c r="AC12" i="6"/>
  <c r="AC72" i="6"/>
  <c r="AT23" i="5"/>
  <c r="AF120" i="6"/>
  <c r="AF75" i="6"/>
  <c r="AF45" i="6"/>
  <c r="AF60" i="6"/>
  <c r="BL26" i="5"/>
  <c r="AF15" i="6"/>
  <c r="AF105" i="6"/>
  <c r="BI14" i="5"/>
  <c r="BH14" i="5"/>
  <c r="AE4" i="5"/>
  <c r="AD4" i="5"/>
  <c r="T82" i="6"/>
  <c r="T22" i="6"/>
  <c r="Q14" i="5"/>
  <c r="Y9" i="5"/>
  <c r="X9" i="5"/>
  <c r="AP13" i="5"/>
  <c r="AQ13" i="5"/>
  <c r="AQ11" i="5"/>
  <c r="AP11" i="5"/>
  <c r="AA114" i="6"/>
  <c r="AI84" i="6"/>
  <c r="AI24" i="6"/>
  <c r="AC29" i="5"/>
  <c r="AF83" i="6"/>
  <c r="AF23" i="6"/>
  <c r="W26" i="5"/>
  <c r="AF98" i="6"/>
  <c r="AJ82" i="6"/>
  <c r="AJ22" i="6"/>
  <c r="Q30" i="5"/>
  <c r="AG26" i="6"/>
  <c r="AO27" i="5"/>
  <c r="AG86" i="6"/>
  <c r="Y83" i="6"/>
  <c r="Y23" i="6"/>
  <c r="W19" i="5"/>
  <c r="AH85" i="6"/>
  <c r="AH25" i="6"/>
  <c r="AI28" i="5"/>
  <c r="AE89" i="6"/>
  <c r="AE29" i="6"/>
  <c r="BG25" i="5"/>
  <c r="AC110" i="6"/>
  <c r="AC95" i="6"/>
  <c r="AC65" i="6"/>
  <c r="AC50" i="6"/>
  <c r="AC35" i="6"/>
  <c r="AC5" i="6"/>
  <c r="D23" i="5"/>
  <c r="AF119" i="6"/>
  <c r="AF104" i="6"/>
  <c r="AF74" i="6"/>
  <c r="BF26" i="5"/>
  <c r="AF14" i="6"/>
  <c r="AF44" i="6"/>
  <c r="AF59" i="6"/>
  <c r="AC56" i="6"/>
  <c r="R15" i="5"/>
  <c r="S15" i="5"/>
  <c r="G13" i="5"/>
  <c r="F13" i="5"/>
  <c r="R23" i="5"/>
  <c r="BC16" i="5"/>
  <c r="BB16" i="5"/>
  <c r="AD13" i="5"/>
  <c r="AE13" i="5"/>
  <c r="BU8" i="5"/>
  <c r="BT8" i="5"/>
  <c r="BU15" i="5"/>
  <c r="BT15" i="5"/>
  <c r="M9" i="5"/>
  <c r="L9" i="5"/>
  <c r="BC21" i="5"/>
  <c r="BB21" i="5"/>
  <c r="U41" i="6"/>
  <c r="M7" i="5"/>
  <c r="L7" i="5"/>
  <c r="BB15" i="5"/>
  <c r="BC15" i="5"/>
  <c r="AI80" i="6"/>
  <c r="E29" i="5"/>
  <c r="AI20" i="6"/>
  <c r="AC113" i="6"/>
  <c r="AC98" i="6"/>
  <c r="AC68" i="6"/>
  <c r="AC53" i="6"/>
  <c r="AC38" i="6"/>
  <c r="AC8" i="6"/>
  <c r="V23" i="5"/>
  <c r="AG114" i="6"/>
  <c r="AG99" i="6"/>
  <c r="AG54" i="6"/>
  <c r="AG69" i="6"/>
  <c r="AG9" i="6"/>
  <c r="AB27" i="5"/>
  <c r="AG39" i="6"/>
  <c r="AE84" i="6"/>
  <c r="AE24" i="6"/>
  <c r="AC25" i="5"/>
  <c r="AA85" i="6"/>
  <c r="AI21" i="5"/>
  <c r="AJ21" i="5" s="1"/>
  <c r="AA25" i="6"/>
  <c r="AH87" i="6"/>
  <c r="AU28" i="5"/>
  <c r="AH27" i="6"/>
  <c r="AE91" i="6"/>
  <c r="BS25" i="5"/>
  <c r="AE31" i="6"/>
  <c r="AA87" i="6"/>
  <c r="AA27" i="6"/>
  <c r="AU21" i="5"/>
  <c r="AW21" i="5" s="1"/>
  <c r="AI121" i="6"/>
  <c r="AI76" i="6"/>
  <c r="AI61" i="6"/>
  <c r="AI106" i="6"/>
  <c r="AI46" i="6"/>
  <c r="BR29" i="5"/>
  <c r="AI16" i="6"/>
  <c r="AG113" i="6"/>
  <c r="AG68" i="6"/>
  <c r="AG98" i="6"/>
  <c r="AG53" i="6"/>
  <c r="AG38" i="6"/>
  <c r="AG8" i="6"/>
  <c r="V27" i="5"/>
  <c r="AF113" i="6"/>
  <c r="AB84" i="6"/>
  <c r="AB24" i="6"/>
  <c r="AC22" i="5"/>
  <c r="AI90" i="6"/>
  <c r="AI30" i="6"/>
  <c r="BM29" i="5"/>
  <c r="AG82" i="6"/>
  <c r="AG22" i="6"/>
  <c r="Q27" i="5"/>
  <c r="AD82" i="6"/>
  <c r="Q24" i="5"/>
  <c r="AD22" i="6"/>
  <c r="W91" i="6"/>
  <c r="BS17" i="5"/>
  <c r="BT17" i="5" s="1"/>
  <c r="W31" i="6"/>
  <c r="AJ89" i="6"/>
  <c r="AJ29" i="6"/>
  <c r="BG30" i="5"/>
  <c r="AH81" i="6"/>
  <c r="AH21" i="6"/>
  <c r="K28" i="5"/>
  <c r="AE85" i="6"/>
  <c r="AE25" i="6"/>
  <c r="AI25" i="5"/>
  <c r="AB89" i="6"/>
  <c r="AB29" i="6"/>
  <c r="BG22" i="5"/>
  <c r="AV21" i="5"/>
  <c r="AA38" i="6"/>
  <c r="S18" i="5"/>
  <c r="R18" i="5"/>
  <c r="G7" i="5"/>
  <c r="F7" i="5"/>
  <c r="BC11" i="5"/>
  <c r="BB11" i="5"/>
  <c r="AI66" i="6"/>
  <c r="AI96" i="6"/>
  <c r="AI111" i="6"/>
  <c r="J29" i="5"/>
  <c r="AI36" i="6"/>
  <c r="AI6" i="6"/>
  <c r="AI51" i="6"/>
  <c r="AF115" i="6"/>
  <c r="AF100" i="6"/>
  <c r="AF70" i="6"/>
  <c r="AF40" i="6"/>
  <c r="AH26" i="5"/>
  <c r="AF10" i="6"/>
  <c r="AF55" i="6"/>
  <c r="AE44" i="6"/>
  <c r="AE55" i="6"/>
  <c r="AD41" i="6"/>
  <c r="AD52" i="6"/>
  <c r="Y46" i="6"/>
  <c r="Y40" i="6"/>
  <c r="X43" i="6"/>
  <c r="BO17" i="5"/>
  <c r="BN17" i="5"/>
  <c r="AK15" i="5"/>
  <c r="AJ15" i="5"/>
  <c r="BI12" i="5"/>
  <c r="BH12" i="5"/>
  <c r="AP12" i="5"/>
  <c r="AQ12" i="5"/>
  <c r="AQ8" i="5"/>
  <c r="AP8" i="5"/>
  <c r="G4" i="5"/>
  <c r="F4" i="5"/>
  <c r="W46" i="6"/>
  <c r="G6" i="5"/>
  <c r="F6" i="5"/>
  <c r="X102" i="6"/>
  <c r="AD36" i="6"/>
  <c r="AB45" i="6"/>
  <c r="X114" i="6"/>
  <c r="Y16" i="5"/>
  <c r="X16" i="5"/>
  <c r="Y14" i="5"/>
  <c r="X14" i="5"/>
  <c r="AW11" i="5"/>
  <c r="AV11" i="5"/>
  <c r="AW9" i="5"/>
  <c r="AV9" i="5"/>
  <c r="BU6" i="5"/>
  <c r="BT6" i="5"/>
  <c r="AH116" i="6"/>
  <c r="AH101" i="6"/>
  <c r="AH71" i="6"/>
  <c r="AH56" i="6"/>
  <c r="AH41" i="6"/>
  <c r="AN28" i="5"/>
  <c r="AH11" i="6"/>
  <c r="AE116" i="6"/>
  <c r="X119" i="6"/>
  <c r="G17" i="5"/>
  <c r="F17" i="5"/>
  <c r="Y7" i="5"/>
  <c r="X7" i="5"/>
  <c r="X90" i="6"/>
  <c r="X30" i="6"/>
  <c r="BM18" i="5"/>
  <c r="BN18" i="5" s="1"/>
  <c r="AE105" i="6"/>
  <c r="AD35" i="6"/>
  <c r="AB44" i="6"/>
  <c r="Z117" i="6"/>
  <c r="Z102" i="6"/>
  <c r="Z72" i="6"/>
  <c r="Z57" i="6"/>
  <c r="Z42" i="6"/>
  <c r="Z12" i="6"/>
  <c r="AT20" i="5"/>
  <c r="Y120" i="6"/>
  <c r="Y105" i="6"/>
  <c r="Y45" i="6"/>
  <c r="Y60" i="6"/>
  <c r="Y15" i="6"/>
  <c r="Y75" i="6"/>
  <c r="BL19" i="5"/>
  <c r="W119" i="6"/>
  <c r="AK16" i="5"/>
  <c r="AJ16" i="5"/>
  <c r="V37" i="6"/>
  <c r="T120" i="6"/>
  <c r="R14" i="5"/>
  <c r="S14" i="5"/>
  <c r="BI9" i="5"/>
  <c r="BH9" i="5"/>
  <c r="BO20" i="5"/>
  <c r="BN20" i="5"/>
  <c r="AQ18" i="5"/>
  <c r="AP18" i="5"/>
  <c r="AI101" i="6"/>
  <c r="AI116" i="6"/>
  <c r="AI71" i="6"/>
  <c r="AN29" i="5"/>
  <c r="AI41" i="6"/>
  <c r="AI11" i="6"/>
  <c r="AI56" i="6"/>
  <c r="AK18" i="5"/>
  <c r="AJ18" i="5"/>
  <c r="BU5" i="5"/>
  <c r="BT5" i="5"/>
  <c r="BB7" i="5"/>
  <c r="AQ6" i="5"/>
  <c r="AP6" i="5"/>
  <c r="F9" i="5"/>
  <c r="AF87" i="6"/>
  <c r="AF27" i="6"/>
  <c r="AU26" i="5"/>
  <c r="Z87" i="6"/>
  <c r="AU20" i="5"/>
  <c r="Z27" i="6"/>
  <c r="AK6" i="5"/>
  <c r="AJ6" i="5"/>
  <c r="AK19" i="5"/>
  <c r="AE11" i="5"/>
  <c r="AD11" i="5"/>
  <c r="AA97" i="6"/>
  <c r="AA112" i="6"/>
  <c r="AA67" i="6"/>
  <c r="AA52" i="6"/>
  <c r="P21" i="5"/>
  <c r="AA37" i="6"/>
  <c r="AA7" i="6"/>
  <c r="T112" i="6"/>
  <c r="L120" i="6"/>
  <c r="L105" i="6"/>
  <c r="L75" i="6"/>
  <c r="L15" i="6"/>
  <c r="L45" i="6"/>
  <c r="L60" i="6"/>
  <c r="BL6" i="5"/>
  <c r="AF88" i="6"/>
  <c r="AF28" i="6"/>
  <c r="BA26" i="5"/>
  <c r="AJ113" i="6"/>
  <c r="AJ98" i="6"/>
  <c r="AJ53" i="6"/>
  <c r="AJ38" i="6"/>
  <c r="AJ8" i="6"/>
  <c r="V30" i="5"/>
  <c r="AJ68" i="6"/>
  <c r="AD85" i="6"/>
  <c r="AI24" i="5"/>
  <c r="AD25" i="6"/>
  <c r="BC4" i="5"/>
  <c r="BB4" i="5"/>
  <c r="BC5" i="5"/>
  <c r="BB5" i="5"/>
  <c r="AI115" i="6"/>
  <c r="AI70" i="6"/>
  <c r="AI55" i="6"/>
  <c r="AH29" i="5"/>
  <c r="AI10" i="6"/>
  <c r="AI100" i="6"/>
  <c r="AI40" i="6"/>
  <c r="AF111" i="6"/>
  <c r="AQ10" i="5"/>
  <c r="AP10" i="5"/>
  <c r="BI7" i="5"/>
  <c r="BH7" i="5"/>
  <c r="Y118" i="6"/>
  <c r="Y103" i="6"/>
  <c r="Y58" i="6"/>
  <c r="Y43" i="6"/>
  <c r="Y73" i="6"/>
  <c r="Y13" i="6"/>
  <c r="AZ19" i="5"/>
  <c r="AD115" i="6"/>
  <c r="F14" i="5"/>
  <c r="G14" i="5"/>
  <c r="AW13" i="5"/>
  <c r="AV13" i="5"/>
  <c r="AE9" i="5"/>
  <c r="AD9" i="5"/>
  <c r="Y6" i="5"/>
  <c r="X6" i="5"/>
  <c r="AJ112" i="6"/>
  <c r="AJ97" i="6"/>
  <c r="AJ67" i="6"/>
  <c r="AJ52" i="6"/>
  <c r="P30" i="5"/>
  <c r="AJ37" i="6"/>
  <c r="AJ7" i="6"/>
  <c r="Y13" i="5"/>
  <c r="X13" i="5"/>
  <c r="BC24" i="5"/>
  <c r="BB24" i="5"/>
  <c r="AQ9" i="5"/>
  <c r="AP9" i="5"/>
  <c r="AJ120" i="6"/>
  <c r="AJ105" i="6"/>
  <c r="AJ75" i="6"/>
  <c r="AJ60" i="6"/>
  <c r="BL30" i="5"/>
  <c r="AJ15" i="6"/>
  <c r="AJ45" i="6"/>
  <c r="AA99" i="6"/>
  <c r="BU13" i="5"/>
  <c r="BT13" i="5"/>
  <c r="AF84" i="6"/>
  <c r="AF24" i="6"/>
  <c r="AC26" i="5"/>
  <c r="AJ110" i="6"/>
  <c r="AJ95" i="6"/>
  <c r="AJ65" i="6"/>
  <c r="D30" i="5"/>
  <c r="AJ50" i="6"/>
  <c r="AJ35" i="6"/>
  <c r="AJ5" i="6"/>
  <c r="AB88" i="6"/>
  <c r="AB28" i="6"/>
  <c r="BA22" i="5"/>
  <c r="BU4" i="5"/>
  <c r="BT4" i="5"/>
  <c r="AH88" i="6"/>
  <c r="AH28" i="6"/>
  <c r="BA28" i="5"/>
  <c r="AF80" i="6"/>
  <c r="AF20" i="6"/>
  <c r="E26" i="5"/>
  <c r="AB85" i="6"/>
  <c r="AB25" i="6"/>
  <c r="AI22" i="5"/>
  <c r="AI103" i="6"/>
  <c r="AI118" i="6"/>
  <c r="AI73" i="6"/>
  <c r="AI43" i="6"/>
  <c r="AZ29" i="5"/>
  <c r="AI58" i="6"/>
  <c r="AI13" i="6"/>
  <c r="AG110" i="6"/>
  <c r="AG95" i="6"/>
  <c r="AG50" i="6"/>
  <c r="AG35" i="6"/>
  <c r="AG5" i="6"/>
  <c r="D27" i="5"/>
  <c r="AG65" i="6"/>
  <c r="AF114" i="6"/>
  <c r="AE96" i="6"/>
  <c r="AE66" i="6"/>
  <c r="AE111" i="6"/>
  <c r="AE51" i="6"/>
  <c r="J25" i="5"/>
  <c r="AE36" i="6"/>
  <c r="AE6" i="6"/>
  <c r="AK22" i="5"/>
  <c r="AJ22" i="5"/>
  <c r="Z81" i="6"/>
  <c r="K20" i="5"/>
  <c r="M20" i="5" s="1"/>
  <c r="Z21" i="6"/>
  <c r="AJ91" i="6"/>
  <c r="AJ31" i="6"/>
  <c r="BS30" i="5"/>
  <c r="AH83" i="6"/>
  <c r="AH23" i="6"/>
  <c r="W28" i="5"/>
  <c r="AE87" i="6"/>
  <c r="AU25" i="5"/>
  <c r="AV25" i="5" s="1"/>
  <c r="AE27" i="6"/>
  <c r="Z83" i="6"/>
  <c r="W20" i="5"/>
  <c r="Z23" i="6"/>
  <c r="AI102" i="6"/>
  <c r="AI72" i="6"/>
  <c r="AI117" i="6"/>
  <c r="AI57" i="6"/>
  <c r="AT29" i="5"/>
  <c r="AI42" i="6"/>
  <c r="AI12" i="6"/>
  <c r="AF121" i="6"/>
  <c r="AF106" i="6"/>
  <c r="AF76" i="6"/>
  <c r="AF61" i="6"/>
  <c r="AF46" i="6"/>
  <c r="BR26" i="5"/>
  <c r="AF16" i="6"/>
  <c r="AE46" i="6"/>
  <c r="AE42" i="6"/>
  <c r="AC40" i="6"/>
  <c r="AA89" i="6"/>
  <c r="BG21" i="5"/>
  <c r="AA29" i="6"/>
  <c r="AI86" i="6"/>
  <c r="AO29" i="5"/>
  <c r="AI26" i="6"/>
  <c r="AF90" i="6"/>
  <c r="AF30" i="6"/>
  <c r="BM26" i="5"/>
  <c r="AC121" i="6"/>
  <c r="AC106" i="6"/>
  <c r="AC76" i="6"/>
  <c r="AC46" i="6"/>
  <c r="AC61" i="6"/>
  <c r="AC16" i="6"/>
  <c r="BR23" i="5"/>
  <c r="AJ85" i="6"/>
  <c r="AJ25" i="6"/>
  <c r="AI30" i="5"/>
  <c r="AG89" i="6"/>
  <c r="AG29" i="6"/>
  <c r="BG27" i="5"/>
  <c r="AE82" i="6"/>
  <c r="AE22" i="6"/>
  <c r="Q25" i="5"/>
  <c r="AB86" i="6"/>
  <c r="AB26" i="6"/>
  <c r="AO22" i="5"/>
  <c r="AD45" i="6"/>
  <c r="Y17" i="5"/>
  <c r="X17" i="5"/>
  <c r="BC9" i="5"/>
  <c r="BB9" i="5"/>
  <c r="M8" i="5"/>
  <c r="L8" i="5"/>
  <c r="AH119" i="6"/>
  <c r="AH104" i="6"/>
  <c r="AH74" i="6"/>
  <c r="AH59" i="6"/>
  <c r="AH44" i="6"/>
  <c r="BF28" i="5"/>
  <c r="AH14" i="6"/>
  <c r="AE40" i="6"/>
  <c r="AD56" i="6"/>
  <c r="AA95" i="6"/>
  <c r="AA65" i="6"/>
  <c r="AA110" i="6"/>
  <c r="AA50" i="6"/>
  <c r="AA35" i="6"/>
  <c r="AA5" i="6"/>
  <c r="D21" i="5"/>
  <c r="Y61" i="6"/>
  <c r="Y55" i="6"/>
  <c r="X58" i="6"/>
  <c r="AJ17" i="5"/>
  <c r="AK17" i="5"/>
  <c r="BN15" i="5"/>
  <c r="BO15" i="5"/>
  <c r="BI8" i="5"/>
  <c r="BH8" i="5"/>
  <c r="M6" i="5"/>
  <c r="L6" i="5"/>
  <c r="AE10" i="5"/>
  <c r="AD10" i="5"/>
  <c r="W106" i="6"/>
  <c r="AE114" i="6"/>
  <c r="AE17" i="5"/>
  <c r="AD17" i="5"/>
  <c r="BU16" i="5"/>
  <c r="BT16" i="5"/>
  <c r="G12" i="5"/>
  <c r="F12" i="5"/>
  <c r="AW7" i="5"/>
  <c r="AV7" i="5"/>
  <c r="AG112" i="6"/>
  <c r="AG97" i="6"/>
  <c r="AG67" i="6"/>
  <c r="AG52" i="6"/>
  <c r="AG37" i="6"/>
  <c r="AG7" i="6"/>
  <c r="P27" i="5"/>
  <c r="Z80" i="6"/>
  <c r="E20" i="5"/>
  <c r="G20" i="5" s="1"/>
  <c r="Z20" i="6"/>
  <c r="BC17" i="5"/>
  <c r="BB17" i="5"/>
  <c r="AE8" i="5"/>
  <c r="AD8" i="5"/>
  <c r="G25" i="5"/>
  <c r="F25" i="5"/>
  <c r="Y90" i="6"/>
  <c r="Y30" i="6"/>
  <c r="BM19" i="5"/>
  <c r="AJ10" i="5"/>
  <c r="AE112" i="6"/>
  <c r="Z111" i="6"/>
  <c r="Y113" i="6"/>
  <c r="Y68" i="6"/>
  <c r="Y53" i="6"/>
  <c r="Y38" i="6"/>
  <c r="Y8" i="6"/>
  <c r="Y98" i="6"/>
  <c r="V19" i="5"/>
  <c r="G5" i="5"/>
  <c r="F5" i="5"/>
  <c r="AB103" i="6"/>
  <c r="AD50" i="6"/>
  <c r="AB59" i="6"/>
  <c r="AA40" i="6"/>
  <c r="M21" i="5"/>
  <c r="L21" i="5"/>
  <c r="T52" i="6"/>
  <c r="BI13" i="5"/>
  <c r="BH13" i="5"/>
  <c r="S10" i="5"/>
  <c r="R10" i="5"/>
  <c r="S8" i="5"/>
  <c r="R8" i="5"/>
  <c r="L5" i="5"/>
  <c r="BO21" i="5"/>
  <c r="BN21" i="5"/>
  <c r="G19" i="5"/>
  <c r="F19" i="5"/>
  <c r="AG120" i="6"/>
  <c r="AG105" i="6"/>
  <c r="AG45" i="6"/>
  <c r="AG75" i="6"/>
  <c r="AG15" i="6"/>
  <c r="BL27" i="5"/>
  <c r="AG60" i="6"/>
  <c r="AA39" i="6"/>
  <c r="AW8" i="5"/>
  <c r="AV8" i="5"/>
  <c r="AC60" i="6"/>
  <c r="AB116" i="6"/>
  <c r="BC6" i="5"/>
  <c r="BB6" i="5"/>
  <c r="AH110" i="6"/>
  <c r="AH95" i="6"/>
  <c r="AH65" i="6"/>
  <c r="AH50" i="6"/>
  <c r="D28" i="5"/>
  <c r="AH5" i="6"/>
  <c r="AH35" i="6"/>
  <c r="AC82" i="6"/>
  <c r="AC22" i="6"/>
  <c r="Q23" i="5"/>
  <c r="S23" i="5" s="1"/>
  <c r="AG121" i="6"/>
  <c r="AG106" i="6"/>
  <c r="AG61" i="6"/>
  <c r="AG76" i="6"/>
  <c r="AG46" i="6"/>
  <c r="AG16" i="6"/>
  <c r="BR27" i="5"/>
  <c r="AE98" i="6"/>
  <c r="AE113" i="6"/>
  <c r="AE68" i="6"/>
  <c r="AE53" i="6"/>
  <c r="V25" i="5"/>
  <c r="AE8" i="6"/>
  <c r="AE38" i="6"/>
  <c r="BI4" i="5"/>
  <c r="BH4" i="5"/>
  <c r="AF96" i="6"/>
  <c r="M10" i="5"/>
  <c r="L10" i="5"/>
  <c r="U86" i="6"/>
  <c r="U26" i="6"/>
  <c r="AO15" i="5"/>
  <c r="F24" i="5"/>
  <c r="V120" i="6"/>
  <c r="M13" i="5"/>
  <c r="L13" i="5"/>
  <c r="M116" i="6"/>
  <c r="M71" i="6"/>
  <c r="M101" i="6"/>
  <c r="M56" i="6"/>
  <c r="M41" i="6"/>
  <c r="M11" i="6"/>
  <c r="AN7" i="5"/>
  <c r="AC86" i="6"/>
  <c r="AC26" i="6"/>
  <c r="AO23" i="5"/>
  <c r="AQ23" i="5" s="1"/>
  <c r="AB121" i="6"/>
  <c r="AB76" i="6"/>
  <c r="AB106" i="6"/>
  <c r="AB46" i="6"/>
  <c r="AB16" i="6"/>
  <c r="AB61" i="6"/>
  <c r="BR22" i="5"/>
  <c r="AQ4" i="5"/>
  <c r="AP4" i="5"/>
  <c r="AH84" i="6"/>
  <c r="AC28" i="5"/>
  <c r="AH24" i="6"/>
  <c r="AE88" i="6"/>
  <c r="AE28" i="6"/>
  <c r="BA25" i="5"/>
  <c r="BC25" i="5" s="1"/>
  <c r="AF118" i="6"/>
  <c r="AF103" i="6"/>
  <c r="AF58" i="6"/>
  <c r="AF43" i="6"/>
  <c r="AF73" i="6"/>
  <c r="AZ26" i="5"/>
  <c r="AF13" i="6"/>
  <c r="X89" i="6"/>
  <c r="X29" i="6"/>
  <c r="BG18" i="5"/>
  <c r="BI18" i="5" s="1"/>
  <c r="AG91" i="6"/>
  <c r="AG31" i="6"/>
  <c r="BS27" i="5"/>
  <c r="X91" i="6"/>
  <c r="X31" i="6"/>
  <c r="BS18" i="5"/>
  <c r="AF117" i="6"/>
  <c r="AF102" i="6"/>
  <c r="AF72" i="6"/>
  <c r="AT26" i="5"/>
  <c r="AF57" i="6"/>
  <c r="AF12" i="6"/>
  <c r="AF42" i="6"/>
  <c r="AI82" i="6"/>
  <c r="AI22" i="6"/>
  <c r="Q29" i="5"/>
  <c r="AG85" i="6"/>
  <c r="AG25" i="6"/>
  <c r="AI27" i="5"/>
  <c r="AH115" i="6"/>
  <c r="AH100" i="6"/>
  <c r="AH70" i="6"/>
  <c r="AH55" i="6"/>
  <c r="AH40" i="6"/>
  <c r="AH28" i="5"/>
  <c r="AH10" i="6"/>
  <c r="AF36" i="6"/>
  <c r="AI120" i="6"/>
  <c r="AI105" i="6"/>
  <c r="AI75" i="6"/>
  <c r="AI60" i="6"/>
  <c r="BL29" i="5"/>
  <c r="AI15" i="6"/>
  <c r="AI45" i="6"/>
  <c r="AK24" i="5"/>
  <c r="AJ24" i="5"/>
  <c r="AC52" i="6"/>
  <c r="BB14" i="5"/>
  <c r="BC14" i="5"/>
  <c r="BH18" i="5"/>
  <c r="AE19" i="5"/>
  <c r="AD19" i="5"/>
  <c r="W86" i="6"/>
  <c r="W26" i="6"/>
  <c r="AO17" i="5"/>
  <c r="AQ17" i="5" s="1"/>
  <c r="V82" i="6"/>
  <c r="V22" i="6"/>
  <c r="Q16" i="5"/>
  <c r="R16" i="5" s="1"/>
  <c r="T90" i="6"/>
  <c r="T30" i="6"/>
  <c r="BM14" i="5"/>
  <c r="BO14" i="5" s="1"/>
  <c r="BI19" i="5"/>
  <c r="BH19" i="5"/>
  <c r="AJ116" i="6"/>
  <c r="AJ101" i="6"/>
  <c r="AN30" i="5"/>
  <c r="AJ41" i="6"/>
  <c r="AJ11" i="6"/>
  <c r="AJ56" i="6"/>
  <c r="AJ71" i="6"/>
  <c r="AD14" i="5"/>
  <c r="AE14" i="5"/>
  <c r="AE20" i="5"/>
  <c r="AD20" i="5"/>
  <c r="BN14" i="5"/>
  <c r="S5" i="5"/>
  <c r="R5" i="5"/>
  <c r="AH80" i="6"/>
  <c r="E28" i="5"/>
  <c r="AH20" i="6"/>
  <c r="AI110" i="6"/>
  <c r="AI95" i="6"/>
  <c r="AI65" i="6"/>
  <c r="D29" i="5"/>
  <c r="AI50" i="6"/>
  <c r="AI5" i="6"/>
  <c r="AI35" i="6"/>
  <c r="AE43" i="6"/>
  <c r="AG87" i="6"/>
  <c r="AG27" i="6"/>
  <c r="AU27" i="5"/>
  <c r="AC100" i="6"/>
  <c r="Y81" i="6"/>
  <c r="Y21" i="6"/>
  <c r="K19" i="5"/>
  <c r="M19" i="5" s="1"/>
  <c r="AH90" i="6"/>
  <c r="BM28" i="5"/>
  <c r="AH30" i="6"/>
  <c r="AF82" i="6"/>
  <c r="AF22" i="6"/>
  <c r="Q26" i="5"/>
  <c r="AB90" i="6"/>
  <c r="AB30" i="6"/>
  <c r="BM22" i="5"/>
  <c r="AI89" i="6"/>
  <c r="AI29" i="6"/>
  <c r="BG29" i="5"/>
  <c r="AG81" i="6"/>
  <c r="AG21" i="6"/>
  <c r="K27" i="5"/>
  <c r="AD114" i="6"/>
  <c r="AD99" i="6"/>
  <c r="AD69" i="6"/>
  <c r="AD54" i="6"/>
  <c r="AD39" i="6"/>
  <c r="AD9" i="6"/>
  <c r="AB24" i="5"/>
  <c r="AB114" i="6"/>
  <c r="AB99" i="6"/>
  <c r="AB69" i="6"/>
  <c r="AB9" i="6"/>
  <c r="AB39" i="6"/>
  <c r="AB22" i="5"/>
  <c r="AB54" i="6"/>
  <c r="L12" i="5"/>
  <c r="AJ119" i="6"/>
  <c r="AJ74" i="6"/>
  <c r="AJ44" i="6"/>
  <c r="AJ104" i="6"/>
  <c r="AJ59" i="6"/>
  <c r="AJ14" i="6"/>
  <c r="BF30" i="5"/>
  <c r="AH111" i="6"/>
  <c r="AH96" i="6"/>
  <c r="AH66" i="6"/>
  <c r="AH51" i="6"/>
  <c r="J28" i="5"/>
  <c r="AH36" i="6"/>
  <c r="AH6" i="6"/>
  <c r="AE59" i="6"/>
  <c r="Y22" i="5"/>
  <c r="X22" i="5"/>
  <c r="AQ21" i="5"/>
  <c r="AP21" i="5"/>
  <c r="AQ16" i="5"/>
  <c r="AP16" i="5"/>
  <c r="BN13" i="5"/>
  <c r="BO13" i="5"/>
  <c r="AK11" i="5"/>
  <c r="AJ11" i="5"/>
  <c r="AH112" i="6"/>
  <c r="AH97" i="6"/>
  <c r="AH67" i="6"/>
  <c r="AH52" i="6"/>
  <c r="P28" i="5"/>
  <c r="AH7" i="6"/>
  <c r="AH37" i="6"/>
  <c r="AA74" i="6"/>
  <c r="AA59" i="6"/>
  <c r="AA104" i="6"/>
  <c r="AA119" i="6"/>
  <c r="AA44" i="6"/>
  <c r="BF21" i="5"/>
  <c r="AA14" i="6"/>
  <c r="X121" i="6"/>
  <c r="X106" i="6"/>
  <c r="X76" i="6"/>
  <c r="X61" i="6"/>
  <c r="X46" i="6"/>
  <c r="X16" i="6"/>
  <c r="BR18" i="5"/>
  <c r="AE39" i="6"/>
  <c r="AD40" i="6"/>
  <c r="AC97" i="6"/>
  <c r="AB105" i="6"/>
  <c r="Z82" i="6"/>
  <c r="Q20" i="5"/>
  <c r="S20" i="5" s="1"/>
  <c r="Z22" i="6"/>
  <c r="AD18" i="5"/>
  <c r="AD15" i="5"/>
  <c r="AE15" i="5"/>
  <c r="Y10" i="5"/>
  <c r="X10" i="5"/>
  <c r="AE5" i="5"/>
  <c r="AD5" i="5"/>
  <c r="Y36" i="6"/>
  <c r="S25" i="5"/>
  <c r="R25" i="5"/>
  <c r="AI97" i="6"/>
  <c r="AI112" i="6"/>
  <c r="AI67" i="6"/>
  <c r="P29" i="5"/>
  <c r="AI52" i="6"/>
  <c r="AI37" i="6"/>
  <c r="AI7" i="6"/>
  <c r="Z89" i="6"/>
  <c r="BG20" i="5"/>
  <c r="BH20" i="5" s="1"/>
  <c r="Z29" i="6"/>
  <c r="AE57" i="6"/>
  <c r="AA115" i="6"/>
  <c r="W56" i="6"/>
  <c r="M17" i="5"/>
  <c r="L17" i="5"/>
  <c r="V97" i="6"/>
  <c r="M15" i="5"/>
  <c r="L15" i="5"/>
  <c r="T37" i="6"/>
  <c r="AK12" i="5"/>
  <c r="AJ12" i="5"/>
  <c r="BO8" i="5"/>
  <c r="BN8" i="5"/>
  <c r="AD87" i="6"/>
  <c r="AU24" i="5"/>
  <c r="AD27" i="6"/>
  <c r="AF37" i="6"/>
  <c r="G11" i="5"/>
  <c r="F11" i="5"/>
  <c r="AB41" i="6"/>
  <c r="AJ9" i="5"/>
  <c r="AC89" i="6"/>
  <c r="AC29" i="6"/>
  <c r="BG23" i="5"/>
  <c r="AH89" i="6"/>
  <c r="AH29" i="6"/>
  <c r="BG28" i="5"/>
  <c r="AI104" i="6"/>
  <c r="AI74" i="6"/>
  <c r="AI119" i="6"/>
  <c r="AI59" i="6"/>
  <c r="BF29" i="5"/>
  <c r="AI44" i="6"/>
  <c r="AI14" i="6"/>
  <c r="AE25" i="5"/>
  <c r="AD25" i="5"/>
  <c r="AW14" i="5"/>
  <c r="AV14" i="5"/>
  <c r="BH22" i="5"/>
  <c r="BI22" i="5"/>
  <c r="BI5" i="5"/>
  <c r="BH5" i="5"/>
  <c r="F15" i="5"/>
  <c r="G15" i="5"/>
  <c r="AG118" i="6"/>
  <c r="AG103" i="6"/>
  <c r="AG58" i="6"/>
  <c r="AG43" i="6"/>
  <c r="AG73" i="6"/>
  <c r="AG13" i="6"/>
  <c r="AZ27" i="5"/>
  <c r="AH91" i="6"/>
  <c r="AH31" i="6"/>
  <c r="BS28" i="5"/>
  <c r="AG117" i="6"/>
  <c r="AG102" i="6"/>
  <c r="AG72" i="6"/>
  <c r="AG57" i="6"/>
  <c r="AG42" i="6"/>
  <c r="AG12" i="6"/>
  <c r="AT27" i="5"/>
  <c r="AA83" i="6"/>
  <c r="AA23" i="6"/>
  <c r="W21" i="5"/>
  <c r="AD83" i="6"/>
  <c r="W24" i="5"/>
  <c r="AD23" i="6"/>
  <c r="AJ87" i="6"/>
  <c r="AJ27" i="6"/>
  <c r="AU30" i="5"/>
  <c r="AC21" i="6"/>
  <c r="AC81" i="6"/>
  <c r="K23" i="5"/>
  <c r="AD121" i="6"/>
  <c r="AD106" i="6"/>
  <c r="AD61" i="6"/>
  <c r="AD76" i="6"/>
  <c r="AD46" i="6"/>
  <c r="BR24" i="5"/>
  <c r="AD16" i="6"/>
  <c r="AA98" i="6"/>
  <c r="AQ20" i="5"/>
  <c r="AP20" i="5"/>
  <c r="BI25" i="5"/>
  <c r="BH25" i="5"/>
  <c r="AC116" i="6"/>
  <c r="R13" i="5"/>
  <c r="S13" i="5"/>
  <c r="X84" i="6"/>
  <c r="X24" i="6"/>
  <c r="AC18" i="5"/>
  <c r="AE18" i="5" s="1"/>
  <c r="M4" i="5"/>
  <c r="L4" i="5"/>
  <c r="Z115" i="6"/>
  <c r="Z100" i="6"/>
  <c r="Z70" i="6"/>
  <c r="Z55" i="6"/>
  <c r="Z40" i="6"/>
  <c r="AH20" i="5"/>
  <c r="Z10" i="6"/>
  <c r="BU14" i="5"/>
  <c r="BT14" i="5"/>
  <c r="G8" i="5"/>
  <c r="F8" i="5"/>
  <c r="AW12" i="5"/>
  <c r="AV12" i="5"/>
  <c r="AK14" i="5"/>
  <c r="AJ14" i="5"/>
  <c r="AJ88" i="6"/>
  <c r="AJ28" i="6"/>
  <c r="BA30" i="5"/>
  <c r="AE81" i="6"/>
  <c r="K25" i="5"/>
  <c r="AE21" i="6"/>
  <c r="Y91" i="6"/>
  <c r="Y31" i="6"/>
  <c r="BS19" i="5"/>
  <c r="BU19" i="5" s="1"/>
  <c r="AD80" i="6"/>
  <c r="AD20" i="6"/>
  <c r="E24" i="5"/>
  <c r="G24" i="5" s="1"/>
  <c r="AJ83" i="6"/>
  <c r="AJ23" i="6"/>
  <c r="W30" i="5"/>
  <c r="AD86" i="6"/>
  <c r="AO24" i="5"/>
  <c r="AQ24" i="5" s="1"/>
  <c r="AD26" i="6"/>
  <c r="AH121" i="6"/>
  <c r="AH106" i="6"/>
  <c r="AH61" i="6"/>
  <c r="AH76" i="6"/>
  <c r="AH46" i="6"/>
  <c r="BR28" i="5"/>
  <c r="AH16" i="6"/>
  <c r="AD44" i="6"/>
  <c r="AJ84" i="6"/>
  <c r="AJ24" i="6"/>
  <c r="AC30" i="5"/>
  <c r="AG88" i="6"/>
  <c r="AG28" i="6"/>
  <c r="BA27" i="5"/>
  <c r="AD90" i="6"/>
  <c r="BM24" i="5"/>
  <c r="BO24" i="5" s="1"/>
  <c r="AD30" i="6"/>
  <c r="X87" i="6"/>
  <c r="X27" i="6"/>
  <c r="AU18" i="5"/>
  <c r="AW18" i="5" s="1"/>
  <c r="AH118" i="6"/>
  <c r="AH103" i="6"/>
  <c r="AH73" i="6"/>
  <c r="AH58" i="6"/>
  <c r="AH43" i="6"/>
  <c r="AZ28" i="5"/>
  <c r="AH13" i="6"/>
  <c r="G26" i="5"/>
  <c r="F26" i="5"/>
  <c r="BB25" i="5"/>
  <c r="AC119" i="6"/>
  <c r="AC104" i="6"/>
  <c r="AC59" i="6"/>
  <c r="AC44" i="6"/>
  <c r="AC14" i="6"/>
  <c r="AC74" i="6"/>
  <c r="BF23" i="5"/>
  <c r="AI91" i="6"/>
  <c r="BS29" i="5"/>
  <c r="AI31" i="6"/>
  <c r="AG83" i="6"/>
  <c r="AG23" i="6"/>
  <c r="W27" i="5"/>
  <c r="AD113" i="6"/>
  <c r="AD98" i="6"/>
  <c r="AD68" i="6"/>
  <c r="AD53" i="6"/>
  <c r="V24" i="5"/>
  <c r="AD38" i="6"/>
  <c r="AD8" i="6"/>
  <c r="AH117" i="6"/>
  <c r="AH102" i="6"/>
  <c r="AH72" i="6"/>
  <c r="AH57" i="6"/>
  <c r="AH42" i="6"/>
  <c r="AT28" i="5"/>
  <c r="AH12" i="6"/>
  <c r="AF38" i="6"/>
  <c r="W89" i="6"/>
  <c r="BG17" i="5"/>
  <c r="W29" i="6"/>
  <c r="AH86" i="6"/>
  <c r="AO28" i="5"/>
  <c r="AH26" i="6"/>
  <c r="AE90" i="6"/>
  <c r="AE30" i="6"/>
  <c r="BM25" i="5"/>
  <c r="BO25" i="5" s="1"/>
  <c r="AB117" i="6"/>
  <c r="AB102" i="6"/>
  <c r="AB57" i="6"/>
  <c r="AB42" i="6"/>
  <c r="AB12" i="6"/>
  <c r="AB72" i="6"/>
  <c r="AT22" i="5"/>
  <c r="AI85" i="6"/>
  <c r="AI25" i="6"/>
  <c r="AI29" i="5"/>
  <c r="AF89" i="6"/>
  <c r="AF29" i="6"/>
  <c r="BG26" i="5"/>
  <c r="AD81" i="6"/>
  <c r="K24" i="5"/>
  <c r="L24" i="5" s="1"/>
  <c r="AD21" i="6"/>
  <c r="BI11" i="5"/>
  <c r="BH11" i="5"/>
  <c r="AA113" i="6"/>
  <c r="Y85" i="6"/>
  <c r="Y25" i="6"/>
  <c r="AI19" i="5"/>
  <c r="AJ19" i="5" s="1"/>
  <c r="X88" i="6"/>
  <c r="X28" i="6"/>
  <c r="BA18" i="5"/>
  <c r="AD105" i="6"/>
  <c r="Y15" i="5"/>
  <c r="X15" i="5"/>
  <c r="BB13" i="5"/>
  <c r="BC13" i="5"/>
  <c r="AJ115" i="6"/>
  <c r="AJ100" i="6"/>
  <c r="AJ70" i="6"/>
  <c r="AJ55" i="6"/>
  <c r="AJ40" i="6"/>
  <c r="AJ10" i="6"/>
  <c r="AH30" i="5"/>
  <c r="AG119" i="6"/>
  <c r="AG104" i="6"/>
  <c r="AG74" i="6"/>
  <c r="AG59" i="6"/>
  <c r="AG44" i="6"/>
  <c r="AG14" i="6"/>
  <c r="BF27" i="5"/>
  <c r="AE115" i="6"/>
  <c r="AD116" i="6"/>
  <c r="AP23" i="5"/>
  <c r="Y121" i="6"/>
  <c r="Y115" i="6"/>
  <c r="M16" i="5"/>
  <c r="L16" i="5"/>
  <c r="M14" i="5"/>
  <c r="L14" i="5"/>
  <c r="AK13" i="5"/>
  <c r="AJ13" i="5"/>
  <c r="BO11" i="5"/>
  <c r="BN11" i="5"/>
  <c r="AK7" i="5"/>
  <c r="AJ7" i="5"/>
  <c r="AF116" i="6"/>
  <c r="AF101" i="6"/>
  <c r="AF71" i="6"/>
  <c r="AF56" i="6"/>
  <c r="AF41" i="6"/>
  <c r="AN26" i="5"/>
  <c r="AF11" i="6"/>
  <c r="M22" i="5"/>
  <c r="W121" i="6"/>
  <c r="Y11" i="5"/>
  <c r="X11" i="5"/>
  <c r="AK4" i="5"/>
  <c r="AJ4" i="5"/>
  <c r="G22" i="5"/>
  <c r="F22" i="5"/>
  <c r="L18" i="5"/>
  <c r="M18" i="5"/>
  <c r="AD55" i="6"/>
  <c r="AB120" i="6"/>
  <c r="BC20" i="5"/>
  <c r="BB20" i="5"/>
  <c r="AA82" i="6"/>
  <c r="Q21" i="5"/>
  <c r="AA22" i="6"/>
  <c r="BO18" i="5"/>
  <c r="AW17" i="5"/>
  <c r="AV17" i="5"/>
  <c r="AW15" i="5"/>
  <c r="AV15" i="5"/>
  <c r="BC12" i="5"/>
  <c r="BB12" i="5"/>
  <c r="BC10" i="5"/>
  <c r="BB10" i="5"/>
  <c r="Y8" i="5"/>
  <c r="X8" i="5"/>
  <c r="AW5" i="5"/>
  <c r="AV5" i="5"/>
  <c r="AQ25" i="5"/>
  <c r="X44" i="6"/>
  <c r="BU11" i="5"/>
  <c r="BT11" i="5"/>
  <c r="Y51" i="6"/>
  <c r="AB81" i="6"/>
  <c r="AB21" i="6"/>
  <c r="K22" i="5"/>
  <c r="L22" i="5" s="1"/>
  <c r="Z36" i="6"/>
  <c r="AG116" i="6"/>
  <c r="AG101" i="6"/>
  <c r="AG56" i="6"/>
  <c r="AG41" i="6"/>
  <c r="AG71" i="6"/>
  <c r="AG11" i="6"/>
  <c r="AN27" i="5"/>
  <c r="BC22" i="5"/>
  <c r="BB22" i="5"/>
  <c r="AQ19" i="5"/>
  <c r="AP19" i="5"/>
  <c r="AW16" i="5"/>
  <c r="AV16" i="5"/>
  <c r="AW6" i="5"/>
  <c r="AV6" i="5"/>
  <c r="AD110" i="6"/>
  <c r="AB119" i="6"/>
  <c r="G18" i="5"/>
  <c r="F18" i="5"/>
  <c r="W44" i="6"/>
  <c r="V112" i="6"/>
  <c r="AP15" i="5"/>
  <c r="AQ15" i="5"/>
  <c r="T45" i="6"/>
  <c r="BO10" i="5"/>
  <c r="BN10" i="5"/>
  <c r="S26" i="5"/>
  <c r="R26" i="5"/>
  <c r="BU20" i="5"/>
  <c r="BT20" i="5"/>
  <c r="AQ22" i="5"/>
  <c r="AP22" i="5"/>
  <c r="AQ5" i="5"/>
  <c r="AP5" i="5"/>
  <c r="Z37" i="6"/>
  <c r="Y18" i="5"/>
  <c r="X18" i="5"/>
  <c r="AI88" i="6"/>
  <c r="BA29" i="5"/>
  <c r="AI28" i="6"/>
  <c r="AJ117" i="6"/>
  <c r="AJ102" i="6"/>
  <c r="AJ57" i="6"/>
  <c r="AJ42" i="6"/>
  <c r="AJ72" i="6"/>
  <c r="AJ12" i="6"/>
  <c r="AT30" i="5"/>
  <c r="AJ86" i="6"/>
  <c r="AJ26" i="6"/>
  <c r="AO30" i="5"/>
  <c r="AG30" i="6"/>
  <c r="AG90" i="6"/>
  <c r="BM27" i="5"/>
  <c r="AF81" i="6"/>
  <c r="AF21" i="6"/>
  <c r="K26" i="5"/>
  <c r="M26" i="5" s="1"/>
  <c r="Y21" i="5"/>
  <c r="X21" i="5"/>
  <c r="AG111" i="6"/>
  <c r="AG66" i="6"/>
  <c r="AG96" i="6"/>
  <c r="AG51" i="6"/>
  <c r="AG36" i="6"/>
  <c r="AG6" i="6"/>
  <c r="J27" i="5"/>
  <c r="BO22" i="5"/>
  <c r="BN22" i="5"/>
  <c r="AA121" i="6"/>
  <c r="AA76" i="6"/>
  <c r="AA61" i="6"/>
  <c r="AA106" i="6"/>
  <c r="AA16" i="6"/>
  <c r="AA46" i="6"/>
  <c r="BR21" i="5"/>
  <c r="V90" i="6"/>
  <c r="V30" i="6"/>
  <c r="BM16" i="5"/>
  <c r="BO16" i="5" s="1"/>
  <c r="AA84" i="6"/>
  <c r="AA24" i="6"/>
  <c r="AC21" i="5"/>
  <c r="AE21" i="5" s="1"/>
  <c r="AE12" i="5"/>
  <c r="AD12" i="5"/>
  <c r="AJ114" i="6"/>
  <c r="AJ99" i="6"/>
  <c r="AB30" i="5"/>
  <c r="AJ9" i="6"/>
  <c r="AJ54" i="6"/>
  <c r="AJ39" i="6"/>
  <c r="AJ69" i="6"/>
  <c r="AI99" i="6"/>
  <c r="AI69" i="6"/>
  <c r="AI114" i="6"/>
  <c r="AI39" i="6"/>
  <c r="AB29" i="5"/>
  <c r="AI54" i="6"/>
  <c r="AI9" i="6"/>
  <c r="AD89" i="6"/>
  <c r="BG24" i="5"/>
  <c r="BH24" i="5" s="1"/>
  <c r="AD29" i="6"/>
  <c r="AI113" i="6"/>
  <c r="AI68" i="6"/>
  <c r="AI98" i="6"/>
  <c r="V29" i="5"/>
  <c r="AI53" i="6"/>
  <c r="AI38" i="6"/>
  <c r="AI8" i="6"/>
  <c r="BT25" i="5"/>
  <c r="BU25" i="5"/>
  <c r="Z85" i="6"/>
  <c r="AI20" i="5"/>
  <c r="Z25" i="6"/>
  <c r="AF86" i="6"/>
  <c r="AF26" i="6"/>
  <c r="AO26" i="5"/>
  <c r="AJ81" i="6"/>
  <c r="AJ21" i="6"/>
  <c r="K30" i="5"/>
  <c r="AW10" i="5"/>
  <c r="AV10" i="5"/>
  <c r="AE6" i="5"/>
  <c r="AD6" i="5"/>
  <c r="AK25" i="5"/>
  <c r="AJ25" i="5"/>
  <c r="S11" i="5"/>
  <c r="R11" i="5"/>
  <c r="S9" i="5"/>
  <c r="R9" i="5"/>
  <c r="Y12" i="5"/>
  <c r="X12" i="5"/>
  <c r="AD84" i="6"/>
  <c r="AD24" i="6"/>
  <c r="AC24" i="5"/>
  <c r="BC23" i="5"/>
  <c r="BB23" i="5"/>
  <c r="AP17" i="5"/>
  <c r="V45" i="6"/>
  <c r="U116" i="6"/>
  <c r="S12" i="5"/>
  <c r="R12" i="5"/>
  <c r="AK8" i="5"/>
  <c r="AJ8" i="5"/>
  <c r="BU9" i="5"/>
  <c r="BT9" i="5"/>
  <c r="S7" i="5"/>
  <c r="R7" i="5"/>
  <c r="AJ80" i="6"/>
  <c r="AJ20" i="6"/>
  <c r="E30" i="5"/>
  <c r="AG24" i="6"/>
  <c r="AG84" i="6"/>
  <c r="AC27" i="5"/>
  <c r="AD117" i="6"/>
  <c r="AD102" i="6"/>
  <c r="AD72" i="6"/>
  <c r="AD57" i="6"/>
  <c r="AD42" i="6"/>
  <c r="AT24" i="5"/>
  <c r="AD12" i="6"/>
  <c r="AF53" i="6"/>
  <c r="AH114" i="6"/>
  <c r="AH99" i="6"/>
  <c r="AH69" i="6"/>
  <c r="AH54" i="6"/>
  <c r="AH39" i="6"/>
  <c r="AB28" i="5"/>
  <c r="AH9" i="6"/>
  <c r="AE26" i="5"/>
  <c r="AD26" i="5"/>
  <c r="AE103" i="6"/>
  <c r="AI87" i="6"/>
  <c r="AI27" i="6"/>
  <c r="AU29" i="5"/>
  <c r="AF91" i="6"/>
  <c r="AF31" i="6"/>
  <c r="BS26" i="5"/>
  <c r="AC85" i="6"/>
  <c r="AC25" i="6"/>
  <c r="AI23" i="5"/>
  <c r="AJ23" i="5" s="1"/>
  <c r="AJ121" i="6"/>
  <c r="AJ76" i="6"/>
  <c r="AJ106" i="6"/>
  <c r="AJ61" i="6"/>
  <c r="AJ46" i="6"/>
  <c r="AJ16" i="6"/>
  <c r="BR30" i="5"/>
  <c r="AH113" i="6"/>
  <c r="AH98" i="6"/>
  <c r="AH68" i="6"/>
  <c r="AH53" i="6"/>
  <c r="V28" i="5"/>
  <c r="AH38" i="6"/>
  <c r="AH8" i="6"/>
  <c r="X26" i="5"/>
  <c r="Y26" i="5"/>
  <c r="AJ90" i="6"/>
  <c r="AJ30" i="6"/>
  <c r="BM30" i="5"/>
  <c r="AH82" i="6"/>
  <c r="Q28" i="5"/>
  <c r="AH22" i="6"/>
  <c r="AE86" i="6"/>
  <c r="AO25" i="5"/>
  <c r="AP25" i="5" s="1"/>
  <c r="AE26" i="6"/>
  <c r="AA91" i="6"/>
  <c r="AA31" i="6"/>
  <c r="BS21" i="5"/>
  <c r="AI81" i="6"/>
  <c r="AI21" i="6"/>
  <c r="K29" i="5"/>
  <c r="AF85" i="6"/>
  <c r="AF25" i="6"/>
  <c r="AI26" i="5"/>
  <c r="AC90" i="6"/>
  <c r="AC30" i="6"/>
  <c r="BM23" i="5"/>
  <c r="BN23" i="5" s="1"/>
  <c r="G10" i="5"/>
  <c r="F10" i="5"/>
  <c r="AA117" i="6"/>
  <c r="AA80" i="6"/>
  <c r="AA20" i="6"/>
  <c r="E21" i="5"/>
  <c r="S19" i="5"/>
  <c r="R19" i="5"/>
  <c r="AH120" i="6"/>
  <c r="AH105" i="6"/>
  <c r="AH75" i="6"/>
  <c r="AH60" i="6"/>
  <c r="AH45" i="6"/>
  <c r="BL28" i="5"/>
  <c r="AH15" i="6"/>
  <c r="AD120" i="6"/>
  <c r="AD16" i="5"/>
  <c r="AE16" i="5"/>
  <c r="AJ111" i="6"/>
  <c r="AJ96" i="6"/>
  <c r="AJ51" i="6"/>
  <c r="AJ36" i="6"/>
  <c r="AJ6" i="6"/>
  <c r="J30" i="5"/>
  <c r="AJ66" i="6"/>
  <c r="AG115" i="6"/>
  <c r="AG70" i="6"/>
  <c r="AG100" i="6"/>
  <c r="AG55" i="6"/>
  <c r="AG40" i="6"/>
  <c r="AG10" i="6"/>
  <c r="AH27" i="5"/>
  <c r="AE119" i="6"/>
  <c r="AE100" i="6"/>
  <c r="S24" i="5"/>
  <c r="R24" i="5"/>
  <c r="Z113" i="6"/>
  <c r="Z98" i="6"/>
  <c r="Z68" i="6"/>
  <c r="Z53" i="6"/>
  <c r="Z38" i="6"/>
  <c r="Z8" i="6"/>
  <c r="V20" i="5"/>
  <c r="Y88" i="6"/>
  <c r="Y28" i="6"/>
  <c r="BA19" i="5"/>
  <c r="BC18" i="5"/>
  <c r="BB18" i="5"/>
  <c r="S17" i="5"/>
  <c r="R17" i="5"/>
  <c r="BH16" i="5"/>
  <c r="BI16" i="5"/>
  <c r="AP14" i="5"/>
  <c r="AQ14" i="5"/>
  <c r="BO9" i="5"/>
  <c r="BN9" i="5"/>
  <c r="BO7" i="5"/>
  <c r="BN7" i="5"/>
  <c r="AE23" i="5"/>
  <c r="AD23" i="5"/>
  <c r="Y5" i="5"/>
  <c r="X5" i="5"/>
  <c r="AE54" i="6"/>
  <c r="AD96" i="6"/>
  <c r="AC112" i="6"/>
  <c r="AW19" i="5"/>
  <c r="AV19" i="5"/>
  <c r="X39" i="6"/>
  <c r="F16" i="5"/>
  <c r="G16" i="5"/>
  <c r="BU12" i="5"/>
  <c r="BT12" i="5"/>
  <c r="BU10" i="5"/>
  <c r="BT10" i="5"/>
  <c r="AE56" i="6"/>
  <c r="X59" i="6"/>
  <c r="Y96" i="6"/>
  <c r="AE37" i="6"/>
  <c r="AB43" i="6"/>
  <c r="BU7" i="5"/>
  <c r="BT7" i="5"/>
  <c r="AC111" i="6"/>
  <c r="AC96" i="6"/>
  <c r="AC51" i="6"/>
  <c r="AC66" i="6"/>
  <c r="AC36" i="6"/>
  <c r="AC6" i="6"/>
  <c r="J23" i="5"/>
  <c r="S22" i="5"/>
  <c r="R22" i="5"/>
  <c r="AA100" i="6"/>
  <c r="BI17" i="5"/>
  <c r="BH17" i="5"/>
  <c r="W41" i="6"/>
  <c r="V105" i="6"/>
  <c r="BI15" i="5"/>
  <c r="BH15" i="5"/>
  <c r="U101" i="6"/>
  <c r="T60" i="6"/>
  <c r="T97" i="6"/>
  <c r="BN12" i="5"/>
  <c r="BO12" i="5"/>
  <c r="M11" i="5"/>
  <c r="L11" i="5"/>
  <c r="L112" i="6"/>
  <c r="L97" i="6"/>
  <c r="L67" i="6"/>
  <c r="L52" i="6"/>
  <c r="L37" i="6"/>
  <c r="L7" i="6"/>
  <c r="P6" i="5"/>
  <c r="AF52" i="6"/>
  <c r="BO5" i="5"/>
  <c r="BN5" i="5"/>
  <c r="AE7" i="5"/>
  <c r="AD7" i="5"/>
  <c r="BO6" i="5" l="1"/>
  <c r="BN6" i="5"/>
  <c r="Y19" i="5"/>
  <c r="X19" i="5"/>
  <c r="X27" i="5"/>
  <c r="Y27" i="5"/>
  <c r="BT29" i="5"/>
  <c r="BU29" i="5"/>
  <c r="BC30" i="5"/>
  <c r="BB30" i="5"/>
  <c r="BO23" i="5"/>
  <c r="Y20" i="5"/>
  <c r="X20" i="5"/>
  <c r="AE30" i="5"/>
  <c r="AD30" i="5"/>
  <c r="AW30" i="5"/>
  <c r="AV30" i="5"/>
  <c r="AQ27" i="5"/>
  <c r="AP27" i="5"/>
  <c r="AV18" i="5"/>
  <c r="BC28" i="5"/>
  <c r="BB28" i="5"/>
  <c r="BU18" i="5"/>
  <c r="BT18" i="5"/>
  <c r="BI21" i="5"/>
  <c r="BH21" i="5"/>
  <c r="R28" i="5"/>
  <c r="S28" i="5"/>
  <c r="L26" i="5"/>
  <c r="AE24" i="5"/>
  <c r="AD24" i="5"/>
  <c r="G28" i="5"/>
  <c r="F28" i="5"/>
  <c r="BU23" i="5"/>
  <c r="BT23" i="5"/>
  <c r="S21" i="5"/>
  <c r="R21" i="5"/>
  <c r="AK23" i="5"/>
  <c r="AQ29" i="5"/>
  <c r="AP29" i="5"/>
  <c r="BN16" i="5"/>
  <c r="AQ28" i="5"/>
  <c r="AP28" i="5"/>
  <c r="BI26" i="5"/>
  <c r="BH26" i="5"/>
  <c r="S16" i="5"/>
  <c r="BN25" i="5"/>
  <c r="BU22" i="5"/>
  <c r="BT22" i="5"/>
  <c r="S27" i="5"/>
  <c r="R27" i="5"/>
  <c r="AK30" i="5"/>
  <c r="AJ30" i="5"/>
  <c r="AV28" i="5"/>
  <c r="AW28" i="5"/>
  <c r="Y24" i="5"/>
  <c r="X24" i="5"/>
  <c r="BU24" i="5"/>
  <c r="BT24" i="5"/>
  <c r="AD21" i="5"/>
  <c r="BI30" i="5"/>
  <c r="BH30" i="5"/>
  <c r="G29" i="5"/>
  <c r="F29" i="5"/>
  <c r="BC26" i="5"/>
  <c r="BB26" i="5"/>
  <c r="AQ7" i="5"/>
  <c r="AP7" i="5"/>
  <c r="G30" i="5"/>
  <c r="F30" i="5"/>
  <c r="F20" i="5"/>
  <c r="AP24" i="5"/>
  <c r="AK21" i="5"/>
  <c r="G23" i="5"/>
  <c r="F23" i="5"/>
  <c r="AE29" i="5"/>
  <c r="AD29" i="5"/>
  <c r="AW22" i="5"/>
  <c r="AV22" i="5"/>
  <c r="BC27" i="5"/>
  <c r="BB27" i="5"/>
  <c r="X25" i="5"/>
  <c r="Y25" i="5"/>
  <c r="BI28" i="5"/>
  <c r="BH28" i="5"/>
  <c r="M23" i="5"/>
  <c r="L23" i="5"/>
  <c r="BU30" i="5"/>
  <c r="BT30" i="5"/>
  <c r="S6" i="5"/>
  <c r="R6" i="5"/>
  <c r="BI27" i="5"/>
  <c r="BH27" i="5"/>
  <c r="BI24" i="5"/>
  <c r="BI29" i="5"/>
  <c r="BH29" i="5"/>
  <c r="S29" i="5"/>
  <c r="R29" i="5"/>
  <c r="AE22" i="5"/>
  <c r="AD22" i="5"/>
  <c r="BC19" i="5"/>
  <c r="BB19" i="5"/>
  <c r="AW20" i="5"/>
  <c r="AV20" i="5"/>
  <c r="AW23" i="5"/>
  <c r="AV23" i="5"/>
  <c r="G27" i="5"/>
  <c r="F27" i="5"/>
  <c r="BC29" i="5"/>
  <c r="BB29" i="5"/>
  <c r="BU17" i="5"/>
  <c r="AK29" i="5"/>
  <c r="AJ29" i="5"/>
  <c r="BI20" i="5"/>
  <c r="Y30" i="5"/>
  <c r="X30" i="5"/>
  <c r="BO19" i="5"/>
  <c r="BN19" i="5"/>
  <c r="Y23" i="5"/>
  <c r="X23" i="5"/>
  <c r="X29" i="5"/>
  <c r="Y29" i="5"/>
  <c r="M27" i="5"/>
  <c r="L27" i="5"/>
  <c r="M30" i="5"/>
  <c r="L30" i="5"/>
  <c r="AV26" i="5"/>
  <c r="AW26" i="5"/>
  <c r="L20" i="5"/>
  <c r="X28" i="5"/>
  <c r="Y28" i="5"/>
  <c r="M24" i="5"/>
  <c r="BT19" i="5"/>
  <c r="AQ26" i="5"/>
  <c r="AP26" i="5"/>
  <c r="BI23" i="5"/>
  <c r="BH23" i="5"/>
  <c r="BT28" i="5"/>
  <c r="BU28" i="5"/>
  <c r="M28" i="5"/>
  <c r="L28" i="5"/>
  <c r="AQ30" i="5"/>
  <c r="AP30" i="5"/>
  <c r="AK28" i="5"/>
  <c r="AJ28" i="5"/>
  <c r="BT27" i="5"/>
  <c r="BU27" i="5"/>
  <c r="L19" i="5"/>
  <c r="BT26" i="5"/>
  <c r="BU26" i="5"/>
  <c r="AV29" i="5"/>
  <c r="AW29" i="5"/>
  <c r="M25" i="5"/>
  <c r="L25" i="5"/>
  <c r="S30" i="5"/>
  <c r="R30" i="5"/>
  <c r="R20" i="5"/>
  <c r="AK26" i="5"/>
  <c r="AJ26" i="5"/>
  <c r="M29" i="5"/>
  <c r="L29" i="5"/>
  <c r="AW25" i="5"/>
  <c r="BN24" i="5"/>
  <c r="AK27" i="5"/>
  <c r="AJ27" i="5"/>
  <c r="BU21" i="5"/>
  <c r="BT21" i="5"/>
  <c r="BO28" i="5"/>
  <c r="BN28" i="5"/>
  <c r="AE28" i="5"/>
  <c r="AD28" i="5"/>
  <c r="AW24" i="5"/>
  <c r="AV24" i="5"/>
  <c r="AK20" i="5"/>
  <c r="AJ20" i="5"/>
  <c r="AV27" i="5"/>
  <c r="AW27" i="5"/>
  <c r="BO29" i="5"/>
  <c r="BN29" i="5"/>
  <c r="BO27" i="5"/>
  <c r="BN27" i="5"/>
  <c r="G21" i="5"/>
  <c r="F21" i="5"/>
  <c r="BO30" i="5"/>
  <c r="BN30" i="5"/>
  <c r="AE27" i="5"/>
  <c r="AD27" i="5"/>
  <c r="BO26" i="5"/>
  <c r="BN26" i="5"/>
</calcChain>
</file>

<file path=xl/sharedStrings.xml><?xml version="1.0" encoding="utf-8"?>
<sst xmlns="http://schemas.openxmlformats.org/spreadsheetml/2006/main" count="951" uniqueCount="187">
  <si>
    <t>Forward max-capacity-investment tool v2 — grounded historical, plan/IRENA ceilings, two forms, escalating headroom</t>
  </si>
  <si>
    <t>WHAT CHANGED (v2): the single 'MaxAdd' column was ambiguous. Now each stock curve carries its OWN year-over-year delta (the true max change in stock).</t>
  </si>
  <si>
    <t>SHEETS:</t>
  </si>
  <si>
    <t xml:space="preserve">  Historical  — end-2024 stock, the grounding (purple).</t>
  </si>
  <si>
    <t xml:space="preserve">  Parameters  — control panel (blue tunable). Headroom is now a RAMP: H_start (early) -&gt; H_end (late), to widen the cap as forecast confidence drops.</t>
  </si>
  <si>
    <t xml:space="preserve">  Trajectory  — per series: Stock-Logistic, Stock-Geometric, and MaxAdd-Log(raw)=Stock-Log[y]-Stock-Log[y-1], MaxAdd-Geo(raw)=Stock-Geo[y]-Stock-Geo[y-1]. Pure deltas.</t>
  </si>
  <si>
    <t xml:space="preserve">  Comparison  — Original &amp; Updated vs Tool pure-Logistic, pure-Geometric, and the MAX/MIN bracket (headroom-scaled). Charts plot the 4 key lines; the bracket = the span between Tool-Log &amp; Tool-Geo.</t>
  </si>
  <si>
    <t xml:space="preserve">  Export      — DROP-IN, AnnualMaxCapacity_Final format. 8 blocks: pure Logistic, pure Geometric, LARGEST, SMALLEST — each RAW and HEADROOM-scaled. Copy whichever block.</t>
  </si>
  <si>
    <t>OPTIONS LOGIC:  per year, LARGEST gap = MAX(logistic delta, geometric delta); SMALLEST gap = MIN(...). Logistic humps then tapers (saturation); geometric compounds then hits the L ceiling. So MAX gives the most room, MIN the least.</t>
  </si>
  <si>
    <t xml:space="preserve">  RAW = pure delta (literal max change in stock).   HEADROOM = raw x Headroom[y], where Headroom[y]=H_start+(H_end-H_start)*(y-2025)/25.</t>
  </si>
  <si>
    <t>KNOBS:  L_2050 = ceiling (main anti-runaway + controls how hard the late tail falls). ym = inflection year. k = steepness. g/base = geometric growth. H_start/H_end = headroom ramp.</t>
  </si>
  <si>
    <t>CAVEAT:  escalating headroom is a SECONDARY lever; if the late tail collapses it's because L is too low / ym too early — fix those first. Chile/Argentina/Peru ceilings are [EST] (plans gave generation-share, not GW).</t>
  </si>
  <si>
    <t>Historical year-end stock (GW)</t>
  </si>
  <si>
    <t>Year</t>
  </si>
  <si>
    <t>Brazil Utility solar</t>
  </si>
  <si>
    <t>Brazil Onshore wind</t>
  </si>
  <si>
    <t>Mexico Utility solar</t>
  </si>
  <si>
    <t>Mexico Onshore wind</t>
  </si>
  <si>
    <t>Chile Utility solar</t>
  </si>
  <si>
    <t>Chile Onshore wind</t>
  </si>
  <si>
    <t>Argentina Utility solar</t>
  </si>
  <si>
    <t>Argentina Onshore wind</t>
  </si>
  <si>
    <t>Colombia Utility solar</t>
  </si>
  <si>
    <t>Colombia Onshore wind</t>
  </si>
  <si>
    <t>Peru Utility solar</t>
  </si>
  <si>
    <t>Peru Onshore wind</t>
  </si>
  <si>
    <t>Primary source</t>
  </si>
  <si>
    <t>IRENA RCS25 (Δ); ABSOLAR/ANEEL/ONS</t>
  </si>
  <si>
    <t>IRENA RCS25 (Δ); GWEC/ABEEólica/ANEEL</t>
  </si>
  <si>
    <t>IRENA RCS25 (Δ); CRE/Asolmex</t>
  </si>
  <si>
    <t>IRENA RCS25 (Δ); AMDEE</t>
  </si>
  <si>
    <t>IRENA RCS25 (Δ); CEN/CNE/ACERA</t>
  </si>
  <si>
    <t>IRENA RCS25 (Δ); CAMMESA/Sec.Energía</t>
  </si>
  <si>
    <t>IRENA RCS25 (Δ); XM/UPME/SER</t>
  </si>
  <si>
    <t>IRENA RCS25 (Δ); XM/UPME</t>
  </si>
  <si>
    <t>IRENA RCS25 (Δ); COES/MINEM/SPR</t>
  </si>
  <si>
    <t>IRENA RCS25 (Δ); COES/MINEM/Osinergmin</t>
  </si>
  <si>
    <t>Provenance / caveat</t>
  </si>
  <si>
    <t>util/dist split 2016-21 [EST]</t>
  </si>
  <si>
    <t>2012-14,16-17,19-20,22-23 [EST]</t>
  </si>
  <si>
    <t>firm (IRENA)</t>
  </si>
  <si>
    <t>IRENA vs AMDEE &gt;15% (2019,2023)</t>
  </si>
  <si>
    <t>firm (IRENA); util=IRENA−PMGD</t>
  </si>
  <si>
    <t>pre-2015 [EST]</t>
  </si>
  <si>
    <t>2024 IRENA vs SER (AC/DC)</t>
  </si>
  <si>
    <t>2024 AC vs DC</t>
  </si>
  <si>
    <t>Backbone: IRENA Renewable Capacity Statistics 2025 (year-end stock; additions = year-over-year Δ). Full references &amp; links on 'Sources' sheet.</t>
  </si>
  <si>
    <t>IRENA RCS 2025 →</t>
  </si>
  <si>
    <t>https://www.irena.org/Publications/2025/Mar/Renewable-capacity-statistics-2025</t>
  </si>
  <si>
    <t>Parameters — control panel (blue = tunable)</t>
  </si>
  <si>
    <t>Key</t>
  </si>
  <si>
    <t>Country</t>
  </si>
  <si>
    <t>Tech</t>
  </si>
  <si>
    <t>Stock2024</t>
  </si>
  <si>
    <t>Base(recent)</t>
  </si>
  <si>
    <t>Form</t>
  </si>
  <si>
    <t>L_2050</t>
  </si>
  <si>
    <t>WP2030</t>
  </si>
  <si>
    <t>k</t>
  </si>
  <si>
    <t>ym</t>
  </si>
  <si>
    <t>g</t>
  </si>
  <si>
    <t>H_start</t>
  </si>
  <si>
    <t>H_end</t>
  </si>
  <si>
    <t>Justification</t>
  </si>
  <si>
    <t>Source</t>
  </si>
  <si>
    <t>BRA_sol</t>
  </si>
  <si>
    <t>Brazil</t>
  </si>
  <si>
    <t>Utility solar</t>
  </si>
  <si>
    <t>Logistic</t>
  </si>
  <si>
    <t>PDE2034 ~35GW@34; PNE2050 35-196, ceiling mid</t>
  </si>
  <si>
    <t>EPE PDE2034/PNE2050</t>
  </si>
  <si>
    <t>BRA_wind</t>
  </si>
  <si>
    <t>Onshore wind</t>
  </si>
  <si>
    <t>PDE2034 ~50GW@34; PNE2050 potential 143</t>
  </si>
  <si>
    <t>MEX_sol</t>
  </si>
  <si>
    <t>Mexico</t>
  </si>
  <si>
    <t>PRODESEN ~23@30 ~25@38; base~0 post-auction</t>
  </si>
  <si>
    <t>SENER PRODESEN24-38</t>
  </si>
  <si>
    <t>MEX_wind</t>
  </si>
  <si>
    <t>PRODESEN ~12@30 ~33-35@38; base~0</t>
  </si>
  <si>
    <t>CHL_sol</t>
  </si>
  <si>
    <t>Chile</t>
  </si>
  <si>
    <t>PELP share+UChile &gt;5x by50 [EST]</t>
  </si>
  <si>
    <t>MinEnergia PELP [EST]</t>
  </si>
  <si>
    <t>CHL_wind</t>
  </si>
  <si>
    <t>PELP share+UChile [EST]</t>
  </si>
  <si>
    <t>ARG_sol</t>
  </si>
  <si>
    <t>Argentina</t>
  </si>
  <si>
    <t>Plan Transicion adds only; ceiling [EST]</t>
  </si>
  <si>
    <t>Sec.Energia [EST]</t>
  </si>
  <si>
    <t>ARG_wind</t>
  </si>
  <si>
    <t>REN30 +6GW wind@30; 2050 [EST]</t>
  </si>
  <si>
    <t>COL_sol</t>
  </si>
  <si>
    <t>Colombia</t>
  </si>
  <si>
    <t>Govt 6GW; PEN2052 25-30.9</t>
  </si>
  <si>
    <t>UPME PEN2022-2052</t>
  </si>
  <si>
    <t>COL_wind</t>
  </si>
  <si>
    <t>Frozen to Colectora I; PEN2052 onshore 7</t>
  </si>
  <si>
    <t>PER_sol</t>
  </si>
  <si>
    <t>Peru</t>
  </si>
  <si>
    <t>Osinergmin pipeline ~2.3@30; 2050 [EST]</t>
  </si>
  <si>
    <t>MINEM/Osinergmin [EST]</t>
  </si>
  <si>
    <t>PER_wind</t>
  </si>
  <si>
    <t>pipeline ~0.6-1.0@30; 2050 [EST]</t>
  </si>
  <si>
    <t>Forward anchors &amp; full citations on 'Sources' sheet. Source cells link to the plan/report.</t>
  </si>
  <si>
    <t>Trajectory — Stock (both forms) + each form's own delta (MaxAdd raw = max change in stock). 2010-2050.</t>
  </si>
  <si>
    <t>Stock-Log</t>
  </si>
  <si>
    <t>Stock-Geo</t>
  </si>
  <si>
    <t>MaxAdd-Log(raw)</t>
  </si>
  <si>
    <t>MaxAdd-Geo(raw)</t>
  </si>
  <si>
    <t>Original &amp; Updated vs Tool: pure-Logistic, pure-Geometric, and MAX/MIN bracket (headroom-scaled). GW/yr, 2024-2050.</t>
  </si>
  <si>
    <t>Original</t>
  </si>
  <si>
    <t>Updated</t>
  </si>
  <si>
    <t>Tool-Log</t>
  </si>
  <si>
    <t>Tool-Geo</t>
  </si>
  <si>
    <t>Tool-MAX</t>
  </si>
  <si>
    <t>Tool-MIN</t>
  </si>
  <si>
    <t>DROP-IN export (AnnualMaxCapacity_Final format). Copy a whole block. Live formulas track Parameters.</t>
  </si>
  <si>
    <t>LOGISTIC x HEADROOM       (pure logistic delta x Headroom[y]) — saturating cap</t>
  </si>
  <si>
    <t>Tech.ID</t>
  </si>
  <si>
    <t>Tech.Name</t>
  </si>
  <si>
    <t>Parameter.ID</t>
  </si>
  <si>
    <t>Parameter</t>
  </si>
  <si>
    <t>Unit</t>
  </si>
  <si>
    <t>Projection.Mode</t>
  </si>
  <si>
    <t>Projection.Parameter</t>
  </si>
  <si>
    <t>PWRSPVBRAXX</t>
  </si>
  <si>
    <t>Solar Photovoltaic (Power generator) Brazil, region XX</t>
  </si>
  <si>
    <t>TotalAnnualMaxCapacityInvestment</t>
  </si>
  <si>
    <t>User defined</t>
  </si>
  <si>
    <t>PWRWONBRAXX</t>
  </si>
  <si>
    <t>Onshore Wind (Power generator) Brazil, region XX</t>
  </si>
  <si>
    <t>PWRSPVMEXXX</t>
  </si>
  <si>
    <t>Solar Photovoltaic (Power generator) Mexico, region XX</t>
  </si>
  <si>
    <t>PWRWONMEXXX</t>
  </si>
  <si>
    <t>Onshore Wind (Power generator) Mexico, region XX</t>
  </si>
  <si>
    <t>PWRSPVCHLXX</t>
  </si>
  <si>
    <t>Solar Photovoltaic (Power generator) Chile, region XX</t>
  </si>
  <si>
    <t>PWRWONCHLXX</t>
  </si>
  <si>
    <t>Onshore Wind (Power generator) Chile, region XX</t>
  </si>
  <si>
    <t>PWRSPVARGXX</t>
  </si>
  <si>
    <t>Solar Photovoltaic (Power generator) Argentina, region XX</t>
  </si>
  <si>
    <t>PWRWONARGXX</t>
  </si>
  <si>
    <t>Onshore Wind (Power generator) Argentina, region XX</t>
  </si>
  <si>
    <t>PWRSPVCOLXX</t>
  </si>
  <si>
    <t>Solar Photovoltaic (Power generator) Colombia, region XX</t>
  </si>
  <si>
    <t>PWRWONCOLXX</t>
  </si>
  <si>
    <t>Onshore Wind (Power generator) Colombia, region XX</t>
  </si>
  <si>
    <t>PWRSPVPERXX</t>
  </si>
  <si>
    <t>Solar Photovoltaic (Power generator) Peru, region XX</t>
  </si>
  <si>
    <t>PWRWONPERXX</t>
  </si>
  <si>
    <t>Onshore Wind (Power generator) Peru, region XX</t>
  </si>
  <si>
    <t>GEOMETRIC x HEADROOM      (pure geometric delta x Headroom[y]) — compounding cap</t>
  </si>
  <si>
    <t>LARGEST gap x HEADROOM    (MAX of forms x Headroom[y]) — most room / guardrail</t>
  </si>
  <si>
    <t>SMALLEST gap x HEADROOM   (MIN of forms x Headroom[y]) — least room</t>
  </si>
  <si>
    <t>LOGISTIC RAW              (pure logistic delta)</t>
  </si>
  <si>
    <t>GEOMETRIC RAW             (pure geometric delta)</t>
  </si>
  <si>
    <t>LARGEST gap RAW           (MAX of forms, pure delta)</t>
  </si>
  <si>
    <t>SMALLEST gap RAW          (MIN of forms, pure delta)</t>
  </si>
  <si>
    <t>Sources &amp; references — every value traces here</t>
  </si>
  <si>
    <t>Series</t>
  </si>
  <si>
    <t>Variable</t>
  </si>
  <si>
    <t>Source (institution · document · edition)</t>
  </si>
  <si>
    <t>Basis / method</t>
  </si>
  <si>
    <t>Provenance</t>
  </si>
  <si>
    <t>Link</t>
  </si>
  <si>
    <t>Historical stock 2010-2024 (GW)</t>
  </si>
  <si>
    <t>IRENA RCS 2025 · ABSOLAR year-end series · ANEEL SIGA (2024: 5.63 GW solar, 4.26 GW wind) · ONS Dec-2024 (16.6 GW centralized PV) · GWEC/ABEEólica (2015 wind 8.715 GW)</t>
  </si>
  <si>
    <t>Year-end installed; additions = Δstock</t>
  </si>
  <si>
    <t>IRENA RCS 2025</t>
  </si>
  <si>
    <t>Forward anchors (L_2050 / WP2030)</t>
  </si>
  <si>
    <t>EPE — Plano Decenal de Expansão de Energia (PDE 2034, MME Portaria 831/2025) + PNE 2050</t>
  </si>
  <si>
    <t>Plan capacity at horizon; [EST] where plan gives generation-share</t>
  </si>
  <si>
    <t>Firm plan</t>
  </si>
  <si>
    <t>plan / report</t>
  </si>
  <si>
    <t>IRENA RCS 2025 · CRE GD semiannual reports (distributed back-out) · AMDEE (wind) · Asolmex (12.59 GW solar end-2024) · CENACE/SENER</t>
  </si>
  <si>
    <t>SENER — PRODESEN 2024-2038 (May 2024)</t>
  </si>
  <si>
    <t>IRENA RCS 2025 · Coordinador Eléctrico Nacional (CEN) · CNE · ACERA (PMGD back-out)</t>
  </si>
  <si>
    <t>Min. Energía — PELP 2023-2027 (IAA) + U. de Chile/Imperial 2024 study</t>
  </si>
  <si>
    <t>[EST] from share</t>
  </si>
  <si>
    <t>IRENA RCS 2025 · CAMMESA (2024 +0.31 GW solar, +0.61 GW wind) · Secretaría de Energía</t>
  </si>
  <si>
    <t>Secretaría de Energía — Plan de Transición Energética al 2030 (REN20/REN30)</t>
  </si>
  <si>
    <t>IRENA RCS 2025 · XM/PARATEC · UPME · SER Colombia (2024 utility solar 1.41 GW)</t>
  </si>
  <si>
    <t>UPME — Plan Energético Nacional 2022-2052 + SER Colombia 2025</t>
  </si>
  <si>
    <t>IRENA RCS 2025 · COES · MINEM · Osinergmin · SPR (2024 +195 MWp solar)</t>
  </si>
  <si>
    <t>MINEM — Plan Energético Nacional + Osinergmin concession pipeline</t>
  </si>
  <si>
    <t>Regional scenario envelopes (shape/upper bound): IRENA WETO / Global Renewables Outlook LAC; IEA WEO Annex A (Central &amp; South America).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</si>
</sst>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charset val="1"/>
    </font>
    <font>
      <b/>
      <sz val="13"/>
      <color rgb="FF00414D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color rgb="FF00414D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7030A0"/>
      <name val="Arial"/>
      <charset val="1"/>
    </font>
    <font>
      <b/>
      <sz val="9"/>
      <color rgb="FF00414D"/>
      <name val="Arial"/>
      <charset val="1"/>
    </font>
    <font>
      <sz val="8"/>
      <name val="Arial"/>
      <charset val="1"/>
    </font>
    <font>
      <sz val="9"/>
      <name val="Arial"/>
      <charset val="1"/>
    </font>
    <font>
      <u/>
      <sz val="9"/>
      <color rgb="FF0563C1"/>
      <name val="Arial"/>
      <charset val="1"/>
    </font>
    <font>
      <sz val="10"/>
      <color rgb="FF0000FF"/>
      <name val="Arial"/>
      <charset val="1"/>
    </font>
    <font>
      <sz val="10"/>
      <color rgb="FF808080"/>
      <name val="Arial"/>
      <charset val="1"/>
    </font>
    <font>
      <sz val="10"/>
      <color rgb="FFC55A11"/>
      <name val="Arial"/>
      <charset val="1"/>
    </font>
    <font>
      <b/>
      <sz val="10"/>
      <color rgb="FF23978E"/>
      <name val="Arial"/>
      <charset val="1"/>
    </font>
    <font>
      <b/>
      <sz val="10"/>
      <color rgb="FFC00000"/>
      <name val="Arial"/>
      <charset val="1"/>
    </font>
    <font>
      <b/>
      <sz val="10"/>
      <color rgb="FF7030A0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414D"/>
        <bgColor rgb="FF003300"/>
      </patternFill>
    </fill>
    <fill>
      <patternFill patternType="solid">
        <fgColor rgb="FFE0F0EF"/>
        <bgColor rgb="FFCCFFFF"/>
      </patternFill>
    </fill>
    <fill>
      <patternFill patternType="solid">
        <fgColor rgb="FF23978E"/>
        <bgColor rgb="FF008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wrapText="1"/>
    </xf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1" xfId="0" applyFont="1" applyBorder="1" applyAlignment="1">
      <alignment horizontal="left"/>
    </xf>
    <xf numFmtId="2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" fontId="12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0" fontId="5" fillId="4" borderId="0" xfId="0" applyFont="1" applyFill="1" applyAlignment="1">
      <alignment horizontal="center"/>
    </xf>
    <xf numFmtId="0" fontId="1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FCC"/>
      <rgbColor rgb="FFE0F0E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878787"/>
      <rgbColor rgb="FF00414D"/>
      <rgbColor rgb="FF23978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Brazil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Comparison!$B$4:$B$30</c:f>
              <c:numCache>
                <c:formatCode>0.000</c:formatCode>
                <c:ptCount val="27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  <c:pt idx="24">
                  <c:v>5.5</c:v>
                </c:pt>
                <c:pt idx="25">
                  <c:v>5.5</c:v>
                </c:pt>
                <c:pt idx="26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3-43D1-B0D1-B20C46E55193}"/>
            </c:ext>
          </c:extLst>
        </c:ser>
        <c:ser>
          <c:idx val="1"/>
          <c:order val="1"/>
          <c:tx>
            <c:strRef>
              <c:f>Comparison!$C$3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Comparison!$C$4:$C$30</c:f>
              <c:numCache>
                <c:formatCode>0.000</c:formatCode>
                <c:ptCount val="27"/>
                <c:pt idx="0">
                  <c:v>5.5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3-43D1-B0D1-B20C46E55193}"/>
            </c:ext>
          </c:extLst>
        </c:ser>
        <c:ser>
          <c:idx val="2"/>
          <c:order val="2"/>
          <c:tx>
            <c:strRef>
              <c:f>Comparison!$D$3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Comparison!$D$4:$D$30</c:f>
              <c:numCache>
                <c:formatCode>0.000</c:formatCode>
                <c:ptCount val="27"/>
                <c:pt idx="0">
                  <c:v>5.6000000000000014</c:v>
                </c:pt>
                <c:pt idx="1">
                  <c:v>2.338578960888904</c:v>
                </c:pt>
                <c:pt idx="2">
                  <c:v>2.6865505072468987</c:v>
                </c:pt>
                <c:pt idx="3">
                  <c:v>3.0601295359633056</c:v>
                </c:pt>
                <c:pt idx="4">
                  <c:v>3.4524069021430788</c:v>
                </c:pt>
                <c:pt idx="5">
                  <c:v>3.8535566264023178</c:v>
                </c:pt>
                <c:pt idx="6">
                  <c:v>4.2508663805276425</c:v>
                </c:pt>
                <c:pt idx="7">
                  <c:v>4.6291591162414205</c:v>
                </c:pt>
                <c:pt idx="8">
                  <c:v>4.9716715625366135</c:v>
                </c:pt>
                <c:pt idx="9">
                  <c:v>5.2613734491138135</c:v>
                </c:pt>
                <c:pt idx="10">
                  <c:v>5.4826018103659404</c:v>
                </c:pt>
                <c:pt idx="11">
                  <c:v>5.6227761748850797</c:v>
                </c:pt>
                <c:pt idx="12">
                  <c:v>5.6738923219295083</c:v>
                </c:pt>
                <c:pt idx="13">
                  <c:v>5.6334991078989374</c:v>
                </c:pt>
                <c:pt idx="14">
                  <c:v>5.5049555532394425</c:v>
                </c:pt>
                <c:pt idx="15">
                  <c:v>5.2969211040109707</c:v>
                </c:pt>
                <c:pt idx="16">
                  <c:v>5.0222009279977478</c:v>
                </c:pt>
                <c:pt idx="17">
                  <c:v>4.6961952394400965</c:v>
                </c:pt>
                <c:pt idx="18">
                  <c:v>4.3352512047025824</c:v>
                </c:pt>
                <c:pt idx="19">
                  <c:v>3.9551846063386931</c:v>
                </c:pt>
                <c:pt idx="20">
                  <c:v>3.5701511252905229</c:v>
                </c:pt>
                <c:pt idx="21">
                  <c:v>3.1919411967289988</c:v>
                </c:pt>
                <c:pt idx="22">
                  <c:v>2.8296805426755429</c:v>
                </c:pt>
                <c:pt idx="23">
                  <c:v>2.4898587493921687</c:v>
                </c:pt>
                <c:pt idx="24">
                  <c:v>2.1765833649786748</c:v>
                </c:pt>
                <c:pt idx="25">
                  <c:v>1.8919594389024368</c:v>
                </c:pt>
                <c:pt idx="26">
                  <c:v>1.6365129463907238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83-43D1-B0D1-B20C46E55193}"/>
            </c:ext>
          </c:extLst>
        </c:ser>
        <c:ser>
          <c:idx val="3"/>
          <c:order val="3"/>
          <c:tx>
            <c:strRef>
              <c:f>Comparison!$E$3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Comparison!$E$4:$E$30</c:f>
              <c:numCache>
                <c:formatCode>0.000</c:formatCode>
                <c:ptCount val="27"/>
                <c:pt idx="0">
                  <c:v>5.6000000000000014</c:v>
                </c:pt>
                <c:pt idx="1">
                  <c:v>4.6080000000000041</c:v>
                </c:pt>
                <c:pt idx="2">
                  <c:v>4.9333248000000074</c:v>
                </c:pt>
                <c:pt idx="3">
                  <c:v>5.2810997760000111</c:v>
                </c:pt>
                <c:pt idx="4">
                  <c:v>5.652847779840001</c:v>
                </c:pt>
                <c:pt idx="5">
                  <c:v>6.0501935849472233</c:v>
                </c:pt>
                <c:pt idx="6">
                  <c:v>6.4748706346598377</c:v>
                </c:pt>
                <c:pt idx="7">
                  <c:v>6.9287282334322065</c:v>
                </c:pt>
                <c:pt idx="8">
                  <c:v>7.4137392097724311</c:v>
                </c:pt>
                <c:pt idx="9">
                  <c:v>7.9320080816331711</c:v>
                </c:pt>
                <c:pt idx="10">
                  <c:v>8.4857797569620281</c:v>
                </c:pt>
                <c:pt idx="11">
                  <c:v>9.0774488042364467</c:v>
                </c:pt>
                <c:pt idx="12">
                  <c:v>9.7095693300586952</c:v>
                </c:pt>
                <c:pt idx="13">
                  <c:v>10.384865503284425</c:v>
                </c:pt>
                <c:pt idx="14">
                  <c:v>11.106242767708977</c:v>
                </c:pt>
                <c:pt idx="15">
                  <c:v>3.6965368657884889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83-43D1-B0D1-B20C46E55193}"/>
            </c:ext>
          </c:extLst>
        </c:ser>
        <c:ser>
          <c:idx val="4"/>
          <c:order val="4"/>
          <c:tx>
            <c:strRef>
              <c:f>Comparison!$F$3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Comparison!$F$4:$F$30</c:f>
              <c:numCache>
                <c:formatCode>0.000</c:formatCode>
                <c:ptCount val="27"/>
                <c:pt idx="0">
                  <c:v>5.6000000000000014</c:v>
                </c:pt>
                <c:pt idx="1">
                  <c:v>4.6080000000000041</c:v>
                </c:pt>
                <c:pt idx="2">
                  <c:v>4.9333248000000074</c:v>
                </c:pt>
                <c:pt idx="3">
                  <c:v>5.2810997760000111</c:v>
                </c:pt>
                <c:pt idx="4">
                  <c:v>5.652847779840001</c:v>
                </c:pt>
                <c:pt idx="5">
                  <c:v>6.0501935849472233</c:v>
                </c:pt>
                <c:pt idx="6">
                  <c:v>6.4748706346598377</c:v>
                </c:pt>
                <c:pt idx="7">
                  <c:v>6.9287282334322065</c:v>
                </c:pt>
                <c:pt idx="8">
                  <c:v>7.4137392097724311</c:v>
                </c:pt>
                <c:pt idx="9">
                  <c:v>7.9320080816331711</c:v>
                </c:pt>
                <c:pt idx="10">
                  <c:v>8.4857797569620281</c:v>
                </c:pt>
                <c:pt idx="11">
                  <c:v>9.0774488042364467</c:v>
                </c:pt>
                <c:pt idx="12">
                  <c:v>9.7095693300586952</c:v>
                </c:pt>
                <c:pt idx="13">
                  <c:v>10.384865503284425</c:v>
                </c:pt>
                <c:pt idx="14">
                  <c:v>11.106242767708977</c:v>
                </c:pt>
                <c:pt idx="15">
                  <c:v>5.2969211040109707</c:v>
                </c:pt>
                <c:pt idx="16">
                  <c:v>5.0222009279977478</c:v>
                </c:pt>
                <c:pt idx="17">
                  <c:v>4.6961952394400965</c:v>
                </c:pt>
                <c:pt idx="18">
                  <c:v>4.3352512047025824</c:v>
                </c:pt>
                <c:pt idx="19">
                  <c:v>3.9551846063386931</c:v>
                </c:pt>
                <c:pt idx="20">
                  <c:v>3.5701511252905229</c:v>
                </c:pt>
                <c:pt idx="21">
                  <c:v>3.1919411967289988</c:v>
                </c:pt>
                <c:pt idx="22">
                  <c:v>2.8296805426755429</c:v>
                </c:pt>
                <c:pt idx="23">
                  <c:v>2.4898587493921687</c:v>
                </c:pt>
                <c:pt idx="24">
                  <c:v>2.1765833649786748</c:v>
                </c:pt>
                <c:pt idx="25">
                  <c:v>1.8919594389024368</c:v>
                </c:pt>
                <c:pt idx="26">
                  <c:v>1.6365129463907238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83-43D1-B0D1-B20C46E55193}"/>
            </c:ext>
          </c:extLst>
        </c:ser>
        <c:ser>
          <c:idx val="5"/>
          <c:order val="5"/>
          <c:tx>
            <c:strRef>
              <c:f>Comparison!$G$3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Comparison!$G$4:$G$30</c:f>
              <c:numCache>
                <c:formatCode>0.000</c:formatCode>
                <c:ptCount val="27"/>
                <c:pt idx="0">
                  <c:v>5.6000000000000014</c:v>
                </c:pt>
                <c:pt idx="1">
                  <c:v>2.338578960888904</c:v>
                </c:pt>
                <c:pt idx="2">
                  <c:v>2.6865505072468987</c:v>
                </c:pt>
                <c:pt idx="3">
                  <c:v>3.0601295359633056</c:v>
                </c:pt>
                <c:pt idx="4">
                  <c:v>3.4524069021430788</c:v>
                </c:pt>
                <c:pt idx="5">
                  <c:v>3.8535566264023178</c:v>
                </c:pt>
                <c:pt idx="6">
                  <c:v>4.2508663805276425</c:v>
                </c:pt>
                <c:pt idx="7">
                  <c:v>4.6291591162414205</c:v>
                </c:pt>
                <c:pt idx="8">
                  <c:v>4.9716715625366135</c:v>
                </c:pt>
                <c:pt idx="9">
                  <c:v>5.2613734491138135</c:v>
                </c:pt>
                <c:pt idx="10">
                  <c:v>5.4826018103659404</c:v>
                </c:pt>
                <c:pt idx="11">
                  <c:v>5.6227761748850797</c:v>
                </c:pt>
                <c:pt idx="12">
                  <c:v>5.6738923219295083</c:v>
                </c:pt>
                <c:pt idx="13">
                  <c:v>5.6334991078989374</c:v>
                </c:pt>
                <c:pt idx="14">
                  <c:v>5.5049555532394425</c:v>
                </c:pt>
                <c:pt idx="15">
                  <c:v>3.6965368657884889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83-43D1-B0D1-B20C46E5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720170"/>
        <c:axId val="47144367"/>
      </c:lineChart>
      <c:catAx>
        <c:axId val="44720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7144367"/>
        <c:crosses val="autoZero"/>
        <c:auto val="1"/>
        <c:lblAlgn val="ctr"/>
        <c:lblOffset val="100"/>
        <c:noMultiLvlLbl val="0"/>
      </c:catAx>
      <c:valAx>
        <c:axId val="47144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47201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Brazil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Comparison!$H$3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Comparison!$H$4:$H$30</c:f>
              <c:numCache>
                <c:formatCode>0.000</c:formatCode>
                <c:ptCount val="27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F-452E-8C01-BF13C29AC815}"/>
            </c:ext>
          </c:extLst>
        </c:ser>
        <c:ser>
          <c:idx val="1"/>
          <c:order val="1"/>
          <c:tx>
            <c:strRef>
              <c:f>Comparison!$I$3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Comparison!$I$4:$I$30</c:f>
              <c:numCache>
                <c:formatCode>0.000</c:formatCode>
                <c:ptCount val="27"/>
                <c:pt idx="0">
                  <c:v>3.5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3.2222</c:v>
                </c:pt>
                <c:pt idx="13">
                  <c:v>3.2222</c:v>
                </c:pt>
                <c:pt idx="14">
                  <c:v>3.2222</c:v>
                </c:pt>
                <c:pt idx="15">
                  <c:v>3.2222</c:v>
                </c:pt>
                <c:pt idx="16">
                  <c:v>3.2222</c:v>
                </c:pt>
                <c:pt idx="17">
                  <c:v>3.2222</c:v>
                </c:pt>
                <c:pt idx="18">
                  <c:v>3.2222</c:v>
                </c:pt>
                <c:pt idx="19">
                  <c:v>3.2222</c:v>
                </c:pt>
                <c:pt idx="20">
                  <c:v>3.2222</c:v>
                </c:pt>
                <c:pt idx="21">
                  <c:v>3.2222</c:v>
                </c:pt>
                <c:pt idx="22">
                  <c:v>3.2222</c:v>
                </c:pt>
                <c:pt idx="23">
                  <c:v>3.2222</c:v>
                </c:pt>
                <c:pt idx="24">
                  <c:v>3.2222</c:v>
                </c:pt>
                <c:pt idx="25">
                  <c:v>3.2222</c:v>
                </c:pt>
                <c:pt idx="26">
                  <c:v>3.2222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F-452E-8C01-BF13C29AC815}"/>
            </c:ext>
          </c:extLst>
        </c:ser>
        <c:ser>
          <c:idx val="2"/>
          <c:order val="2"/>
          <c:tx>
            <c:strRef>
              <c:f>Comparison!$J$3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Comparison!$J$4:$J$30</c:f>
              <c:numCache>
                <c:formatCode>0.000</c:formatCode>
                <c:ptCount val="27"/>
                <c:pt idx="0">
                  <c:v>3</c:v>
                </c:pt>
                <c:pt idx="1">
                  <c:v>3.3967456266619536</c:v>
                </c:pt>
                <c:pt idx="2">
                  <c:v>3.7547471675784805</c:v>
                </c:pt>
                <c:pt idx="3">
                  <c:v>4.1124591795902443</c:v>
                </c:pt>
                <c:pt idx="4">
                  <c:v>4.4595799282819781</c:v>
                </c:pt>
                <c:pt idx="5">
                  <c:v>4.7845767859059709</c:v>
                </c:pt>
                <c:pt idx="6">
                  <c:v>5.0753364462846671</c:v>
                </c:pt>
                <c:pt idx="7">
                  <c:v>5.3200097420371391</c:v>
                </c:pt>
                <c:pt idx="8">
                  <c:v>5.5079691299513582</c:v>
                </c:pt>
                <c:pt idx="9">
                  <c:v>5.6307583185935295</c:v>
                </c:pt>
                <c:pt idx="10">
                  <c:v>5.6828949696916178</c:v>
                </c:pt>
                <c:pt idx="11">
                  <c:v>5.6623981709780509</c:v>
                </c:pt>
                <c:pt idx="12">
                  <c:v>5.5709535977935989</c:v>
                </c:pt>
                <c:pt idx="13">
                  <c:v>5.4136922093703017</c:v>
                </c:pt>
                <c:pt idx="14">
                  <c:v>5.1986267000709487</c:v>
                </c:pt>
                <c:pt idx="15">
                  <c:v>4.9358457458654508</c:v>
                </c:pt>
                <c:pt idx="16">
                  <c:v>4.6365961338517554</c:v>
                </c:pt>
                <c:pt idx="17">
                  <c:v>4.312382885535671</c:v>
                </c:pt>
                <c:pt idx="18">
                  <c:v>3.9741923831945054</c:v>
                </c:pt>
                <c:pt idx="19">
                  <c:v>3.6319040568209688</c:v>
                </c:pt>
                <c:pt idx="20">
                  <c:v>3.2939143648826859</c:v>
                </c:pt>
                <c:pt idx="21">
                  <c:v>2.966961933373907</c:v>
                </c:pt>
                <c:pt idx="22">
                  <c:v>2.6561196619367506</c:v>
                </c:pt>
                <c:pt idx="23">
                  <c:v>2.3649089411386188</c:v>
                </c:pt>
                <c:pt idx="24">
                  <c:v>2.09549054668862</c:v>
                </c:pt>
                <c:pt idx="25">
                  <c:v>1.8488927645549393</c:v>
                </c:pt>
                <c:pt idx="26">
                  <c:v>1.6252464249955594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F-452E-8C01-BF13C29AC815}"/>
            </c:ext>
          </c:extLst>
        </c:ser>
        <c:ser>
          <c:idx val="3"/>
          <c:order val="3"/>
          <c:tx>
            <c:strRef>
              <c:f>Comparison!$K$3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Comparison!$K$4:$K$30</c:f>
              <c:numCache>
                <c:formatCode>0.000</c:formatCode>
                <c:ptCount val="27"/>
                <c:pt idx="0">
                  <c:v>3</c:v>
                </c:pt>
                <c:pt idx="1">
                  <c:v>4.7040000000000015</c:v>
                </c:pt>
                <c:pt idx="2">
                  <c:v>4.9885919999999997</c:v>
                </c:pt>
                <c:pt idx="3">
                  <c:v>5.2898832000000127</c:v>
                </c:pt>
                <c:pt idx="4">
                  <c:v>5.6088320399999878</c:v>
                </c:pt>
                <c:pt idx="5">
                  <c:v>5.9464510560000061</c:v>
                </c:pt>
                <c:pt idx="6">
                  <c:v>6.3038098934999889</c:v>
                </c:pt>
                <c:pt idx="7">
                  <c:v>6.6820384871100176</c:v>
                </c:pt>
                <c:pt idx="8">
                  <c:v>7.0823304153472364</c:v>
                </c:pt>
                <c:pt idx="9">
                  <c:v>7.5059464401904661</c:v>
                </c:pt>
                <c:pt idx="10">
                  <c:v>7.9542182414795928</c:v>
                </c:pt>
                <c:pt idx="11">
                  <c:v>8.4285523567972085</c:v>
                </c:pt>
                <c:pt idx="12">
                  <c:v>8.9304343380428151</c:v>
                </c:pt>
                <c:pt idx="13">
                  <c:v>9.4614331365211086</c:v>
                </c:pt>
                <c:pt idx="14">
                  <c:v>10.023205729001942</c:v>
                </c:pt>
                <c:pt idx="15">
                  <c:v>10.617501997889825</c:v>
                </c:pt>
                <c:pt idx="16">
                  <c:v>4.708602413125285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3F-452E-8C01-BF13C29AC815}"/>
            </c:ext>
          </c:extLst>
        </c:ser>
        <c:ser>
          <c:idx val="4"/>
          <c:order val="4"/>
          <c:tx>
            <c:strRef>
              <c:f>Comparison!$L$3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Comparison!$L$4:$L$30</c:f>
              <c:numCache>
                <c:formatCode>0.000</c:formatCode>
                <c:ptCount val="27"/>
                <c:pt idx="0">
                  <c:v>3</c:v>
                </c:pt>
                <c:pt idx="1">
                  <c:v>4.7040000000000015</c:v>
                </c:pt>
                <c:pt idx="2">
                  <c:v>4.9885919999999997</c:v>
                </c:pt>
                <c:pt idx="3">
                  <c:v>5.2898832000000127</c:v>
                </c:pt>
                <c:pt idx="4">
                  <c:v>5.6088320399999878</c:v>
                </c:pt>
                <c:pt idx="5">
                  <c:v>5.9464510560000061</c:v>
                </c:pt>
                <c:pt idx="6">
                  <c:v>6.3038098934999889</c:v>
                </c:pt>
                <c:pt idx="7">
                  <c:v>6.6820384871100176</c:v>
                </c:pt>
                <c:pt idx="8">
                  <c:v>7.0823304153472364</c:v>
                </c:pt>
                <c:pt idx="9">
                  <c:v>7.5059464401904661</c:v>
                </c:pt>
                <c:pt idx="10">
                  <c:v>7.9542182414795928</c:v>
                </c:pt>
                <c:pt idx="11">
                  <c:v>8.4285523567972085</c:v>
                </c:pt>
                <c:pt idx="12">
                  <c:v>8.9304343380428151</c:v>
                </c:pt>
                <c:pt idx="13">
                  <c:v>9.4614331365211086</c:v>
                </c:pt>
                <c:pt idx="14">
                  <c:v>10.023205729001942</c:v>
                </c:pt>
                <c:pt idx="15">
                  <c:v>10.617501997889825</c:v>
                </c:pt>
                <c:pt idx="16">
                  <c:v>4.708602413125285</c:v>
                </c:pt>
                <c:pt idx="17">
                  <c:v>4.312382885535671</c:v>
                </c:pt>
                <c:pt idx="18">
                  <c:v>3.9741923831945054</c:v>
                </c:pt>
                <c:pt idx="19">
                  <c:v>3.6319040568209688</c:v>
                </c:pt>
                <c:pt idx="20">
                  <c:v>3.2939143648826859</c:v>
                </c:pt>
                <c:pt idx="21">
                  <c:v>2.966961933373907</c:v>
                </c:pt>
                <c:pt idx="22">
                  <c:v>2.6561196619367506</c:v>
                </c:pt>
                <c:pt idx="23">
                  <c:v>2.3649089411386188</c:v>
                </c:pt>
                <c:pt idx="24">
                  <c:v>2.09549054668862</c:v>
                </c:pt>
                <c:pt idx="25">
                  <c:v>1.8488927645549393</c:v>
                </c:pt>
                <c:pt idx="26">
                  <c:v>1.6252464249955594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3F-452E-8C01-BF13C29AC815}"/>
            </c:ext>
          </c:extLst>
        </c:ser>
        <c:ser>
          <c:idx val="5"/>
          <c:order val="5"/>
          <c:tx>
            <c:strRef>
              <c:f>Comparison!$M$3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Comparison!$M$4:$M$30</c:f>
              <c:numCache>
                <c:formatCode>0.000</c:formatCode>
                <c:ptCount val="27"/>
                <c:pt idx="0">
                  <c:v>3</c:v>
                </c:pt>
                <c:pt idx="1">
                  <c:v>3.3967456266619536</c:v>
                </c:pt>
                <c:pt idx="2">
                  <c:v>3.7547471675784805</c:v>
                </c:pt>
                <c:pt idx="3">
                  <c:v>4.1124591795902443</c:v>
                </c:pt>
                <c:pt idx="4">
                  <c:v>4.4595799282819781</c:v>
                </c:pt>
                <c:pt idx="5">
                  <c:v>4.7845767859059709</c:v>
                </c:pt>
                <c:pt idx="6">
                  <c:v>5.0753364462846671</c:v>
                </c:pt>
                <c:pt idx="7">
                  <c:v>5.3200097420371391</c:v>
                </c:pt>
                <c:pt idx="8">
                  <c:v>5.5079691299513582</c:v>
                </c:pt>
                <c:pt idx="9">
                  <c:v>5.6307583185935295</c:v>
                </c:pt>
                <c:pt idx="10">
                  <c:v>5.6828949696916178</c:v>
                </c:pt>
                <c:pt idx="11">
                  <c:v>5.6623981709780509</c:v>
                </c:pt>
                <c:pt idx="12">
                  <c:v>5.5709535977935989</c:v>
                </c:pt>
                <c:pt idx="13">
                  <c:v>5.4136922093703017</c:v>
                </c:pt>
                <c:pt idx="14">
                  <c:v>5.1986267000709487</c:v>
                </c:pt>
                <c:pt idx="15">
                  <c:v>4.9358457458654508</c:v>
                </c:pt>
                <c:pt idx="16">
                  <c:v>4.6365961338517554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3F-452E-8C01-BF13C29AC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591969"/>
        <c:axId val="98469543"/>
      </c:lineChart>
      <c:catAx>
        <c:axId val="40591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98469543"/>
        <c:crosses val="autoZero"/>
        <c:auto val="1"/>
        <c:lblAlgn val="ctr"/>
        <c:lblOffset val="100"/>
        <c:noMultiLvlLbl val="0"/>
      </c:catAx>
      <c:valAx>
        <c:axId val="98469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0591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Mexico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Comparison!$N$3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Comparison!$N$4:$N$30</c:f>
              <c:numCache>
                <c:formatCode>0.000</c:formatCode>
                <c:ptCount val="27"/>
                <c:pt idx="0">
                  <c:v>0.89419999999999999</c:v>
                </c:pt>
                <c:pt idx="1">
                  <c:v>1</c:v>
                </c:pt>
                <c:pt idx="2">
                  <c:v>1</c:v>
                </c:pt>
                <c:pt idx="3">
                  <c:v>1.4069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E-4CBA-AF48-0F45F2EC6586}"/>
            </c:ext>
          </c:extLst>
        </c:ser>
        <c:ser>
          <c:idx val="1"/>
          <c:order val="1"/>
          <c:tx>
            <c:strRef>
              <c:f>Comparison!$O$3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Comparison!$O$4:$O$30</c:f>
              <c:numCache>
                <c:formatCode>0.000</c:formatCode>
                <c:ptCount val="27"/>
                <c:pt idx="0">
                  <c:v>0.89419999999999999</c:v>
                </c:pt>
                <c:pt idx="1">
                  <c:v>4.7994000000000003</c:v>
                </c:pt>
                <c:pt idx="2">
                  <c:v>4.7994000000000003</c:v>
                </c:pt>
                <c:pt idx="3">
                  <c:v>4.7994000000000003</c:v>
                </c:pt>
                <c:pt idx="4">
                  <c:v>4.7994000000000003</c:v>
                </c:pt>
                <c:pt idx="5">
                  <c:v>4.7994000000000003</c:v>
                </c:pt>
                <c:pt idx="6">
                  <c:v>4.7994000000000003</c:v>
                </c:pt>
                <c:pt idx="7">
                  <c:v>4.7994000000000003</c:v>
                </c:pt>
                <c:pt idx="8">
                  <c:v>4.7994000000000003</c:v>
                </c:pt>
                <c:pt idx="9">
                  <c:v>4.7994000000000003</c:v>
                </c:pt>
                <c:pt idx="10">
                  <c:v>4.7994000000000003</c:v>
                </c:pt>
                <c:pt idx="11">
                  <c:v>4.7994000000000003</c:v>
                </c:pt>
                <c:pt idx="12">
                  <c:v>3.8683999999999998</c:v>
                </c:pt>
                <c:pt idx="13">
                  <c:v>3.8683999999999998</c:v>
                </c:pt>
                <c:pt idx="14">
                  <c:v>3.8683999999999998</c:v>
                </c:pt>
                <c:pt idx="15">
                  <c:v>3.8683999999999998</c:v>
                </c:pt>
                <c:pt idx="16">
                  <c:v>3.8683999999999998</c:v>
                </c:pt>
                <c:pt idx="17">
                  <c:v>3.8683999999999998</c:v>
                </c:pt>
                <c:pt idx="18">
                  <c:v>3.8683999999999998</c:v>
                </c:pt>
                <c:pt idx="19">
                  <c:v>3.8683999999999998</c:v>
                </c:pt>
                <c:pt idx="20">
                  <c:v>3.8683999999999998</c:v>
                </c:pt>
                <c:pt idx="21">
                  <c:v>3.8683999999999998</c:v>
                </c:pt>
                <c:pt idx="22">
                  <c:v>3.8683999999999998</c:v>
                </c:pt>
                <c:pt idx="23">
                  <c:v>3.8683999999999998</c:v>
                </c:pt>
                <c:pt idx="24">
                  <c:v>3.8683999999999998</c:v>
                </c:pt>
                <c:pt idx="25">
                  <c:v>3.8683999999999998</c:v>
                </c:pt>
                <c:pt idx="26">
                  <c:v>3.8683999999999998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E-4CBA-AF48-0F45F2EC6586}"/>
            </c:ext>
          </c:extLst>
        </c:ser>
        <c:ser>
          <c:idx val="2"/>
          <c:order val="2"/>
          <c:tx>
            <c:strRef>
              <c:f>Comparison!$P$3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Comparison!$P$4:$P$30</c:f>
              <c:numCache>
                <c:formatCode>0.000</c:formatCode>
                <c:ptCount val="27"/>
                <c:pt idx="0">
                  <c:v>0</c:v>
                </c:pt>
                <c:pt idx="1">
                  <c:v>0.76348153371238237</c:v>
                </c:pt>
                <c:pt idx="2">
                  <c:v>0.90414116589936833</c:v>
                </c:pt>
                <c:pt idx="3">
                  <c:v>1.0623046036132751</c:v>
                </c:pt>
                <c:pt idx="4">
                  <c:v>1.2367544758697546</c:v>
                </c:pt>
                <c:pt idx="5">
                  <c:v>1.4247448259261326</c:v>
                </c:pt>
                <c:pt idx="6">
                  <c:v>1.62169790350845</c:v>
                </c:pt>
                <c:pt idx="7">
                  <c:v>1.821051790302197</c:v>
                </c:pt>
                <c:pt idx="8">
                  <c:v>2.0143657270853756</c:v>
                </c:pt>
                <c:pt idx="9">
                  <c:v>2.1917739842254358</c:v>
                </c:pt>
                <c:pt idx="10">
                  <c:v>2.3428213807092506</c:v>
                </c:pt>
                <c:pt idx="11">
                  <c:v>2.4576156115537771</c:v>
                </c:pt>
                <c:pt idx="12">
                  <c:v>2.528117324141534</c:v>
                </c:pt>
                <c:pt idx="13">
                  <c:v>2.5493026648466452</c:v>
                </c:pt>
                <c:pt idx="14">
                  <c:v>2.5199213594523182</c:v>
                </c:pt>
                <c:pt idx="15">
                  <c:v>2.4426575190917412</c:v>
                </c:pt>
                <c:pt idx="16">
                  <c:v>2.3236572325599227</c:v>
                </c:pt>
                <c:pt idx="17">
                  <c:v>2.171556116193194</c:v>
                </c:pt>
                <c:pt idx="18">
                  <c:v>1.9962550237715044</c:v>
                </c:pt>
                <c:pt idx="19">
                  <c:v>1.8077161924402989</c:v>
                </c:pt>
                <c:pt idx="20">
                  <c:v>1.6149926513465334</c:v>
                </c:pt>
                <c:pt idx="21">
                  <c:v>1.4256002191912007</c:v>
                </c:pt>
                <c:pt idx="22">
                  <c:v>1.2452392332384969</c:v>
                </c:pt>
                <c:pt idx="23">
                  <c:v>1.0778024264227282</c:v>
                </c:pt>
                <c:pt idx="24">
                  <c:v>0.92557453625439867</c:v>
                </c:pt>
                <c:pt idx="25">
                  <c:v>0.78953065724865734</c:v>
                </c:pt>
                <c:pt idx="26">
                  <c:v>0.66966009077473254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E-4CBA-AF48-0F45F2EC6586}"/>
            </c:ext>
          </c:extLst>
        </c:ser>
        <c:ser>
          <c:idx val="3"/>
          <c:order val="3"/>
          <c:tx>
            <c:strRef>
              <c:f>Comparison!$Q$3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Comparison!$Q$4:$Q$30</c:f>
              <c:numCache>
                <c:formatCode>0.000</c:formatCode>
                <c:ptCount val="27"/>
                <c:pt idx="0">
                  <c:v>0</c:v>
                </c:pt>
                <c:pt idx="1">
                  <c:v>0.28600000000000086</c:v>
                </c:pt>
                <c:pt idx="2">
                  <c:v>0.31173119999999949</c:v>
                </c:pt>
                <c:pt idx="3">
                  <c:v>0.33974899200000114</c:v>
                </c:pt>
                <c:pt idx="4">
                  <c:v>0.37025455104000021</c:v>
                </c:pt>
                <c:pt idx="5">
                  <c:v>0.40346660597759998</c:v>
                </c:pt>
                <c:pt idx="6">
                  <c:v>0.43962296057856026</c:v>
                </c:pt>
                <c:pt idx="7">
                  <c:v>0.47898214563741653</c:v>
                </c:pt>
                <c:pt idx="8">
                  <c:v>0.52182521335798859</c:v>
                </c:pt>
                <c:pt idx="9">
                  <c:v>0.56845768618177261</c:v>
                </c:pt>
                <c:pt idx="10">
                  <c:v>0.61921167329186899</c:v>
                </c:pt>
                <c:pt idx="11">
                  <c:v>0.67444816914801942</c:v>
                </c:pt>
                <c:pt idx="12">
                  <c:v>0.73455954963208536</c:v>
                </c:pt>
                <c:pt idx="13">
                  <c:v>0.79997228271105458</c:v>
                </c:pt>
                <c:pt idx="14">
                  <c:v>0.87114987196501248</c:v>
                </c:pt>
                <c:pt idx="15">
                  <c:v>0.94859605289025561</c:v>
                </c:pt>
                <c:pt idx="16">
                  <c:v>1.0328582635829568</c:v>
                </c:pt>
                <c:pt idx="17">
                  <c:v>1.1245314132479955</c:v>
                </c:pt>
                <c:pt idx="18">
                  <c:v>1.224261973972512</c:v>
                </c:pt>
                <c:pt idx="19">
                  <c:v>1.3327524233681596</c:v>
                </c:pt>
                <c:pt idx="20">
                  <c:v>1.4507660680336913</c:v>
                </c:pt>
                <c:pt idx="21">
                  <c:v>1.5791322803361405</c:v>
                </c:pt>
                <c:pt idx="22">
                  <c:v>1.7187521837715833</c:v>
                </c:pt>
                <c:pt idx="23">
                  <c:v>1.870604825162532</c:v>
                </c:pt>
                <c:pt idx="24">
                  <c:v>2.035753875199906</c:v>
                </c:pt>
                <c:pt idx="25">
                  <c:v>2.2153549023622077</c:v>
                </c:pt>
                <c:pt idx="26">
                  <c:v>2.4106632690691985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0E-4CBA-AF48-0F45F2EC6586}"/>
            </c:ext>
          </c:extLst>
        </c:ser>
        <c:ser>
          <c:idx val="4"/>
          <c:order val="4"/>
          <c:tx>
            <c:strRef>
              <c:f>Comparison!$R$3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Comparison!$R$4:$R$30</c:f>
              <c:numCache>
                <c:formatCode>0.000</c:formatCode>
                <c:ptCount val="27"/>
                <c:pt idx="0">
                  <c:v>0</c:v>
                </c:pt>
                <c:pt idx="1">
                  <c:v>0.76348153371238237</c:v>
                </c:pt>
                <c:pt idx="2">
                  <c:v>0.90414116589936833</c:v>
                </c:pt>
                <c:pt idx="3">
                  <c:v>1.0623046036132751</c:v>
                </c:pt>
                <c:pt idx="4">
                  <c:v>1.2367544758697546</c:v>
                </c:pt>
                <c:pt idx="5">
                  <c:v>1.4247448259261326</c:v>
                </c:pt>
                <c:pt idx="6">
                  <c:v>1.62169790350845</c:v>
                </c:pt>
                <c:pt idx="7">
                  <c:v>1.821051790302197</c:v>
                </c:pt>
                <c:pt idx="8">
                  <c:v>2.0143657270853756</c:v>
                </c:pt>
                <c:pt idx="9">
                  <c:v>2.1917739842254358</c:v>
                </c:pt>
                <c:pt idx="10">
                  <c:v>2.3428213807092506</c:v>
                </c:pt>
                <c:pt idx="11">
                  <c:v>2.4576156115537771</c:v>
                </c:pt>
                <c:pt idx="12">
                  <c:v>2.528117324141534</c:v>
                </c:pt>
                <c:pt idx="13">
                  <c:v>2.5493026648466452</c:v>
                </c:pt>
                <c:pt idx="14">
                  <c:v>2.5199213594523182</c:v>
                </c:pt>
                <c:pt idx="15">
                  <c:v>2.4426575190917412</c:v>
                </c:pt>
                <c:pt idx="16">
                  <c:v>2.3236572325599227</c:v>
                </c:pt>
                <c:pt idx="17">
                  <c:v>2.171556116193194</c:v>
                </c:pt>
                <c:pt idx="18">
                  <c:v>1.9962550237715044</c:v>
                </c:pt>
                <c:pt idx="19">
                  <c:v>1.8077161924402989</c:v>
                </c:pt>
                <c:pt idx="20">
                  <c:v>1.6149926513465334</c:v>
                </c:pt>
                <c:pt idx="21">
                  <c:v>1.5791322803361405</c:v>
                </c:pt>
                <c:pt idx="22">
                  <c:v>1.7187521837715833</c:v>
                </c:pt>
                <c:pt idx="23">
                  <c:v>1.870604825162532</c:v>
                </c:pt>
                <c:pt idx="24">
                  <c:v>2.035753875199906</c:v>
                </c:pt>
                <c:pt idx="25">
                  <c:v>2.2153549023622077</c:v>
                </c:pt>
                <c:pt idx="26">
                  <c:v>2.4106632690691985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0E-4CBA-AF48-0F45F2EC6586}"/>
            </c:ext>
          </c:extLst>
        </c:ser>
        <c:ser>
          <c:idx val="5"/>
          <c:order val="5"/>
          <c:tx>
            <c:strRef>
              <c:f>Comparison!$S$3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Comparison!$S$4:$S$30</c:f>
              <c:numCache>
                <c:formatCode>0.000</c:formatCode>
                <c:ptCount val="27"/>
                <c:pt idx="0">
                  <c:v>0</c:v>
                </c:pt>
                <c:pt idx="1">
                  <c:v>0.28600000000000086</c:v>
                </c:pt>
                <c:pt idx="2">
                  <c:v>0.31173119999999949</c:v>
                </c:pt>
                <c:pt idx="3">
                  <c:v>0.33974899200000114</c:v>
                </c:pt>
                <c:pt idx="4">
                  <c:v>0.37025455104000021</c:v>
                </c:pt>
                <c:pt idx="5">
                  <c:v>0.40346660597759998</c:v>
                </c:pt>
                <c:pt idx="6">
                  <c:v>0.43962296057856026</c:v>
                </c:pt>
                <c:pt idx="7">
                  <c:v>0.47898214563741653</c:v>
                </c:pt>
                <c:pt idx="8">
                  <c:v>0.52182521335798859</c:v>
                </c:pt>
                <c:pt idx="9">
                  <c:v>0.56845768618177261</c:v>
                </c:pt>
                <c:pt idx="10">
                  <c:v>0.61921167329186899</c:v>
                </c:pt>
                <c:pt idx="11">
                  <c:v>0.67444816914801942</c:v>
                </c:pt>
                <c:pt idx="12">
                  <c:v>0.73455954963208536</c:v>
                </c:pt>
                <c:pt idx="13">
                  <c:v>0.79997228271105458</c:v>
                </c:pt>
                <c:pt idx="14">
                  <c:v>0.87114987196501248</c:v>
                </c:pt>
                <c:pt idx="15">
                  <c:v>0.94859605289025561</c:v>
                </c:pt>
                <c:pt idx="16">
                  <c:v>1.0328582635829568</c:v>
                </c:pt>
                <c:pt idx="17">
                  <c:v>1.1245314132479955</c:v>
                </c:pt>
                <c:pt idx="18">
                  <c:v>1.224261973972512</c:v>
                </c:pt>
                <c:pt idx="19">
                  <c:v>1.3327524233681596</c:v>
                </c:pt>
                <c:pt idx="20">
                  <c:v>1.4507660680336913</c:v>
                </c:pt>
                <c:pt idx="21">
                  <c:v>1.4256002191912007</c:v>
                </c:pt>
                <c:pt idx="22">
                  <c:v>1.2452392332384969</c:v>
                </c:pt>
                <c:pt idx="23">
                  <c:v>1.0778024264227282</c:v>
                </c:pt>
                <c:pt idx="24">
                  <c:v>0.92557453625439867</c:v>
                </c:pt>
                <c:pt idx="25">
                  <c:v>0.78953065724865734</c:v>
                </c:pt>
                <c:pt idx="26">
                  <c:v>0.66966009077473254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0E-4CBA-AF48-0F45F2EC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846583"/>
        <c:axId val="11671875"/>
      </c:lineChart>
      <c:catAx>
        <c:axId val="37846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11671875"/>
        <c:crosses val="autoZero"/>
        <c:auto val="1"/>
        <c:lblAlgn val="ctr"/>
        <c:lblOffset val="100"/>
        <c:noMultiLvlLbl val="0"/>
      </c:catAx>
      <c:valAx>
        <c:axId val="11671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37846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Mexico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Comparison!$T$3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Comparison!$T$4:$T$30</c:f>
              <c:numCache>
                <c:formatCode>0.000</c:formatCode>
                <c:ptCount val="27"/>
                <c:pt idx="0">
                  <c:v>0.89419999999999999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2.4946999999999999</c:v>
                </c:pt>
                <c:pt idx="5">
                  <c:v>0.9</c:v>
                </c:pt>
                <c:pt idx="6">
                  <c:v>0.9</c:v>
                </c:pt>
                <c:pt idx="7">
                  <c:v>1.05</c:v>
                </c:pt>
                <c:pt idx="8">
                  <c:v>1.05</c:v>
                </c:pt>
                <c:pt idx="9">
                  <c:v>1.05</c:v>
                </c:pt>
                <c:pt idx="10">
                  <c:v>1.05</c:v>
                </c:pt>
                <c:pt idx="11">
                  <c:v>1.05</c:v>
                </c:pt>
                <c:pt idx="12">
                  <c:v>1.05</c:v>
                </c:pt>
                <c:pt idx="13">
                  <c:v>1.05</c:v>
                </c:pt>
                <c:pt idx="14">
                  <c:v>1.05</c:v>
                </c:pt>
                <c:pt idx="15">
                  <c:v>1.05</c:v>
                </c:pt>
                <c:pt idx="16">
                  <c:v>1.05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B-4958-8E23-D01BB374A2D4}"/>
            </c:ext>
          </c:extLst>
        </c:ser>
        <c:ser>
          <c:idx val="1"/>
          <c:order val="1"/>
          <c:tx>
            <c:strRef>
              <c:f>Comparison!$U$3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Comparison!$U$4:$U$30</c:f>
              <c:numCache>
                <c:formatCode>0.000</c:formatCode>
                <c:ptCount val="27"/>
                <c:pt idx="0">
                  <c:v>0.89419999999999999</c:v>
                </c:pt>
                <c:pt idx="1">
                  <c:v>1.351</c:v>
                </c:pt>
                <c:pt idx="2">
                  <c:v>1.351</c:v>
                </c:pt>
                <c:pt idx="3">
                  <c:v>1.351</c:v>
                </c:pt>
                <c:pt idx="4">
                  <c:v>1.351</c:v>
                </c:pt>
                <c:pt idx="5">
                  <c:v>1.351</c:v>
                </c:pt>
                <c:pt idx="6">
                  <c:v>1.351</c:v>
                </c:pt>
                <c:pt idx="7">
                  <c:v>1.351</c:v>
                </c:pt>
                <c:pt idx="8">
                  <c:v>1.351</c:v>
                </c:pt>
                <c:pt idx="9">
                  <c:v>1.351</c:v>
                </c:pt>
                <c:pt idx="10">
                  <c:v>1.351</c:v>
                </c:pt>
                <c:pt idx="11">
                  <c:v>1.351</c:v>
                </c:pt>
                <c:pt idx="12">
                  <c:v>0.7419</c:v>
                </c:pt>
                <c:pt idx="13">
                  <c:v>0.7419</c:v>
                </c:pt>
                <c:pt idx="14">
                  <c:v>0.7419</c:v>
                </c:pt>
                <c:pt idx="15">
                  <c:v>0.7419</c:v>
                </c:pt>
                <c:pt idx="16">
                  <c:v>0.7419</c:v>
                </c:pt>
                <c:pt idx="17">
                  <c:v>0.7419</c:v>
                </c:pt>
                <c:pt idx="18">
                  <c:v>0.7419</c:v>
                </c:pt>
                <c:pt idx="19">
                  <c:v>0.7419</c:v>
                </c:pt>
                <c:pt idx="20">
                  <c:v>0.7419</c:v>
                </c:pt>
                <c:pt idx="21">
                  <c:v>0.7419</c:v>
                </c:pt>
                <c:pt idx="22">
                  <c:v>0.7419</c:v>
                </c:pt>
                <c:pt idx="23">
                  <c:v>0.7419</c:v>
                </c:pt>
                <c:pt idx="24">
                  <c:v>0.7419</c:v>
                </c:pt>
                <c:pt idx="25">
                  <c:v>0.7419</c:v>
                </c:pt>
                <c:pt idx="26">
                  <c:v>0.7419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B-4958-8E23-D01BB374A2D4}"/>
            </c:ext>
          </c:extLst>
        </c:ser>
        <c:ser>
          <c:idx val="2"/>
          <c:order val="2"/>
          <c:tx>
            <c:strRef>
              <c:f>Comparison!$V$3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Comparison!$V$4:$V$30</c:f>
              <c:numCache>
                <c:formatCode>0.000</c:formatCode>
                <c:ptCount val="27"/>
                <c:pt idx="0">
                  <c:v>0</c:v>
                </c:pt>
                <c:pt idx="1">
                  <c:v>0.73855392370084061</c:v>
                </c:pt>
                <c:pt idx="2">
                  <c:v>0.88045948692412646</c:v>
                </c:pt>
                <c:pt idx="3">
                  <c:v>1.0425832676598061</c:v>
                </c:pt>
                <c:pt idx="4">
                  <c:v>1.2248640661096601</c:v>
                </c:pt>
                <c:pt idx="5">
                  <c:v>1.4258941333215147</c:v>
                </c:pt>
                <c:pt idx="6">
                  <c:v>1.6425040987283586</c:v>
                </c:pt>
                <c:pt idx="7">
                  <c:v>1.8694141067957972</c:v>
                </c:pt>
                <c:pt idx="8">
                  <c:v>2.0990589393908725</c:v>
                </c:pt>
                <c:pt idx="9">
                  <c:v>2.3217101987043316</c:v>
                </c:pt>
                <c:pt idx="10">
                  <c:v>2.5260000889830101</c:v>
                </c:pt>
                <c:pt idx="11">
                  <c:v>2.6998847490988611</c:v>
                </c:pt>
                <c:pt idx="12">
                  <c:v>2.831972214756723</c:v>
                </c:pt>
                <c:pt idx="13">
                  <c:v>2.9130085362815668</c:v>
                </c:pt>
                <c:pt idx="14">
                  <c:v>2.9372163634528921</c:v>
                </c:pt>
                <c:pt idx="15">
                  <c:v>2.9031670469712667</c:v>
                </c:pt>
                <c:pt idx="16">
                  <c:v>2.8139643863847179</c:v>
                </c:pt>
                <c:pt idx="17">
                  <c:v>2.67669895792804</c:v>
                </c:pt>
                <c:pt idx="18">
                  <c:v>2.5013267470281568</c:v>
                </c:pt>
                <c:pt idx="19">
                  <c:v>2.2992582023963686</c:v>
                </c:pt>
                <c:pt idx="20">
                  <c:v>2.0819713959066841</c:v>
                </c:pt>
                <c:pt idx="21">
                  <c:v>1.8598943470894567</c:v>
                </c:pt>
                <c:pt idx="22">
                  <c:v>1.6416822662574115</c:v>
                </c:pt>
                <c:pt idx="23">
                  <c:v>1.4338977540385431</c:v>
                </c:pt>
                <c:pt idx="24">
                  <c:v>1.2410205663382725</c:v>
                </c:pt>
                <c:pt idx="25">
                  <c:v>1.0656780985026788</c:v>
                </c:pt>
                <c:pt idx="26">
                  <c:v>0.90898944455489072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7B-4958-8E23-D01BB374A2D4}"/>
            </c:ext>
          </c:extLst>
        </c:ser>
        <c:ser>
          <c:idx val="3"/>
          <c:order val="3"/>
          <c:tx>
            <c:strRef>
              <c:f>Comparison!$W$3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Comparison!$W$4:$W$30</c:f>
              <c:numCache>
                <c:formatCode>0.000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7B-4958-8E23-D01BB374A2D4}"/>
            </c:ext>
          </c:extLst>
        </c:ser>
        <c:ser>
          <c:idx val="4"/>
          <c:order val="4"/>
          <c:tx>
            <c:strRef>
              <c:f>Comparison!$X$3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Comparison!$X$4:$X$30</c:f>
              <c:numCache>
                <c:formatCode>0.000</c:formatCode>
                <c:ptCount val="27"/>
                <c:pt idx="0">
                  <c:v>0</c:v>
                </c:pt>
                <c:pt idx="1">
                  <c:v>0.73855392370084061</c:v>
                </c:pt>
                <c:pt idx="2">
                  <c:v>0.88045948692412646</c:v>
                </c:pt>
                <c:pt idx="3">
                  <c:v>1.0425832676598061</c:v>
                </c:pt>
                <c:pt idx="4">
                  <c:v>1.2248640661096601</c:v>
                </c:pt>
                <c:pt idx="5">
                  <c:v>1.4258941333215147</c:v>
                </c:pt>
                <c:pt idx="6">
                  <c:v>1.6425040987283586</c:v>
                </c:pt>
                <c:pt idx="7">
                  <c:v>1.8694141067957972</c:v>
                </c:pt>
                <c:pt idx="8">
                  <c:v>2.0990589393908725</c:v>
                </c:pt>
                <c:pt idx="9">
                  <c:v>2.3217101987043316</c:v>
                </c:pt>
                <c:pt idx="10">
                  <c:v>2.5260000889830101</c:v>
                </c:pt>
                <c:pt idx="11">
                  <c:v>2.6998847490988611</c:v>
                </c:pt>
                <c:pt idx="12">
                  <c:v>2.831972214756723</c:v>
                </c:pt>
                <c:pt idx="13">
                  <c:v>2.9130085362815668</c:v>
                </c:pt>
                <c:pt idx="14">
                  <c:v>2.9372163634528921</c:v>
                </c:pt>
                <c:pt idx="15">
                  <c:v>2.9031670469712667</c:v>
                </c:pt>
                <c:pt idx="16">
                  <c:v>2.8139643863847179</c:v>
                </c:pt>
                <c:pt idx="17">
                  <c:v>2.67669895792804</c:v>
                </c:pt>
                <c:pt idx="18">
                  <c:v>2.5013267470281568</c:v>
                </c:pt>
                <c:pt idx="19">
                  <c:v>2.2992582023963686</c:v>
                </c:pt>
                <c:pt idx="20">
                  <c:v>2.0819713959066841</c:v>
                </c:pt>
                <c:pt idx="21">
                  <c:v>1.8598943470894567</c:v>
                </c:pt>
                <c:pt idx="22">
                  <c:v>1.6416822662574115</c:v>
                </c:pt>
                <c:pt idx="23">
                  <c:v>1.4338977540385431</c:v>
                </c:pt>
                <c:pt idx="24">
                  <c:v>1.2410205663382725</c:v>
                </c:pt>
                <c:pt idx="25">
                  <c:v>1.0656780985026788</c:v>
                </c:pt>
                <c:pt idx="26">
                  <c:v>0.90898944455489072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7B-4958-8E23-D01BB374A2D4}"/>
            </c:ext>
          </c:extLst>
        </c:ser>
        <c:ser>
          <c:idx val="5"/>
          <c:order val="5"/>
          <c:tx>
            <c:strRef>
              <c:f>Comparison!$Y$3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Comparison!$Y$4:$Y$30</c:f>
              <c:numCache>
                <c:formatCode>0.000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7B-4958-8E23-D01BB374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996894"/>
        <c:axId val="28525444"/>
      </c:lineChart>
      <c:catAx>
        <c:axId val="41996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28525444"/>
        <c:crosses val="autoZero"/>
        <c:auto val="1"/>
        <c:lblAlgn val="ctr"/>
        <c:lblOffset val="100"/>
        <c:noMultiLvlLbl val="0"/>
      </c:catAx>
      <c:valAx>
        <c:axId val="28525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1996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Chile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Comparison!$Z$3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Comparison!$Z$4:$Z$30</c:f>
              <c:numCache>
                <c:formatCode>0.000</c:formatCode>
                <c:ptCount val="27"/>
                <c:pt idx="0">
                  <c:v>0.34499999999999997</c:v>
                </c:pt>
                <c:pt idx="1">
                  <c:v>2.2000000000000002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2.7</c:v>
                </c:pt>
                <c:pt idx="15">
                  <c:v>2.7</c:v>
                </c:pt>
                <c:pt idx="16">
                  <c:v>2.7</c:v>
                </c:pt>
                <c:pt idx="17">
                  <c:v>3.2</c:v>
                </c:pt>
                <c:pt idx="18">
                  <c:v>3.2</c:v>
                </c:pt>
                <c:pt idx="19">
                  <c:v>3.2</c:v>
                </c:pt>
                <c:pt idx="20">
                  <c:v>3.2</c:v>
                </c:pt>
                <c:pt idx="21">
                  <c:v>3.2</c:v>
                </c:pt>
                <c:pt idx="22">
                  <c:v>3.2</c:v>
                </c:pt>
                <c:pt idx="23">
                  <c:v>3.2</c:v>
                </c:pt>
                <c:pt idx="24">
                  <c:v>3.2</c:v>
                </c:pt>
                <c:pt idx="25">
                  <c:v>3.2</c:v>
                </c:pt>
                <c:pt idx="26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9-4FC8-9E2B-88704562058D}"/>
            </c:ext>
          </c:extLst>
        </c:ser>
        <c:ser>
          <c:idx val="1"/>
          <c:order val="1"/>
          <c:tx>
            <c:strRef>
              <c:f>Comparison!$AA$3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Comparison!$AA$4:$AA$30</c:f>
              <c:numCache>
                <c:formatCode>0.000</c:formatCode>
                <c:ptCount val="27"/>
                <c:pt idx="0">
                  <c:v>0.34499999999999997</c:v>
                </c:pt>
                <c:pt idx="1">
                  <c:v>5.13</c:v>
                </c:pt>
                <c:pt idx="2">
                  <c:v>5.13</c:v>
                </c:pt>
                <c:pt idx="3">
                  <c:v>5.13</c:v>
                </c:pt>
                <c:pt idx="4">
                  <c:v>5.13</c:v>
                </c:pt>
                <c:pt idx="5">
                  <c:v>5.13</c:v>
                </c:pt>
                <c:pt idx="6">
                  <c:v>5.13</c:v>
                </c:pt>
                <c:pt idx="7">
                  <c:v>5.13</c:v>
                </c:pt>
                <c:pt idx="8">
                  <c:v>5.13</c:v>
                </c:pt>
                <c:pt idx="9">
                  <c:v>5.13</c:v>
                </c:pt>
                <c:pt idx="10">
                  <c:v>5.13</c:v>
                </c:pt>
                <c:pt idx="11">
                  <c:v>5.13</c:v>
                </c:pt>
                <c:pt idx="12">
                  <c:v>4.1349</c:v>
                </c:pt>
                <c:pt idx="13">
                  <c:v>4.1349</c:v>
                </c:pt>
                <c:pt idx="14">
                  <c:v>4.1349</c:v>
                </c:pt>
                <c:pt idx="15">
                  <c:v>4.1349</c:v>
                </c:pt>
                <c:pt idx="16">
                  <c:v>4.1349</c:v>
                </c:pt>
                <c:pt idx="17">
                  <c:v>4.1349</c:v>
                </c:pt>
                <c:pt idx="18">
                  <c:v>4.1349</c:v>
                </c:pt>
                <c:pt idx="19">
                  <c:v>4.1349</c:v>
                </c:pt>
                <c:pt idx="20">
                  <c:v>4.1349</c:v>
                </c:pt>
                <c:pt idx="21">
                  <c:v>4.1349</c:v>
                </c:pt>
                <c:pt idx="22">
                  <c:v>4.1349</c:v>
                </c:pt>
                <c:pt idx="23">
                  <c:v>4.1349</c:v>
                </c:pt>
                <c:pt idx="24">
                  <c:v>4.1349</c:v>
                </c:pt>
                <c:pt idx="25">
                  <c:v>4.1349</c:v>
                </c:pt>
                <c:pt idx="26">
                  <c:v>4.1349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9-4FC8-9E2B-88704562058D}"/>
            </c:ext>
          </c:extLst>
        </c:ser>
        <c:ser>
          <c:idx val="2"/>
          <c:order val="2"/>
          <c:tx>
            <c:strRef>
              <c:f>Comparison!$AB$3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Comparison!$AB$4:$AB$30</c:f>
              <c:numCache>
                <c:formatCode>0.000</c:formatCode>
                <c:ptCount val="27"/>
                <c:pt idx="0">
                  <c:v>0.59999999999999964</c:v>
                </c:pt>
                <c:pt idx="1">
                  <c:v>1.0487152654345926</c:v>
                </c:pt>
                <c:pt idx="2">
                  <c:v>1.2047600596047248</c:v>
                </c:pt>
                <c:pt idx="3">
                  <c:v>1.3722883050962527</c:v>
                </c:pt>
                <c:pt idx="4">
                  <c:v>1.5482016563567305</c:v>
                </c:pt>
                <c:pt idx="5">
                  <c:v>1.7280937389382092</c:v>
                </c:pt>
                <c:pt idx="6">
                  <c:v>1.9062638205243876</c:v>
                </c:pt>
                <c:pt idx="7">
                  <c:v>2.0759058866598212</c:v>
                </c:pt>
                <c:pt idx="8">
                  <c:v>2.2295025951902798</c:v>
                </c:pt>
                <c:pt idx="9">
                  <c:v>2.3594168704659015</c:v>
                </c:pt>
                <c:pt idx="10">
                  <c:v>2.4586247926581084</c:v>
                </c:pt>
                <c:pt idx="11">
                  <c:v>2.5214847594808458</c:v>
                </c:pt>
                <c:pt idx="12">
                  <c:v>2.5444073482033991</c:v>
                </c:pt>
                <c:pt idx="13">
                  <c:v>2.5262933649330921</c:v>
                </c:pt>
                <c:pt idx="14">
                  <c:v>2.4686491329874709</c:v>
                </c:pt>
                <c:pt idx="15">
                  <c:v>2.3753579051559988</c:v>
                </c:pt>
                <c:pt idx="16">
                  <c:v>2.2521620468479067</c:v>
                </c:pt>
                <c:pt idx="17">
                  <c:v>2.1059676493412405</c:v>
                </c:pt>
                <c:pt idx="18">
                  <c:v>1.9441054563054851</c:v>
                </c:pt>
                <c:pt idx="19">
                  <c:v>1.7736679169912182</c:v>
                </c:pt>
                <c:pt idx="20">
                  <c:v>1.6010030226122844</c:v>
                </c:pt>
                <c:pt idx="21">
                  <c:v>1.4313980906194774</c:v>
                </c:pt>
                <c:pt idx="22">
                  <c:v>1.2689454711758494</c:v>
                </c:pt>
                <c:pt idx="23">
                  <c:v>1.1165553624372708</c:v>
                </c:pt>
                <c:pt idx="24">
                  <c:v>0.97606975839568366</c:v>
                </c:pt>
                <c:pt idx="25">
                  <c:v>0.84843265005937418</c:v>
                </c:pt>
                <c:pt idx="26">
                  <c:v>0.73387990641502654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9-4FC8-9E2B-88704562058D}"/>
            </c:ext>
          </c:extLst>
        </c:ser>
        <c:ser>
          <c:idx val="3"/>
          <c:order val="3"/>
          <c:tx>
            <c:strRef>
              <c:f>Comparison!$AC$3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Comparison!$AC$4:$AC$30</c:f>
              <c:numCache>
                <c:formatCode>0.000</c:formatCode>
                <c:ptCount val="27"/>
                <c:pt idx="0">
                  <c:v>0.59999999999999964</c:v>
                </c:pt>
                <c:pt idx="1">
                  <c:v>1.4760000000000004</c:v>
                </c:pt>
                <c:pt idx="2">
                  <c:v>1.5802056000000031</c:v>
                </c:pt>
                <c:pt idx="3">
                  <c:v>1.6916022720000043</c:v>
                </c:pt>
                <c:pt idx="4">
                  <c:v>1.8106778044800003</c:v>
                </c:pt>
                <c:pt idx="5">
                  <c:v>1.9379526326784047</c:v>
                </c:pt>
                <c:pt idx="6">
                  <c:v>2.0739820001644804</c:v>
                </c:pt>
                <c:pt idx="7">
                  <c:v>2.2193582622712564</c:v>
                </c:pt>
                <c:pt idx="8">
                  <c:v>2.3747133406302314</c:v>
                </c:pt>
                <c:pt idx="9">
                  <c:v>2.5407213386481247</c:v>
                </c:pt>
                <c:pt idx="10">
                  <c:v>2.7181013284018953</c:v>
                </c:pt>
                <c:pt idx="11">
                  <c:v>2.9076203201069868</c:v>
                </c:pt>
                <c:pt idx="12">
                  <c:v>3.1100964260344326</c:v>
                </c:pt>
                <c:pt idx="13">
                  <c:v>3.3264022315207935</c:v>
                </c:pt>
                <c:pt idx="14">
                  <c:v>3.5574683865317835</c:v>
                </c:pt>
                <c:pt idx="15">
                  <c:v>3.8042874321106432</c:v>
                </c:pt>
                <c:pt idx="16">
                  <c:v>4.0679178769674014</c:v>
                </c:pt>
                <c:pt idx="17">
                  <c:v>4.3494885404514321</c:v>
                </c:pt>
                <c:pt idx="18">
                  <c:v>3.7882136800595578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99-4FC8-9E2B-88704562058D}"/>
            </c:ext>
          </c:extLst>
        </c:ser>
        <c:ser>
          <c:idx val="4"/>
          <c:order val="4"/>
          <c:tx>
            <c:strRef>
              <c:f>Comparison!$AD$3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Comparison!$AD$4:$AD$30</c:f>
              <c:numCache>
                <c:formatCode>0.000</c:formatCode>
                <c:ptCount val="27"/>
                <c:pt idx="0">
                  <c:v>0.59999999999999964</c:v>
                </c:pt>
                <c:pt idx="1">
                  <c:v>1.4760000000000004</c:v>
                </c:pt>
                <c:pt idx="2">
                  <c:v>1.5802056000000031</c:v>
                </c:pt>
                <c:pt idx="3">
                  <c:v>1.6916022720000043</c:v>
                </c:pt>
                <c:pt idx="4">
                  <c:v>1.8106778044800003</c:v>
                </c:pt>
                <c:pt idx="5">
                  <c:v>1.9379526326784047</c:v>
                </c:pt>
                <c:pt idx="6">
                  <c:v>2.0739820001644804</c:v>
                </c:pt>
                <c:pt idx="7">
                  <c:v>2.2193582622712564</c:v>
                </c:pt>
                <c:pt idx="8">
                  <c:v>2.3747133406302314</c:v>
                </c:pt>
                <c:pt idx="9">
                  <c:v>2.5407213386481247</c:v>
                </c:pt>
                <c:pt idx="10">
                  <c:v>2.7181013284018953</c:v>
                </c:pt>
                <c:pt idx="11">
                  <c:v>2.9076203201069868</c:v>
                </c:pt>
                <c:pt idx="12">
                  <c:v>3.1100964260344326</c:v>
                </c:pt>
                <c:pt idx="13">
                  <c:v>3.3264022315207935</c:v>
                </c:pt>
                <c:pt idx="14">
                  <c:v>3.5574683865317835</c:v>
                </c:pt>
                <c:pt idx="15">
                  <c:v>3.8042874321106432</c:v>
                </c:pt>
                <c:pt idx="16">
                  <c:v>4.0679178769674014</c:v>
                </c:pt>
                <c:pt idx="17">
                  <c:v>4.3494885404514321</c:v>
                </c:pt>
                <c:pt idx="18">
                  <c:v>3.7882136800595578</c:v>
                </c:pt>
                <c:pt idx="19">
                  <c:v>1.7736679169912182</c:v>
                </c:pt>
                <c:pt idx="20">
                  <c:v>1.6010030226122844</c:v>
                </c:pt>
                <c:pt idx="21">
                  <c:v>1.4313980906194774</c:v>
                </c:pt>
                <c:pt idx="22">
                  <c:v>1.2689454711758494</c:v>
                </c:pt>
                <c:pt idx="23">
                  <c:v>1.1165553624372708</c:v>
                </c:pt>
                <c:pt idx="24">
                  <c:v>0.97606975839568366</c:v>
                </c:pt>
                <c:pt idx="25">
                  <c:v>0.84843265005937418</c:v>
                </c:pt>
                <c:pt idx="26">
                  <c:v>0.73387990641502654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99-4FC8-9E2B-88704562058D}"/>
            </c:ext>
          </c:extLst>
        </c:ser>
        <c:ser>
          <c:idx val="5"/>
          <c:order val="5"/>
          <c:tx>
            <c:strRef>
              <c:f>Comparison!$AE$3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Comparison!$AE$4:$AE$30</c:f>
              <c:numCache>
                <c:formatCode>0.000</c:formatCode>
                <c:ptCount val="27"/>
                <c:pt idx="0">
                  <c:v>0.59999999999999964</c:v>
                </c:pt>
                <c:pt idx="1">
                  <c:v>1.0487152654345926</c:v>
                </c:pt>
                <c:pt idx="2">
                  <c:v>1.2047600596047248</c:v>
                </c:pt>
                <c:pt idx="3">
                  <c:v>1.3722883050962527</c:v>
                </c:pt>
                <c:pt idx="4">
                  <c:v>1.5482016563567305</c:v>
                </c:pt>
                <c:pt idx="5">
                  <c:v>1.7280937389382092</c:v>
                </c:pt>
                <c:pt idx="6">
                  <c:v>1.9062638205243876</c:v>
                </c:pt>
                <c:pt idx="7">
                  <c:v>2.0759058866598212</c:v>
                </c:pt>
                <c:pt idx="8">
                  <c:v>2.2295025951902798</c:v>
                </c:pt>
                <c:pt idx="9">
                  <c:v>2.3594168704659015</c:v>
                </c:pt>
                <c:pt idx="10">
                  <c:v>2.4586247926581084</c:v>
                </c:pt>
                <c:pt idx="11">
                  <c:v>2.5214847594808458</c:v>
                </c:pt>
                <c:pt idx="12">
                  <c:v>2.5444073482033991</c:v>
                </c:pt>
                <c:pt idx="13">
                  <c:v>2.5262933649330921</c:v>
                </c:pt>
                <c:pt idx="14">
                  <c:v>2.4686491329874709</c:v>
                </c:pt>
                <c:pt idx="15">
                  <c:v>2.3753579051559988</c:v>
                </c:pt>
                <c:pt idx="16">
                  <c:v>2.2521620468479067</c:v>
                </c:pt>
                <c:pt idx="17">
                  <c:v>2.1059676493412405</c:v>
                </c:pt>
                <c:pt idx="18">
                  <c:v>1.9441054563054851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99-4FC8-9E2B-887045620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896468"/>
        <c:axId val="51488134"/>
      </c:lineChart>
      <c:catAx>
        <c:axId val="13896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51488134"/>
        <c:crosses val="autoZero"/>
        <c:auto val="1"/>
        <c:lblAlgn val="ctr"/>
        <c:lblOffset val="100"/>
        <c:noMultiLvlLbl val="0"/>
      </c:catAx>
      <c:valAx>
        <c:axId val="51488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13896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Chile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Comparison!$AF$3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Comparison!$AF$4:$AF$30</c:f>
              <c:numCache>
                <c:formatCode>0.000</c:formatCode>
                <c:ptCount val="27"/>
                <c:pt idx="0">
                  <c:v>0.34499999999999997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3.3420999999999998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  <c:pt idx="11">
                  <c:v>1.7</c:v>
                </c:pt>
                <c:pt idx="12">
                  <c:v>1.7</c:v>
                </c:pt>
                <c:pt idx="13">
                  <c:v>1.7</c:v>
                </c:pt>
                <c:pt idx="14">
                  <c:v>1.7</c:v>
                </c:pt>
                <c:pt idx="15">
                  <c:v>1.7</c:v>
                </c:pt>
                <c:pt idx="16">
                  <c:v>1.7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D-4007-96D9-26DBB8B2F643}"/>
            </c:ext>
          </c:extLst>
        </c:ser>
        <c:ser>
          <c:idx val="1"/>
          <c:order val="1"/>
          <c:tx>
            <c:strRef>
              <c:f>Comparison!$AG$3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Comparison!$AG$4:$AG$30</c:f>
              <c:numCache>
                <c:formatCode>0.000</c:formatCode>
                <c:ptCount val="27"/>
                <c:pt idx="0">
                  <c:v>0.34499999999999997</c:v>
                </c:pt>
                <c:pt idx="1">
                  <c:v>1.2606999999999999</c:v>
                </c:pt>
                <c:pt idx="2">
                  <c:v>1.2606999999999999</c:v>
                </c:pt>
                <c:pt idx="3">
                  <c:v>1.2606999999999999</c:v>
                </c:pt>
                <c:pt idx="4">
                  <c:v>1.2606999999999999</c:v>
                </c:pt>
                <c:pt idx="5">
                  <c:v>1.2606999999999999</c:v>
                </c:pt>
                <c:pt idx="6">
                  <c:v>1.2606999999999999</c:v>
                </c:pt>
                <c:pt idx="7">
                  <c:v>1.2606999999999999</c:v>
                </c:pt>
                <c:pt idx="8">
                  <c:v>1.2606999999999999</c:v>
                </c:pt>
                <c:pt idx="9">
                  <c:v>1.2606999999999999</c:v>
                </c:pt>
                <c:pt idx="10">
                  <c:v>1.2606999999999999</c:v>
                </c:pt>
                <c:pt idx="11">
                  <c:v>1.2606999999999999</c:v>
                </c:pt>
                <c:pt idx="12">
                  <c:v>0.69240000000000002</c:v>
                </c:pt>
                <c:pt idx="13">
                  <c:v>0.69240000000000002</c:v>
                </c:pt>
                <c:pt idx="14">
                  <c:v>0.69240000000000002</c:v>
                </c:pt>
                <c:pt idx="15">
                  <c:v>0.69240000000000002</c:v>
                </c:pt>
                <c:pt idx="16">
                  <c:v>0.69240000000000002</c:v>
                </c:pt>
                <c:pt idx="17">
                  <c:v>0.69240000000000002</c:v>
                </c:pt>
                <c:pt idx="18">
                  <c:v>0.69240000000000002</c:v>
                </c:pt>
                <c:pt idx="19">
                  <c:v>0.69240000000000002</c:v>
                </c:pt>
                <c:pt idx="20">
                  <c:v>0.69240000000000002</c:v>
                </c:pt>
                <c:pt idx="21">
                  <c:v>0.69240000000000002</c:v>
                </c:pt>
                <c:pt idx="22">
                  <c:v>0.69240000000000002</c:v>
                </c:pt>
                <c:pt idx="23">
                  <c:v>0.69240000000000002</c:v>
                </c:pt>
                <c:pt idx="24">
                  <c:v>0.69240000000000002</c:v>
                </c:pt>
                <c:pt idx="25">
                  <c:v>0.69240000000000002</c:v>
                </c:pt>
                <c:pt idx="26">
                  <c:v>0.69240000000000002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D-4007-96D9-26DBB8B2F643}"/>
            </c:ext>
          </c:extLst>
        </c:ser>
        <c:ser>
          <c:idx val="2"/>
          <c:order val="2"/>
          <c:tx>
            <c:strRef>
              <c:f>Comparison!$AH$3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Comparison!$AH$4:$AH$30</c:f>
              <c:numCache>
                <c:formatCode>0.000</c:formatCode>
                <c:ptCount val="27"/>
                <c:pt idx="0">
                  <c:v>0.18399999999999928</c:v>
                </c:pt>
                <c:pt idx="1">
                  <c:v>0.75354844060614179</c:v>
                </c:pt>
                <c:pt idx="2">
                  <c:v>0.84629069624560216</c:v>
                </c:pt>
                <c:pt idx="3">
                  <c:v>0.94321137427212787</c:v>
                </c:pt>
                <c:pt idx="4">
                  <c:v>1.042419151982972</c:v>
                </c:pt>
                <c:pt idx="5">
                  <c:v>1.141512312822087</c:v>
                </c:pt>
                <c:pt idx="6">
                  <c:v>1.2376329382433895</c:v>
                </c:pt>
                <c:pt idx="7">
                  <c:v>1.32758362627612</c:v>
                </c:pt>
                <c:pt idx="8">
                  <c:v>1.4080080842346396</c:v>
                </c:pt>
                <c:pt idx="9">
                  <c:v>1.4756254961205835</c:v>
                </c:pt>
                <c:pt idx="10">
                  <c:v>1.5274958902123561</c:v>
                </c:pt>
                <c:pt idx="11">
                  <c:v>1.561283066460065</c:v>
                </c:pt>
                <c:pt idx="12">
                  <c:v>1.5754765488824245</c:v>
                </c:pt>
                <c:pt idx="13">
                  <c:v>1.5695370615026136</c:v>
                </c:pt>
                <c:pt idx="14">
                  <c:v>1.5439414913113463</c:v>
                </c:pt>
                <c:pt idx="15">
                  <c:v>1.5001207626425157</c:v>
                </c:pt>
                <c:pt idx="16">
                  <c:v>1.4403029907712623</c:v>
                </c:pt>
                <c:pt idx="17">
                  <c:v>1.3672897222498397</c:v>
                </c:pt>
                <c:pt idx="18">
                  <c:v>1.2842013519248452</c:v>
                </c:pt>
                <c:pt idx="19">
                  <c:v>1.1942277663494241</c:v>
                </c:pt>
                <c:pt idx="20">
                  <c:v>1.1004132699841569</c:v>
                </c:pt>
                <c:pt idx="21">
                  <c:v>1.0054938965294207</c:v>
                </c:pt>
                <c:pt idx="22">
                  <c:v>0.91179361313343277</c:v>
                </c:pt>
                <c:pt idx="23">
                  <c:v>0.82117627136115046</c:v>
                </c:pt>
                <c:pt idx="24">
                  <c:v>0.73504378604678444</c:v>
                </c:pt>
                <c:pt idx="25">
                  <c:v>0.65436808606471131</c:v>
                </c:pt>
                <c:pt idx="26">
                  <c:v>0.57974423696546751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D-4007-96D9-26DBB8B2F643}"/>
            </c:ext>
          </c:extLst>
        </c:ser>
        <c:ser>
          <c:idx val="3"/>
          <c:order val="3"/>
          <c:tx>
            <c:strRef>
              <c:f>Comparison!$AI$3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Comparison!$AI$4:$AI$30</c:f>
              <c:numCache>
                <c:formatCode>0.000</c:formatCode>
                <c:ptCount val="27"/>
                <c:pt idx="0">
                  <c:v>0.18399999999999928</c:v>
                </c:pt>
                <c:pt idx="1">
                  <c:v>0.63120000000000076</c:v>
                </c:pt>
                <c:pt idx="2">
                  <c:v>0.67576272000000059</c:v>
                </c:pt>
                <c:pt idx="3">
                  <c:v>0.72340064640000235</c:v>
                </c:pt>
                <c:pt idx="4">
                  <c:v>0.77432237817599969</c:v>
                </c:pt>
                <c:pt idx="5">
                  <c:v>0.82875047543808278</c:v>
                </c:pt>
                <c:pt idx="6">
                  <c:v>0.88692238381017707</c:v>
                </c:pt>
                <c:pt idx="7">
                  <c:v>0.94909141947534714</c:v>
                </c:pt>
                <c:pt idx="8">
                  <c:v>1.0155278188386201</c:v>
                </c:pt>
                <c:pt idx="9">
                  <c:v>1.0865198570153791</c:v>
                </c:pt>
                <c:pt idx="10">
                  <c:v>1.1623750396255259</c:v>
                </c:pt>
                <c:pt idx="11">
                  <c:v>1.2434213726636372</c:v>
                </c:pt>
                <c:pt idx="12">
                  <c:v>1.3300087155236677</c:v>
                </c:pt>
                <c:pt idx="13">
                  <c:v>1.4225102225853139</c:v>
                </c:pt>
                <c:pt idx="14">
                  <c:v>1.521323879118468</c:v>
                </c:pt>
                <c:pt idx="15">
                  <c:v>1.6268741376343117</c:v>
                </c:pt>
                <c:pt idx="16">
                  <c:v>1.7396136612071995</c:v>
                </c:pt>
                <c:pt idx="17">
                  <c:v>1.8600251807133725</c:v>
                </c:pt>
                <c:pt idx="18">
                  <c:v>1.9886234733799353</c:v>
                </c:pt>
                <c:pt idx="19">
                  <c:v>2.1259574705159223</c:v>
                </c:pt>
                <c:pt idx="20">
                  <c:v>2.272612502804046</c:v>
                </c:pt>
                <c:pt idx="21">
                  <c:v>2.4292126920729107</c:v>
                </c:pt>
                <c:pt idx="22">
                  <c:v>2.5964234990439214</c:v>
                </c:pt>
                <c:pt idx="23">
                  <c:v>2.7749544371600017</c:v>
                </c:pt>
                <c:pt idx="24">
                  <c:v>0.83127527910924581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1D-4007-96D9-26DBB8B2F643}"/>
            </c:ext>
          </c:extLst>
        </c:ser>
        <c:ser>
          <c:idx val="4"/>
          <c:order val="4"/>
          <c:tx>
            <c:strRef>
              <c:f>Comparison!$AJ$3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Comparison!$AJ$4:$AJ$30</c:f>
              <c:numCache>
                <c:formatCode>0.000</c:formatCode>
                <c:ptCount val="27"/>
                <c:pt idx="0">
                  <c:v>0.18399999999999928</c:v>
                </c:pt>
                <c:pt idx="1">
                  <c:v>0.75354844060614179</c:v>
                </c:pt>
                <c:pt idx="2">
                  <c:v>0.84629069624560216</c:v>
                </c:pt>
                <c:pt idx="3">
                  <c:v>0.94321137427212787</c:v>
                </c:pt>
                <c:pt idx="4">
                  <c:v>1.042419151982972</c:v>
                </c:pt>
                <c:pt idx="5">
                  <c:v>1.141512312822087</c:v>
                </c:pt>
                <c:pt idx="6">
                  <c:v>1.2376329382433895</c:v>
                </c:pt>
                <c:pt idx="7">
                  <c:v>1.32758362627612</c:v>
                </c:pt>
                <c:pt idx="8">
                  <c:v>1.4080080842346396</c:v>
                </c:pt>
                <c:pt idx="9">
                  <c:v>1.4756254961205835</c:v>
                </c:pt>
                <c:pt idx="10">
                  <c:v>1.5274958902123561</c:v>
                </c:pt>
                <c:pt idx="11">
                  <c:v>1.561283066460065</c:v>
                </c:pt>
                <c:pt idx="12">
                  <c:v>1.5754765488824245</c:v>
                </c:pt>
                <c:pt idx="13">
                  <c:v>1.5695370615026136</c:v>
                </c:pt>
                <c:pt idx="14">
                  <c:v>1.5439414913113463</c:v>
                </c:pt>
                <c:pt idx="15">
                  <c:v>1.6268741376343117</c:v>
                </c:pt>
                <c:pt idx="16">
                  <c:v>1.7396136612071995</c:v>
                </c:pt>
                <c:pt idx="17">
                  <c:v>1.8600251807133725</c:v>
                </c:pt>
                <c:pt idx="18">
                  <c:v>1.9886234733799353</c:v>
                </c:pt>
                <c:pt idx="19">
                  <c:v>2.1259574705159223</c:v>
                </c:pt>
                <c:pt idx="20">
                  <c:v>2.272612502804046</c:v>
                </c:pt>
                <c:pt idx="21">
                  <c:v>2.4292126920729107</c:v>
                </c:pt>
                <c:pt idx="22">
                  <c:v>2.5964234990439214</c:v>
                </c:pt>
                <c:pt idx="23">
                  <c:v>2.7749544371600017</c:v>
                </c:pt>
                <c:pt idx="24">
                  <c:v>0.83127527910924581</c:v>
                </c:pt>
                <c:pt idx="25">
                  <c:v>0.65436808606471131</c:v>
                </c:pt>
                <c:pt idx="26">
                  <c:v>0.57974423696546751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1D-4007-96D9-26DBB8B2F643}"/>
            </c:ext>
          </c:extLst>
        </c:ser>
        <c:ser>
          <c:idx val="5"/>
          <c:order val="5"/>
          <c:tx>
            <c:strRef>
              <c:f>Comparison!$AK$3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Comparison!$AK$4:$AK$30</c:f>
              <c:numCache>
                <c:formatCode>0.000</c:formatCode>
                <c:ptCount val="27"/>
                <c:pt idx="0">
                  <c:v>0.18399999999999928</c:v>
                </c:pt>
                <c:pt idx="1">
                  <c:v>0.63120000000000076</c:v>
                </c:pt>
                <c:pt idx="2">
                  <c:v>0.67576272000000059</c:v>
                </c:pt>
                <c:pt idx="3">
                  <c:v>0.72340064640000235</c:v>
                </c:pt>
                <c:pt idx="4">
                  <c:v>0.77432237817599969</c:v>
                </c:pt>
                <c:pt idx="5">
                  <c:v>0.82875047543808278</c:v>
                </c:pt>
                <c:pt idx="6">
                  <c:v>0.88692238381017707</c:v>
                </c:pt>
                <c:pt idx="7">
                  <c:v>0.94909141947534714</c:v>
                </c:pt>
                <c:pt idx="8">
                  <c:v>1.0155278188386201</c:v>
                </c:pt>
                <c:pt idx="9">
                  <c:v>1.0865198570153791</c:v>
                </c:pt>
                <c:pt idx="10">
                  <c:v>1.1623750396255259</c:v>
                </c:pt>
                <c:pt idx="11">
                  <c:v>1.2434213726636372</c:v>
                </c:pt>
                <c:pt idx="12">
                  <c:v>1.3300087155236677</c:v>
                </c:pt>
                <c:pt idx="13">
                  <c:v>1.4225102225853139</c:v>
                </c:pt>
                <c:pt idx="14">
                  <c:v>1.521323879118468</c:v>
                </c:pt>
                <c:pt idx="15">
                  <c:v>1.5001207626425157</c:v>
                </c:pt>
                <c:pt idx="16">
                  <c:v>1.4403029907712623</c:v>
                </c:pt>
                <c:pt idx="17">
                  <c:v>1.3672897222498397</c:v>
                </c:pt>
                <c:pt idx="18">
                  <c:v>1.2842013519248452</c:v>
                </c:pt>
                <c:pt idx="19">
                  <c:v>1.1942277663494241</c:v>
                </c:pt>
                <c:pt idx="20">
                  <c:v>1.1004132699841569</c:v>
                </c:pt>
                <c:pt idx="21">
                  <c:v>1.0054938965294207</c:v>
                </c:pt>
                <c:pt idx="22">
                  <c:v>0.91179361313343277</c:v>
                </c:pt>
                <c:pt idx="23">
                  <c:v>0.82117627136115046</c:v>
                </c:pt>
                <c:pt idx="24">
                  <c:v>0.73504378604678444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1D-4007-96D9-26DBB8B2F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022167"/>
        <c:axId val="90205552"/>
      </c:lineChart>
      <c:catAx>
        <c:axId val="48022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90205552"/>
        <c:crosses val="autoZero"/>
        <c:auto val="1"/>
        <c:lblAlgn val="ctr"/>
        <c:lblOffset val="100"/>
        <c:noMultiLvlLbl val="0"/>
      </c:catAx>
      <c:valAx>
        <c:axId val="90205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80221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Argentina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Comparison!$AL$3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Comparison!$AL$4:$AL$30</c:f>
              <c:numCache>
                <c:formatCode>0.000</c:formatCode>
                <c:ptCount val="27"/>
                <c:pt idx="0">
                  <c:v>0.45829999999999999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0-45FC-A30B-34DEF6D8A598}"/>
            </c:ext>
          </c:extLst>
        </c:ser>
        <c:ser>
          <c:idx val="1"/>
          <c:order val="1"/>
          <c:tx>
            <c:strRef>
              <c:f>Comparison!$AM$3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Comparison!$AM$4:$AM$30</c:f>
              <c:numCache>
                <c:formatCode>0.000</c:formatCode>
                <c:ptCount val="27"/>
                <c:pt idx="0">
                  <c:v>0.45829999999999999</c:v>
                </c:pt>
                <c:pt idx="1">
                  <c:v>1.5336000000000001</c:v>
                </c:pt>
                <c:pt idx="2">
                  <c:v>1.5336000000000001</c:v>
                </c:pt>
                <c:pt idx="3">
                  <c:v>1.5336000000000001</c:v>
                </c:pt>
                <c:pt idx="4">
                  <c:v>1.5336000000000001</c:v>
                </c:pt>
                <c:pt idx="5">
                  <c:v>1.5336000000000001</c:v>
                </c:pt>
                <c:pt idx="6">
                  <c:v>1.5336000000000001</c:v>
                </c:pt>
                <c:pt idx="7">
                  <c:v>1.5336000000000001</c:v>
                </c:pt>
                <c:pt idx="8">
                  <c:v>1.5336000000000001</c:v>
                </c:pt>
                <c:pt idx="9">
                  <c:v>1.5336000000000001</c:v>
                </c:pt>
                <c:pt idx="10">
                  <c:v>1.5336000000000001</c:v>
                </c:pt>
                <c:pt idx="11">
                  <c:v>1.5336000000000001</c:v>
                </c:pt>
                <c:pt idx="12">
                  <c:v>1.2361</c:v>
                </c:pt>
                <c:pt idx="13">
                  <c:v>1.2361</c:v>
                </c:pt>
                <c:pt idx="14">
                  <c:v>1.2361</c:v>
                </c:pt>
                <c:pt idx="15">
                  <c:v>1.2361</c:v>
                </c:pt>
                <c:pt idx="16">
                  <c:v>1.2361</c:v>
                </c:pt>
                <c:pt idx="17">
                  <c:v>1.2361</c:v>
                </c:pt>
                <c:pt idx="18">
                  <c:v>1.2361</c:v>
                </c:pt>
                <c:pt idx="19">
                  <c:v>1.2361</c:v>
                </c:pt>
                <c:pt idx="20">
                  <c:v>1.2361</c:v>
                </c:pt>
                <c:pt idx="21">
                  <c:v>1.2361</c:v>
                </c:pt>
                <c:pt idx="22">
                  <c:v>1.2361</c:v>
                </c:pt>
                <c:pt idx="23">
                  <c:v>1.2361</c:v>
                </c:pt>
                <c:pt idx="24">
                  <c:v>1.2361</c:v>
                </c:pt>
                <c:pt idx="25">
                  <c:v>1.2361</c:v>
                </c:pt>
                <c:pt idx="26">
                  <c:v>1.2361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0-45FC-A30B-34DEF6D8A598}"/>
            </c:ext>
          </c:extLst>
        </c:ser>
        <c:ser>
          <c:idx val="2"/>
          <c:order val="2"/>
          <c:tx>
            <c:strRef>
              <c:f>Comparison!$AN$3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Comparison!$AN$4:$AN$30</c:f>
              <c:numCache>
                <c:formatCode>0.000</c:formatCode>
                <c:ptCount val="27"/>
                <c:pt idx="0">
                  <c:v>0.33529999999999993</c:v>
                </c:pt>
                <c:pt idx="1">
                  <c:v>0.22717466223207639</c:v>
                </c:pt>
                <c:pt idx="2">
                  <c:v>0.26442046154616039</c:v>
                </c:pt>
                <c:pt idx="3">
                  <c:v>0.30576401170229517</c:v>
                </c:pt>
                <c:pt idx="4">
                  <c:v>0.35093480158878704</c:v>
                </c:pt>
                <c:pt idx="5">
                  <c:v>0.39937040211651631</c:v>
                </c:pt>
                <c:pt idx="6">
                  <c:v>0.45016321553362509</c:v>
                </c:pt>
                <c:pt idx="7">
                  <c:v>0.50202906537434544</c:v>
                </c:pt>
                <c:pt idx="8">
                  <c:v>0.5533126373041144</c:v>
                </c:pt>
                <c:pt idx="9">
                  <c:v>0.60204368646187945</c:v>
                </c:pt>
                <c:pt idx="10">
                  <c:v>0.64605226327088283</c:v>
                </c:pt>
                <c:pt idx="11">
                  <c:v>0.68314054557616299</c:v>
                </c:pt>
                <c:pt idx="12">
                  <c:v>0.71129469503728093</c:v>
                </c:pt>
                <c:pt idx="13">
                  <c:v>0.72890620704964015</c:v>
                </c:pt>
                <c:pt idx="14">
                  <c:v>0.73496359935199174</c:v>
                </c:pt>
                <c:pt idx="15">
                  <c:v>0.72917640524771654</c:v>
                </c:pt>
                <c:pt idx="16">
                  <c:v>0.7120056390512095</c:v>
                </c:pt>
                <c:pt idx="17">
                  <c:v>0.68459515397738568</c:v>
                </c:pt>
                <c:pt idx="18">
                  <c:v>0.64862013211938729</c:v>
                </c:pt>
                <c:pt idx="19">
                  <c:v>0.60608522987936364</c:v>
                </c:pt>
                <c:pt idx="20">
                  <c:v>0.55911108738484017</c:v>
                </c:pt>
                <c:pt idx="21">
                  <c:v>0.50974364111895987</c:v>
                </c:pt>
                <c:pt idx="22">
                  <c:v>0.45980924635373249</c:v>
                </c:pt>
                <c:pt idx="23">
                  <c:v>0.41082487251861138</c:v>
                </c:pt>
                <c:pt idx="24">
                  <c:v>0.36396078734351472</c:v>
                </c:pt>
                <c:pt idx="25">
                  <c:v>0.32004549766410267</c:v>
                </c:pt>
                <c:pt idx="26">
                  <c:v>0.27959958428563425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0-45FC-A30B-34DEF6D8A598}"/>
            </c:ext>
          </c:extLst>
        </c:ser>
        <c:ser>
          <c:idx val="3"/>
          <c:order val="3"/>
          <c:tx>
            <c:strRef>
              <c:f>Comparison!$AO$3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Comparison!$AO$4:$AO$30</c:f>
              <c:numCache>
                <c:formatCode>0.000</c:formatCode>
                <c:ptCount val="27"/>
                <c:pt idx="0">
                  <c:v>0.33529999999999993</c:v>
                </c:pt>
                <c:pt idx="1">
                  <c:v>0.28730000000000011</c:v>
                </c:pt>
                <c:pt idx="2">
                  <c:v>0.31024863999999996</c:v>
                </c:pt>
                <c:pt idx="3">
                  <c:v>0.33500231959999993</c:v>
                </c:pt>
                <c:pt idx="4">
                  <c:v>0.36170129600799988</c:v>
                </c:pt>
                <c:pt idx="5">
                  <c:v>0.39049661774708061</c:v>
                </c:pt>
                <c:pt idx="6">
                  <c:v>0.42155094817919125</c:v>
                </c:pt>
                <c:pt idx="7">
                  <c:v>0.4550394514448397</c:v>
                </c:pt>
                <c:pt idx="8">
                  <c:v>0.49115074552159882</c:v>
                </c:pt>
                <c:pt idx="9">
                  <c:v>0.53008792745702538</c:v>
                </c:pt>
                <c:pt idx="10">
                  <c:v>0.57206967621035432</c:v>
                </c:pt>
                <c:pt idx="11">
                  <c:v>0.61733143894461207</c:v>
                </c:pt>
                <c:pt idx="12">
                  <c:v>0.66612670704823251</c:v>
                </c:pt>
                <c:pt idx="13">
                  <c:v>0.71872838863553401</c:v>
                </c:pt>
                <c:pt idx="14">
                  <c:v>0.77543028478051845</c:v>
                </c:pt>
                <c:pt idx="15">
                  <c:v>0.83654867728149274</c:v>
                </c:pt>
                <c:pt idx="16">
                  <c:v>0.90242403633716939</c:v>
                </c:pt>
                <c:pt idx="17">
                  <c:v>0.97342285714197019</c:v>
                </c:pt>
                <c:pt idx="18">
                  <c:v>1.0499396350813837</c:v>
                </c:pt>
                <c:pt idx="19">
                  <c:v>1.1323989899323306</c:v>
                </c:pt>
                <c:pt idx="20">
                  <c:v>1.221257950250495</c:v>
                </c:pt>
                <c:pt idx="21">
                  <c:v>1.3170084099625461</c:v>
                </c:pt>
                <c:pt idx="22">
                  <c:v>0.53419208459923151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E0-45FC-A30B-34DEF6D8A598}"/>
            </c:ext>
          </c:extLst>
        </c:ser>
        <c:ser>
          <c:idx val="4"/>
          <c:order val="4"/>
          <c:tx>
            <c:strRef>
              <c:f>Comparison!$AP$3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Comparison!$AP$4:$AP$30</c:f>
              <c:numCache>
                <c:formatCode>0.000</c:formatCode>
                <c:ptCount val="27"/>
                <c:pt idx="0">
                  <c:v>0.33529999999999993</c:v>
                </c:pt>
                <c:pt idx="1">
                  <c:v>0.28730000000000011</c:v>
                </c:pt>
                <c:pt idx="2">
                  <c:v>0.31024863999999996</c:v>
                </c:pt>
                <c:pt idx="3">
                  <c:v>0.33500231959999993</c:v>
                </c:pt>
                <c:pt idx="4">
                  <c:v>0.36170129600799988</c:v>
                </c:pt>
                <c:pt idx="5">
                  <c:v>0.39937040211651631</c:v>
                </c:pt>
                <c:pt idx="6">
                  <c:v>0.45016321553362509</c:v>
                </c:pt>
                <c:pt idx="7">
                  <c:v>0.50202906537434544</c:v>
                </c:pt>
                <c:pt idx="8">
                  <c:v>0.5533126373041144</c:v>
                </c:pt>
                <c:pt idx="9">
                  <c:v>0.60204368646187945</c:v>
                </c:pt>
                <c:pt idx="10">
                  <c:v>0.64605226327088283</c:v>
                </c:pt>
                <c:pt idx="11">
                  <c:v>0.68314054557616299</c:v>
                </c:pt>
                <c:pt idx="12">
                  <c:v>0.71129469503728093</c:v>
                </c:pt>
                <c:pt idx="13">
                  <c:v>0.72890620704964015</c:v>
                </c:pt>
                <c:pt idx="14">
                  <c:v>0.77543028478051845</c:v>
                </c:pt>
                <c:pt idx="15">
                  <c:v>0.83654867728149274</c:v>
                </c:pt>
                <c:pt idx="16">
                  <c:v>0.90242403633716939</c:v>
                </c:pt>
                <c:pt idx="17">
                  <c:v>0.97342285714197019</c:v>
                </c:pt>
                <c:pt idx="18">
                  <c:v>1.0499396350813837</c:v>
                </c:pt>
                <c:pt idx="19">
                  <c:v>1.1323989899323306</c:v>
                </c:pt>
                <c:pt idx="20">
                  <c:v>1.221257950250495</c:v>
                </c:pt>
                <c:pt idx="21">
                  <c:v>1.3170084099625461</c:v>
                </c:pt>
                <c:pt idx="22">
                  <c:v>0.53419208459923151</c:v>
                </c:pt>
                <c:pt idx="23">
                  <c:v>0.41082487251861138</c:v>
                </c:pt>
                <c:pt idx="24">
                  <c:v>0.36396078734351472</c:v>
                </c:pt>
                <c:pt idx="25">
                  <c:v>0.32004549766410267</c:v>
                </c:pt>
                <c:pt idx="26">
                  <c:v>0.27959958428563425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E0-45FC-A30B-34DEF6D8A598}"/>
            </c:ext>
          </c:extLst>
        </c:ser>
        <c:ser>
          <c:idx val="5"/>
          <c:order val="5"/>
          <c:tx>
            <c:strRef>
              <c:f>Comparison!$AQ$3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Comparison!$AQ$4:$AQ$30</c:f>
              <c:numCache>
                <c:formatCode>0.000</c:formatCode>
                <c:ptCount val="27"/>
                <c:pt idx="0">
                  <c:v>0.33529999999999993</c:v>
                </c:pt>
                <c:pt idx="1">
                  <c:v>0.22717466223207639</c:v>
                </c:pt>
                <c:pt idx="2">
                  <c:v>0.26442046154616039</c:v>
                </c:pt>
                <c:pt idx="3">
                  <c:v>0.30576401170229517</c:v>
                </c:pt>
                <c:pt idx="4">
                  <c:v>0.35093480158878704</c:v>
                </c:pt>
                <c:pt idx="5">
                  <c:v>0.39049661774708061</c:v>
                </c:pt>
                <c:pt idx="6">
                  <c:v>0.42155094817919125</c:v>
                </c:pt>
                <c:pt idx="7">
                  <c:v>0.4550394514448397</c:v>
                </c:pt>
                <c:pt idx="8">
                  <c:v>0.49115074552159882</c:v>
                </c:pt>
                <c:pt idx="9">
                  <c:v>0.53008792745702538</c:v>
                </c:pt>
                <c:pt idx="10">
                  <c:v>0.57206967621035432</c:v>
                </c:pt>
                <c:pt idx="11">
                  <c:v>0.61733143894461207</c:v>
                </c:pt>
                <c:pt idx="12">
                  <c:v>0.66612670704823251</c:v>
                </c:pt>
                <c:pt idx="13">
                  <c:v>0.71872838863553401</c:v>
                </c:pt>
                <c:pt idx="14">
                  <c:v>0.73496359935199174</c:v>
                </c:pt>
                <c:pt idx="15">
                  <c:v>0.72917640524771654</c:v>
                </c:pt>
                <c:pt idx="16">
                  <c:v>0.7120056390512095</c:v>
                </c:pt>
                <c:pt idx="17">
                  <c:v>0.68459515397738568</c:v>
                </c:pt>
                <c:pt idx="18">
                  <c:v>0.64862013211938729</c:v>
                </c:pt>
                <c:pt idx="19">
                  <c:v>0.60608522987936364</c:v>
                </c:pt>
                <c:pt idx="20">
                  <c:v>0.55911108738484017</c:v>
                </c:pt>
                <c:pt idx="21">
                  <c:v>0.50974364111895987</c:v>
                </c:pt>
                <c:pt idx="22">
                  <c:v>0.45980924635373249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E0-45FC-A30B-34DEF6D8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724931"/>
        <c:axId val="1603164"/>
      </c:lineChart>
      <c:catAx>
        <c:axId val="867249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1603164"/>
        <c:crosses val="autoZero"/>
        <c:auto val="1"/>
        <c:lblAlgn val="ctr"/>
        <c:lblOffset val="100"/>
        <c:noMultiLvlLbl val="0"/>
      </c:catAx>
      <c:valAx>
        <c:axId val="1603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86724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Argentina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Comparison!$AR$3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Comparison!$AR$4:$AR$30</c:f>
              <c:numCache>
                <c:formatCode>0.000</c:formatCode>
                <c:ptCount val="27"/>
                <c:pt idx="0">
                  <c:v>0.45829999999999999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B-4C1F-85B7-72CD4ACE7AAB}"/>
            </c:ext>
          </c:extLst>
        </c:ser>
        <c:ser>
          <c:idx val="1"/>
          <c:order val="1"/>
          <c:tx>
            <c:strRef>
              <c:f>Comparison!$AS$3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Comparison!$AS$4:$AS$30</c:f>
              <c:numCache>
                <c:formatCode>0.000</c:formatCode>
                <c:ptCount val="27"/>
                <c:pt idx="0">
                  <c:v>0.45829999999999999</c:v>
                </c:pt>
                <c:pt idx="1">
                  <c:v>1.4371</c:v>
                </c:pt>
                <c:pt idx="2">
                  <c:v>1.4371</c:v>
                </c:pt>
                <c:pt idx="3">
                  <c:v>1.4371</c:v>
                </c:pt>
                <c:pt idx="4">
                  <c:v>1.4371</c:v>
                </c:pt>
                <c:pt idx="5">
                  <c:v>1.4371</c:v>
                </c:pt>
                <c:pt idx="6">
                  <c:v>1.4371</c:v>
                </c:pt>
                <c:pt idx="7">
                  <c:v>1.4371</c:v>
                </c:pt>
                <c:pt idx="8">
                  <c:v>1.4371</c:v>
                </c:pt>
                <c:pt idx="9">
                  <c:v>1.4371</c:v>
                </c:pt>
                <c:pt idx="10">
                  <c:v>1.4371</c:v>
                </c:pt>
                <c:pt idx="11">
                  <c:v>1.4371</c:v>
                </c:pt>
                <c:pt idx="12">
                  <c:v>0.78920000000000001</c:v>
                </c:pt>
                <c:pt idx="13">
                  <c:v>0.78920000000000001</c:v>
                </c:pt>
                <c:pt idx="14">
                  <c:v>0.78920000000000001</c:v>
                </c:pt>
                <c:pt idx="15">
                  <c:v>0.78920000000000001</c:v>
                </c:pt>
                <c:pt idx="16">
                  <c:v>0.78920000000000001</c:v>
                </c:pt>
                <c:pt idx="17">
                  <c:v>0.78920000000000001</c:v>
                </c:pt>
                <c:pt idx="18">
                  <c:v>0.78920000000000001</c:v>
                </c:pt>
                <c:pt idx="19">
                  <c:v>0.78920000000000001</c:v>
                </c:pt>
                <c:pt idx="20">
                  <c:v>0.78920000000000001</c:v>
                </c:pt>
                <c:pt idx="21">
                  <c:v>0.78920000000000001</c:v>
                </c:pt>
                <c:pt idx="22">
                  <c:v>0.78920000000000001</c:v>
                </c:pt>
                <c:pt idx="23">
                  <c:v>0.78920000000000001</c:v>
                </c:pt>
                <c:pt idx="24">
                  <c:v>0.78920000000000001</c:v>
                </c:pt>
                <c:pt idx="25">
                  <c:v>0.78920000000000001</c:v>
                </c:pt>
                <c:pt idx="26">
                  <c:v>0.78920000000000001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B-4C1F-85B7-72CD4ACE7AAB}"/>
            </c:ext>
          </c:extLst>
        </c:ser>
        <c:ser>
          <c:idx val="2"/>
          <c:order val="2"/>
          <c:tx>
            <c:strRef>
              <c:f>Comparison!$AT$3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Comparison!$AT$4:$AT$30</c:f>
              <c:numCache>
                <c:formatCode>0.000</c:formatCode>
                <c:ptCount val="27"/>
                <c:pt idx="0">
                  <c:v>0.61399999999999944</c:v>
                </c:pt>
                <c:pt idx="1">
                  <c:v>0.56103673147655631</c:v>
                </c:pt>
                <c:pt idx="2">
                  <c:v>0.63412555033432916</c:v>
                </c:pt>
                <c:pt idx="3">
                  <c:v>0.71182353431484224</c:v>
                </c:pt>
                <c:pt idx="4">
                  <c:v>0.79296596630934135</c:v>
                </c:pt>
                <c:pt idx="5">
                  <c:v>0.87596059830067374</c:v>
                </c:pt>
                <c:pt idx="6">
                  <c:v>0.95878952047321975</c:v>
                </c:pt>
                <c:pt idx="7">
                  <c:v>1.0390554797608929</c:v>
                </c:pt>
                <c:pt idx="8">
                  <c:v>1.1140805022089519</c:v>
                </c:pt>
                <c:pt idx="9">
                  <c:v>1.1810578008080046</c:v>
                </c:pt>
                <c:pt idx="10">
                  <c:v>1.2372483598817845</c:v>
                </c:pt>
                <c:pt idx="11">
                  <c:v>1.2802030027969737</c:v>
                </c:pt>
                <c:pt idx="12">
                  <c:v>1.3079818848254012</c:v>
                </c:pt>
                <c:pt idx="13">
                  <c:v>1.319339180496818</c:v>
                </c:pt>
                <c:pt idx="14">
                  <c:v>1.3138433736733954</c:v>
                </c:pt>
                <c:pt idx="15">
                  <c:v>1.2919132358706704</c:v>
                </c:pt>
                <c:pt idx="16">
                  <c:v>1.2547642311704656</c:v>
                </c:pt>
                <c:pt idx="17">
                  <c:v>1.204275925176393</c:v>
                </c:pt>
                <c:pt idx="18">
                  <c:v>1.1428038332619843</c:v>
                </c:pt>
                <c:pt idx="19">
                  <c:v>1.0729659824532303</c:v>
                </c:pt>
                <c:pt idx="20">
                  <c:v>0.9974343330419061</c:v>
                </c:pt>
                <c:pt idx="21">
                  <c:v>0.91875527978299021</c:v>
                </c:pt>
                <c:pt idx="22">
                  <c:v>0.83921424532251931</c:v>
                </c:pt>
                <c:pt idx="23">
                  <c:v>0.76074966973548031</c:v>
                </c:pt>
                <c:pt idx="24">
                  <c:v>0.68491364178657999</c:v>
                </c:pt>
                <c:pt idx="25">
                  <c:v>0.61287111940032823</c:v>
                </c:pt>
                <c:pt idx="26">
                  <c:v>0.54542726682461962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B-4C1F-85B7-72CD4ACE7AAB}"/>
            </c:ext>
          </c:extLst>
        </c:ser>
        <c:ser>
          <c:idx val="3"/>
          <c:order val="3"/>
          <c:tx>
            <c:strRef>
              <c:f>Comparison!$AU$3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Comparison!$AU$4:$AU$30</c:f>
              <c:numCache>
                <c:formatCode>0.000</c:formatCode>
                <c:ptCount val="27"/>
                <c:pt idx="0">
                  <c:v>0.61399999999999944</c:v>
                </c:pt>
                <c:pt idx="1">
                  <c:v>0.42874999999999996</c:v>
                </c:pt>
                <c:pt idx="2">
                  <c:v>0.45883796000000088</c:v>
                </c:pt>
                <c:pt idx="3">
                  <c:v>0.49099297520000146</c:v>
                </c:pt>
                <c:pt idx="4">
                  <c:v>0.52535477556800048</c:v>
                </c:pt>
                <c:pt idx="5">
                  <c:v>0.56207241726944124</c:v>
                </c:pt>
                <c:pt idx="6">
                  <c:v>0.60130489878300919</c:v>
                </c:pt>
                <c:pt idx="7">
                  <c:v>0.64322181737603579</c:v>
                </c:pt>
                <c:pt idx="8">
                  <c:v>0.6880040685646045</c:v>
                </c:pt>
                <c:pt idx="9">
                  <c:v>0.7358445913532492</c:v>
                </c:pt>
                <c:pt idx="10">
                  <c:v>0.78694916222970168</c:v>
                </c:pt>
                <c:pt idx="11">
                  <c:v>0.84153724108245498</c:v>
                </c:pt>
                <c:pt idx="12">
                  <c:v>0.89984287241351013</c:v>
                </c:pt>
                <c:pt idx="13">
                  <c:v>0.96211564543639494</c:v>
                </c:pt>
                <c:pt idx="14">
                  <c:v>1.0286217168813414</c:v>
                </c:pt>
                <c:pt idx="15">
                  <c:v>1.0996449005761062</c:v>
                </c:pt>
                <c:pt idx="16">
                  <c:v>1.1754878281334635</c:v>
                </c:pt>
                <c:pt idx="17">
                  <c:v>1.2564731853556443</c:v>
                </c:pt>
                <c:pt idx="18">
                  <c:v>1.3429450292631986</c:v>
                </c:pt>
                <c:pt idx="19">
                  <c:v>1.4352701909723806</c:v>
                </c:pt>
                <c:pt idx="20">
                  <c:v>1.5338397699813109</c:v>
                </c:pt>
                <c:pt idx="21">
                  <c:v>1.6390707257838237</c:v>
                </c:pt>
                <c:pt idx="22">
                  <c:v>1.7514075731107039</c:v>
                </c:pt>
                <c:pt idx="23">
                  <c:v>1.8713241875039788</c:v>
                </c:pt>
                <c:pt idx="24">
                  <c:v>1.9993257283612429</c:v>
                </c:pt>
                <c:pt idx="25">
                  <c:v>2.135950687046376</c:v>
                </c:pt>
                <c:pt idx="26">
                  <c:v>2.2817730681516255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B-4C1F-85B7-72CD4ACE7AAB}"/>
            </c:ext>
          </c:extLst>
        </c:ser>
        <c:ser>
          <c:idx val="4"/>
          <c:order val="4"/>
          <c:tx>
            <c:strRef>
              <c:f>Comparison!$AV$3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Comparison!$AV$4:$AV$30</c:f>
              <c:numCache>
                <c:formatCode>0.000</c:formatCode>
                <c:ptCount val="27"/>
                <c:pt idx="0">
                  <c:v>0.61399999999999944</c:v>
                </c:pt>
                <c:pt idx="1">
                  <c:v>0.56103673147655631</c:v>
                </c:pt>
                <c:pt idx="2">
                  <c:v>0.63412555033432916</c:v>
                </c:pt>
                <c:pt idx="3">
                  <c:v>0.71182353431484224</c:v>
                </c:pt>
                <c:pt idx="4">
                  <c:v>0.79296596630934135</c:v>
                </c:pt>
                <c:pt idx="5">
                  <c:v>0.87596059830067374</c:v>
                </c:pt>
                <c:pt idx="6">
                  <c:v>0.95878952047321975</c:v>
                </c:pt>
                <c:pt idx="7">
                  <c:v>1.0390554797608929</c:v>
                </c:pt>
                <c:pt idx="8">
                  <c:v>1.1140805022089519</c:v>
                </c:pt>
                <c:pt idx="9">
                  <c:v>1.1810578008080046</c:v>
                </c:pt>
                <c:pt idx="10">
                  <c:v>1.2372483598817845</c:v>
                </c:pt>
                <c:pt idx="11">
                  <c:v>1.2802030027969737</c:v>
                </c:pt>
                <c:pt idx="12">
                  <c:v>1.3079818848254012</c:v>
                </c:pt>
                <c:pt idx="13">
                  <c:v>1.319339180496818</c:v>
                </c:pt>
                <c:pt idx="14">
                  <c:v>1.3138433736733954</c:v>
                </c:pt>
                <c:pt idx="15">
                  <c:v>1.2919132358706704</c:v>
                </c:pt>
                <c:pt idx="16">
                  <c:v>1.2547642311704656</c:v>
                </c:pt>
                <c:pt idx="17">
                  <c:v>1.2564731853556443</c:v>
                </c:pt>
                <c:pt idx="18">
                  <c:v>1.3429450292631986</c:v>
                </c:pt>
                <c:pt idx="19">
                  <c:v>1.4352701909723806</c:v>
                </c:pt>
                <c:pt idx="20">
                  <c:v>1.5338397699813109</c:v>
                </c:pt>
                <c:pt idx="21">
                  <c:v>1.6390707257838237</c:v>
                </c:pt>
                <c:pt idx="22">
                  <c:v>1.7514075731107039</c:v>
                </c:pt>
                <c:pt idx="23">
                  <c:v>1.8713241875039788</c:v>
                </c:pt>
                <c:pt idx="24">
                  <c:v>1.9993257283612429</c:v>
                </c:pt>
                <c:pt idx="25">
                  <c:v>2.135950687046376</c:v>
                </c:pt>
                <c:pt idx="26">
                  <c:v>2.2817730681516255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B-4C1F-85B7-72CD4ACE7AAB}"/>
            </c:ext>
          </c:extLst>
        </c:ser>
        <c:ser>
          <c:idx val="5"/>
          <c:order val="5"/>
          <c:tx>
            <c:strRef>
              <c:f>Comparison!$AW$3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Comparison!$AW$4:$AW$30</c:f>
              <c:numCache>
                <c:formatCode>0.000</c:formatCode>
                <c:ptCount val="27"/>
                <c:pt idx="0">
                  <c:v>0.61399999999999944</c:v>
                </c:pt>
                <c:pt idx="1">
                  <c:v>0.42874999999999996</c:v>
                </c:pt>
                <c:pt idx="2">
                  <c:v>0.45883796000000088</c:v>
                </c:pt>
                <c:pt idx="3">
                  <c:v>0.49099297520000146</c:v>
                </c:pt>
                <c:pt idx="4">
                  <c:v>0.52535477556800048</c:v>
                </c:pt>
                <c:pt idx="5">
                  <c:v>0.56207241726944124</c:v>
                </c:pt>
                <c:pt idx="6">
                  <c:v>0.60130489878300919</c:v>
                </c:pt>
                <c:pt idx="7">
                  <c:v>0.64322181737603579</c:v>
                </c:pt>
                <c:pt idx="8">
                  <c:v>0.6880040685646045</c:v>
                </c:pt>
                <c:pt idx="9">
                  <c:v>0.7358445913532492</c:v>
                </c:pt>
                <c:pt idx="10">
                  <c:v>0.78694916222970168</c:v>
                </c:pt>
                <c:pt idx="11">
                  <c:v>0.84153724108245498</c:v>
                </c:pt>
                <c:pt idx="12">
                  <c:v>0.89984287241351013</c:v>
                </c:pt>
                <c:pt idx="13">
                  <c:v>0.96211564543639494</c:v>
                </c:pt>
                <c:pt idx="14">
                  <c:v>1.0286217168813414</c:v>
                </c:pt>
                <c:pt idx="15">
                  <c:v>1.0996449005761062</c:v>
                </c:pt>
                <c:pt idx="16">
                  <c:v>1.1754878281334635</c:v>
                </c:pt>
                <c:pt idx="17">
                  <c:v>1.204275925176393</c:v>
                </c:pt>
                <c:pt idx="18">
                  <c:v>1.1428038332619843</c:v>
                </c:pt>
                <c:pt idx="19">
                  <c:v>1.0729659824532303</c:v>
                </c:pt>
                <c:pt idx="20">
                  <c:v>0.9974343330419061</c:v>
                </c:pt>
                <c:pt idx="21">
                  <c:v>0.91875527978299021</c:v>
                </c:pt>
                <c:pt idx="22">
                  <c:v>0.83921424532251931</c:v>
                </c:pt>
                <c:pt idx="23">
                  <c:v>0.76074966973548031</c:v>
                </c:pt>
                <c:pt idx="24">
                  <c:v>0.68491364178657999</c:v>
                </c:pt>
                <c:pt idx="25">
                  <c:v>0.61287111940032823</c:v>
                </c:pt>
                <c:pt idx="26">
                  <c:v>0.54542726682461962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FB-4C1F-85B7-72CD4ACE7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195462"/>
        <c:axId val="45687196"/>
      </c:lineChart>
      <c:catAx>
        <c:axId val="22195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5687196"/>
        <c:crosses val="autoZero"/>
        <c:auto val="1"/>
        <c:lblAlgn val="ctr"/>
        <c:lblOffset val="100"/>
        <c:noMultiLvlLbl val="0"/>
      </c:catAx>
      <c:valAx>
        <c:axId val="45687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22195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Colombia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Comparison!$AX$3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Comparison!$AX$4:$AX$30</c:f>
              <c:numCache>
                <c:formatCode>0.000</c:formatCode>
                <c:ptCount val="27"/>
                <c:pt idx="0">
                  <c:v>0.2</c:v>
                </c:pt>
                <c:pt idx="1">
                  <c:v>1.2</c:v>
                </c:pt>
                <c:pt idx="2">
                  <c:v>1.2</c:v>
                </c:pt>
                <c:pt idx="3">
                  <c:v>2.222</c:v>
                </c:pt>
                <c:pt idx="4">
                  <c:v>2.222</c:v>
                </c:pt>
                <c:pt idx="5">
                  <c:v>1.2</c:v>
                </c:pt>
                <c:pt idx="6">
                  <c:v>1.2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0-4F3C-B38A-06ACF7B88061}"/>
            </c:ext>
          </c:extLst>
        </c:ser>
        <c:ser>
          <c:idx val="1"/>
          <c:order val="1"/>
          <c:tx>
            <c:strRef>
              <c:f>Comparison!$AY$3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Comparison!$AY$4:$AY$30</c:f>
              <c:numCache>
                <c:formatCode>0.000</c:formatCode>
                <c:ptCount val="27"/>
                <c:pt idx="0">
                  <c:v>0.2</c:v>
                </c:pt>
                <c:pt idx="1">
                  <c:v>2.2000000000000002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0.30530000000000002</c:v>
                </c:pt>
                <c:pt idx="13">
                  <c:v>0.30530000000000002</c:v>
                </c:pt>
                <c:pt idx="14">
                  <c:v>0.30530000000000002</c:v>
                </c:pt>
                <c:pt idx="15">
                  <c:v>0.30530000000000002</c:v>
                </c:pt>
                <c:pt idx="16">
                  <c:v>0.30530000000000002</c:v>
                </c:pt>
                <c:pt idx="17">
                  <c:v>0.30530000000000002</c:v>
                </c:pt>
                <c:pt idx="18">
                  <c:v>0.30530000000000002</c:v>
                </c:pt>
                <c:pt idx="19">
                  <c:v>0.30530000000000002</c:v>
                </c:pt>
                <c:pt idx="20">
                  <c:v>0.30530000000000002</c:v>
                </c:pt>
                <c:pt idx="21">
                  <c:v>0.30530000000000002</c:v>
                </c:pt>
                <c:pt idx="22">
                  <c:v>0.30530000000000002</c:v>
                </c:pt>
                <c:pt idx="23">
                  <c:v>0.30530000000000002</c:v>
                </c:pt>
                <c:pt idx="24">
                  <c:v>0.30530000000000002</c:v>
                </c:pt>
                <c:pt idx="25">
                  <c:v>0.30530000000000002</c:v>
                </c:pt>
                <c:pt idx="26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0-4F3C-B38A-06ACF7B88061}"/>
            </c:ext>
          </c:extLst>
        </c:ser>
        <c:ser>
          <c:idx val="2"/>
          <c:order val="2"/>
          <c:tx>
            <c:strRef>
              <c:f>Comparison!$AZ$3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Comparison!$AZ$4:$AZ$30</c:f>
              <c:numCache>
                <c:formatCode>0.000</c:formatCode>
                <c:ptCount val="27"/>
                <c:pt idx="0">
                  <c:v>0.6765000000000001</c:v>
                </c:pt>
                <c:pt idx="1">
                  <c:v>0.62544134569741994</c:v>
                </c:pt>
                <c:pt idx="2">
                  <c:v>0.74066921402916963</c:v>
                </c:pt>
                <c:pt idx="3">
                  <c:v>0.87023613733498184</c:v>
                </c:pt>
                <c:pt idx="4">
                  <c:v>1.0131448496522315</c:v>
                </c:pt>
                <c:pt idx="5">
                  <c:v>1.1671458730243105</c:v>
                </c:pt>
                <c:pt idx="6">
                  <c:v>1.3284891307758968</c:v>
                </c:pt>
                <c:pt idx="7">
                  <c:v>1.4917991228591632</c:v>
                </c:pt>
                <c:pt idx="8">
                  <c:v>1.6501612094650311</c:v>
                </c:pt>
                <c:pt idx="9">
                  <c:v>1.795493420113248</c:v>
                </c:pt>
                <c:pt idx="10">
                  <c:v>1.9192309078577963</c:v>
                </c:pt>
                <c:pt idx="11">
                  <c:v>2.0132699317862413</c:v>
                </c:pt>
                <c:pt idx="12">
                  <c:v>2.0710246829463084</c:v>
                </c:pt>
                <c:pt idx="13">
                  <c:v>2.0883796383899949</c:v>
                </c:pt>
                <c:pt idx="14">
                  <c:v>2.0643105779441968</c:v>
                </c:pt>
                <c:pt idx="15">
                  <c:v>2.0010163158631027</c:v>
                </c:pt>
                <c:pt idx="16">
                  <c:v>1.9035317061372514</c:v>
                </c:pt>
                <c:pt idx="17">
                  <c:v>1.7789310148279132</c:v>
                </c:pt>
                <c:pt idx="18">
                  <c:v>1.6353249859913872</c:v>
                </c:pt>
                <c:pt idx="19">
                  <c:v>1.4808746487178364</c:v>
                </c:pt>
                <c:pt idx="20">
                  <c:v>1.3229962121521817</c:v>
                </c:pt>
                <c:pt idx="21">
                  <c:v>1.1678466081320675</c:v>
                </c:pt>
                <c:pt idx="22">
                  <c:v>1.0200955325860135</c:v>
                </c:pt>
                <c:pt idx="23">
                  <c:v>0.88293189843110753</c:v>
                </c:pt>
                <c:pt idx="24">
                  <c:v>0.75822735447627221</c:v>
                </c:pt>
                <c:pt idx="25">
                  <c:v>0.64678069466573984</c:v>
                </c:pt>
                <c:pt idx="26">
                  <c:v>0.54858315471948349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0-4F3C-B38A-06ACF7B88061}"/>
            </c:ext>
          </c:extLst>
        </c:ser>
        <c:ser>
          <c:idx val="3"/>
          <c:order val="3"/>
          <c:tx>
            <c:strRef>
              <c:f>Comparison!$BA$3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Comparison!$BA$4:$BA$30</c:f>
              <c:numCache>
                <c:formatCode>0.000</c:formatCode>
                <c:ptCount val="27"/>
                <c:pt idx="0">
                  <c:v>0.6765000000000001</c:v>
                </c:pt>
                <c:pt idx="1">
                  <c:v>0.52520000000000044</c:v>
                </c:pt>
                <c:pt idx="2">
                  <c:v>0.58305280000000048</c:v>
                </c:pt>
                <c:pt idx="3">
                  <c:v>0.64722416000000138</c:v>
                </c:pt>
                <c:pt idx="4">
                  <c:v>0.71839926399999987</c:v>
                </c:pt>
                <c:pt idx="5">
                  <c:v>0.79733714720000071</c:v>
                </c:pt>
                <c:pt idx="6">
                  <c:v>0.88487861440000282</c:v>
                </c:pt>
                <c:pt idx="7">
                  <c:v>0.98195500356800203</c:v>
                </c:pt>
                <c:pt idx="8">
                  <c:v>1.0895978844255991</c:v>
                </c:pt>
                <c:pt idx="9">
                  <c:v>1.2089497914190426</c:v>
                </c:pt>
                <c:pt idx="10">
                  <c:v>1.3412761009669136</c:v>
                </c:pt>
                <c:pt idx="11">
                  <c:v>1.487978174510171</c:v>
                </c:pt>
                <c:pt idx="12">
                  <c:v>1.6506079017524078</c:v>
                </c:pt>
                <c:pt idx="13">
                  <c:v>1.8308837926979922</c:v>
                </c:pt>
                <c:pt idx="14">
                  <c:v>2.030708782815172</c:v>
                </c:pt>
                <c:pt idx="15">
                  <c:v>2.2521899330288031</c:v>
                </c:pt>
                <c:pt idx="16">
                  <c:v>2.4976602254570093</c:v>
                </c:pt>
                <c:pt idx="17">
                  <c:v>2.7697026770405699</c:v>
                </c:pt>
                <c:pt idx="18">
                  <c:v>3.0711770166862777</c:v>
                </c:pt>
                <c:pt idx="19">
                  <c:v>3.4052491974907215</c:v>
                </c:pt>
                <c:pt idx="20">
                  <c:v>3.7754240442891653</c:v>
                </c:pt>
                <c:pt idx="21">
                  <c:v>4.1855813684724232</c:v>
                </c:pt>
                <c:pt idx="22">
                  <c:v>1.1647608295057299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B0-4F3C-B38A-06ACF7B88061}"/>
            </c:ext>
          </c:extLst>
        </c:ser>
        <c:ser>
          <c:idx val="4"/>
          <c:order val="4"/>
          <c:tx>
            <c:strRef>
              <c:f>Comparison!$BB$3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Comparison!$BB$4:$BB$30</c:f>
              <c:numCache>
                <c:formatCode>0.000</c:formatCode>
                <c:ptCount val="27"/>
                <c:pt idx="0">
                  <c:v>0.6765000000000001</c:v>
                </c:pt>
                <c:pt idx="1">
                  <c:v>0.62544134569741994</c:v>
                </c:pt>
                <c:pt idx="2">
                  <c:v>0.74066921402916963</c:v>
                </c:pt>
                <c:pt idx="3">
                  <c:v>0.87023613733498184</c:v>
                </c:pt>
                <c:pt idx="4">
                  <c:v>1.0131448496522315</c:v>
                </c:pt>
                <c:pt idx="5">
                  <c:v>1.1671458730243105</c:v>
                </c:pt>
                <c:pt idx="6">
                  <c:v>1.3284891307758968</c:v>
                </c:pt>
                <c:pt idx="7">
                  <c:v>1.4917991228591632</c:v>
                </c:pt>
                <c:pt idx="8">
                  <c:v>1.6501612094650311</c:v>
                </c:pt>
                <c:pt idx="9">
                  <c:v>1.795493420113248</c:v>
                </c:pt>
                <c:pt idx="10">
                  <c:v>1.9192309078577963</c:v>
                </c:pt>
                <c:pt idx="11">
                  <c:v>2.0132699317862413</c:v>
                </c:pt>
                <c:pt idx="12">
                  <c:v>2.0710246829463084</c:v>
                </c:pt>
                <c:pt idx="13">
                  <c:v>2.0883796383899949</c:v>
                </c:pt>
                <c:pt idx="14">
                  <c:v>2.0643105779441968</c:v>
                </c:pt>
                <c:pt idx="15">
                  <c:v>2.2521899330288031</c:v>
                </c:pt>
                <c:pt idx="16">
                  <c:v>2.4976602254570093</c:v>
                </c:pt>
                <c:pt idx="17">
                  <c:v>2.7697026770405699</c:v>
                </c:pt>
                <c:pt idx="18">
                  <c:v>3.0711770166862777</c:v>
                </c:pt>
                <c:pt idx="19">
                  <c:v>3.4052491974907215</c:v>
                </c:pt>
                <c:pt idx="20">
                  <c:v>3.7754240442891653</c:v>
                </c:pt>
                <c:pt idx="21">
                  <c:v>4.1855813684724232</c:v>
                </c:pt>
                <c:pt idx="22">
                  <c:v>1.1647608295057299</c:v>
                </c:pt>
                <c:pt idx="23">
                  <c:v>0.88293189843110753</c:v>
                </c:pt>
                <c:pt idx="24">
                  <c:v>0.75822735447627221</c:v>
                </c:pt>
                <c:pt idx="25">
                  <c:v>0.64678069466573984</c:v>
                </c:pt>
                <c:pt idx="26">
                  <c:v>0.54858315471948349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B0-4F3C-B38A-06ACF7B88061}"/>
            </c:ext>
          </c:extLst>
        </c:ser>
        <c:ser>
          <c:idx val="5"/>
          <c:order val="5"/>
          <c:tx>
            <c:strRef>
              <c:f>Comparison!$BC$3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Comparison!$BC$4:$BC$30</c:f>
              <c:numCache>
                <c:formatCode>0.000</c:formatCode>
                <c:ptCount val="27"/>
                <c:pt idx="0">
                  <c:v>0.6765000000000001</c:v>
                </c:pt>
                <c:pt idx="1">
                  <c:v>0.52520000000000044</c:v>
                </c:pt>
                <c:pt idx="2">
                  <c:v>0.58305280000000048</c:v>
                </c:pt>
                <c:pt idx="3">
                  <c:v>0.64722416000000138</c:v>
                </c:pt>
                <c:pt idx="4">
                  <c:v>0.71839926399999987</c:v>
                </c:pt>
                <c:pt idx="5">
                  <c:v>0.79733714720000071</c:v>
                </c:pt>
                <c:pt idx="6">
                  <c:v>0.88487861440000282</c:v>
                </c:pt>
                <c:pt idx="7">
                  <c:v>0.98195500356800203</c:v>
                </c:pt>
                <c:pt idx="8">
                  <c:v>1.0895978844255991</c:v>
                </c:pt>
                <c:pt idx="9">
                  <c:v>1.2089497914190426</c:v>
                </c:pt>
                <c:pt idx="10">
                  <c:v>1.3412761009669136</c:v>
                </c:pt>
                <c:pt idx="11">
                  <c:v>1.487978174510171</c:v>
                </c:pt>
                <c:pt idx="12">
                  <c:v>1.6506079017524078</c:v>
                </c:pt>
                <c:pt idx="13">
                  <c:v>1.8308837926979922</c:v>
                </c:pt>
                <c:pt idx="14">
                  <c:v>2.030708782815172</c:v>
                </c:pt>
                <c:pt idx="15">
                  <c:v>2.0010163158631027</c:v>
                </c:pt>
                <c:pt idx="16">
                  <c:v>1.9035317061372514</c:v>
                </c:pt>
                <c:pt idx="17">
                  <c:v>1.7789310148279132</c:v>
                </c:pt>
                <c:pt idx="18">
                  <c:v>1.6353249859913872</c:v>
                </c:pt>
                <c:pt idx="19">
                  <c:v>1.4808746487178364</c:v>
                </c:pt>
                <c:pt idx="20">
                  <c:v>1.3229962121521817</c:v>
                </c:pt>
                <c:pt idx="21">
                  <c:v>1.1678466081320675</c:v>
                </c:pt>
                <c:pt idx="22">
                  <c:v>1.0200955325860135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B0-4F3C-B38A-06ACF7B88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605199"/>
        <c:axId val="15947229"/>
      </c:lineChart>
      <c:catAx>
        <c:axId val="21605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15947229"/>
        <c:crosses val="autoZero"/>
        <c:auto val="1"/>
        <c:lblAlgn val="ctr"/>
        <c:lblOffset val="100"/>
        <c:noMultiLvlLbl val="0"/>
      </c:catAx>
      <c:valAx>
        <c:axId val="15947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21605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Colombia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Comparison!$BD$3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Comparison!$BD$4:$BD$30</c:f>
              <c:numCache>
                <c:formatCode>0.000</c:formatCode>
                <c:ptCount val="27"/>
                <c:pt idx="0">
                  <c:v>0.2</c:v>
                </c:pt>
                <c:pt idx="1">
                  <c:v>0.49690000000000001</c:v>
                </c:pt>
                <c:pt idx="2">
                  <c:v>0.1</c:v>
                </c:pt>
                <c:pt idx="3">
                  <c:v>0.76149999999999995</c:v>
                </c:pt>
                <c:pt idx="4">
                  <c:v>0.46860000000000002</c:v>
                </c:pt>
                <c:pt idx="5">
                  <c:v>0.3</c:v>
                </c:pt>
                <c:pt idx="6">
                  <c:v>0.35549999999999998</c:v>
                </c:pt>
                <c:pt idx="7">
                  <c:v>0.5</c:v>
                </c:pt>
                <c:pt idx="8">
                  <c:v>0.5</c:v>
                </c:pt>
                <c:pt idx="9">
                  <c:v>0.72519999999999996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AAA-A266-2FC4F2A88770}"/>
            </c:ext>
          </c:extLst>
        </c:ser>
        <c:ser>
          <c:idx val="1"/>
          <c:order val="1"/>
          <c:tx>
            <c:strRef>
              <c:f>Comparison!$BE$3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Comparison!$BE$4:$BE$30</c:f>
              <c:numCache>
                <c:formatCode>0.000</c:formatCode>
                <c:ptCount val="27"/>
                <c:pt idx="0">
                  <c:v>0.2</c:v>
                </c:pt>
                <c:pt idx="1">
                  <c:v>0.46400000000000002</c:v>
                </c:pt>
                <c:pt idx="2">
                  <c:v>0.46400000000000002</c:v>
                </c:pt>
                <c:pt idx="3">
                  <c:v>0.46400000000000002</c:v>
                </c:pt>
                <c:pt idx="4">
                  <c:v>0.46400000000000002</c:v>
                </c:pt>
                <c:pt idx="5">
                  <c:v>0.46400000000000002</c:v>
                </c:pt>
                <c:pt idx="6">
                  <c:v>0.46400000000000002</c:v>
                </c:pt>
                <c:pt idx="7">
                  <c:v>0.46400000000000002</c:v>
                </c:pt>
                <c:pt idx="8">
                  <c:v>0.46400000000000002</c:v>
                </c:pt>
                <c:pt idx="9">
                  <c:v>0.46400000000000002</c:v>
                </c:pt>
                <c:pt idx="10">
                  <c:v>0.46400000000000002</c:v>
                </c:pt>
                <c:pt idx="11">
                  <c:v>0.46400000000000002</c:v>
                </c:pt>
                <c:pt idx="12">
                  <c:v>4.7600000000000003E-2</c:v>
                </c:pt>
                <c:pt idx="13">
                  <c:v>4.7600000000000003E-2</c:v>
                </c:pt>
                <c:pt idx="14">
                  <c:v>4.7600000000000003E-2</c:v>
                </c:pt>
                <c:pt idx="15">
                  <c:v>4.7600000000000003E-2</c:v>
                </c:pt>
                <c:pt idx="16">
                  <c:v>4.7600000000000003E-2</c:v>
                </c:pt>
                <c:pt idx="17">
                  <c:v>4.7600000000000003E-2</c:v>
                </c:pt>
                <c:pt idx="18">
                  <c:v>4.7600000000000003E-2</c:v>
                </c:pt>
                <c:pt idx="19">
                  <c:v>4.7600000000000003E-2</c:v>
                </c:pt>
                <c:pt idx="20">
                  <c:v>4.7600000000000003E-2</c:v>
                </c:pt>
                <c:pt idx="21">
                  <c:v>4.7600000000000003E-2</c:v>
                </c:pt>
                <c:pt idx="22">
                  <c:v>4.7600000000000003E-2</c:v>
                </c:pt>
                <c:pt idx="23">
                  <c:v>4.7600000000000003E-2</c:v>
                </c:pt>
                <c:pt idx="24">
                  <c:v>4.7600000000000003E-2</c:v>
                </c:pt>
                <c:pt idx="25">
                  <c:v>4.7600000000000003E-2</c:v>
                </c:pt>
                <c:pt idx="26">
                  <c:v>4.7600000000000003E-2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AAA-A266-2FC4F2A88770}"/>
            </c:ext>
          </c:extLst>
        </c:ser>
        <c:ser>
          <c:idx val="2"/>
          <c:order val="2"/>
          <c:tx>
            <c:strRef>
              <c:f>Comparison!$BF$3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Comparison!$BF$4:$BF$30</c:f>
              <c:numCache>
                <c:formatCode>0.000</c:formatCode>
                <c:ptCount val="27"/>
                <c:pt idx="0">
                  <c:v>0</c:v>
                </c:pt>
                <c:pt idx="1">
                  <c:v>0.23365655983142061</c:v>
                </c:pt>
                <c:pt idx="2">
                  <c:v>0.27830582425798867</c:v>
                </c:pt>
                <c:pt idx="3">
                  <c:v>0.32776008081928687</c:v>
                </c:pt>
                <c:pt idx="4">
                  <c:v>0.38094873897938214</c:v>
                </c:pt>
                <c:pt idx="5">
                  <c:v>0.43610624131560538</c:v>
                </c:pt>
                <c:pt idx="6">
                  <c:v>0.49074351226189511</c:v>
                </c:pt>
                <c:pt idx="7">
                  <c:v>0.54175064274301854</c:v>
                </c:pt>
                <c:pt idx="8">
                  <c:v>0.58566420771641525</c:v>
                </c:pt>
                <c:pt idx="9">
                  <c:v>0.61909083873781645</c:v>
                </c:pt>
                <c:pt idx="10">
                  <c:v>0.63921999324824497</c:v>
                </c:pt>
                <c:pt idx="11">
                  <c:v>0.64430662449425224</c:v>
                </c:pt>
                <c:pt idx="12">
                  <c:v>0.63398874662188154</c:v>
                </c:pt>
                <c:pt idx="13">
                  <c:v>0.60934335358096281</c:v>
                </c:pt>
                <c:pt idx="14">
                  <c:v>0.57266576094302701</c:v>
                </c:pt>
                <c:pt idx="15">
                  <c:v>0.52704508714154252</c:v>
                </c:pt>
                <c:pt idx="16">
                  <c:v>0.47586178265100731</c:v>
                </c:pt>
                <c:pt idx="17">
                  <c:v>0.42233314237825509</c:v>
                </c:pt>
                <c:pt idx="18">
                  <c:v>0.36919042811386066</c:v>
                </c:pt>
                <c:pt idx="19">
                  <c:v>0.31851431444823425</c:v>
                </c:pt>
                <c:pt idx="20">
                  <c:v>0.27170919957539474</c:v>
                </c:pt>
                <c:pt idx="21">
                  <c:v>0.22957313729684578</c:v>
                </c:pt>
                <c:pt idx="22">
                  <c:v>0.19241708975216118</c:v>
                </c:pt>
                <c:pt idx="23">
                  <c:v>0.1601966220834089</c:v>
                </c:pt>
                <c:pt idx="24">
                  <c:v>0.13263264640240238</c:v>
                </c:pt>
                <c:pt idx="25">
                  <c:v>0.10930993923763263</c:v>
                </c:pt>
                <c:pt idx="26">
                  <c:v>8.9750694537858236E-2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03-4AAA-A266-2FC4F2A88770}"/>
            </c:ext>
          </c:extLst>
        </c:ser>
        <c:ser>
          <c:idx val="3"/>
          <c:order val="3"/>
          <c:tx>
            <c:strRef>
              <c:f>Comparison!$BG$3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Comparison!$BG$4:$BG$30</c:f>
              <c:numCache>
                <c:formatCode>0.000</c:formatCode>
                <c:ptCount val="27"/>
                <c:pt idx="0">
                  <c:v>0</c:v>
                </c:pt>
                <c:pt idx="1">
                  <c:v>7.0000000000000053E-3</c:v>
                </c:pt>
                <c:pt idx="2">
                  <c:v>7.7660000000000064E-3</c:v>
                </c:pt>
                <c:pt idx="3">
                  <c:v>8.615200000000019E-3</c:v>
                </c:pt>
                <c:pt idx="4">
                  <c:v>9.5565799999999916E-3</c:v>
                </c:pt>
                <c:pt idx="5">
                  <c:v>1.0600084000000011E-2</c:v>
                </c:pt>
                <c:pt idx="6">
                  <c:v>1.1756723000000007E-2</c:v>
                </c:pt>
                <c:pt idx="7">
                  <c:v>1.3038688960000036E-2</c:v>
                </c:pt>
                <c:pt idx="8">
                  <c:v>1.4459480881999998E-2</c:v>
                </c:pt>
                <c:pt idx="9">
                  <c:v>1.6034044298800017E-2</c:v>
                </c:pt>
                <c:pt idx="10">
                  <c:v>1.7778925590140049E-2</c:v>
                </c:pt>
                <c:pt idx="11">
                  <c:v>1.9712442696760032E-2</c:v>
                </c:pt>
                <c:pt idx="12">
                  <c:v>2.1854873968802587E-2</c:v>
                </c:pt>
                <c:pt idx="13">
                  <c:v>2.4228667068286143E-2</c:v>
                </c:pt>
                <c:pt idx="14">
                  <c:v>2.6858670047978438E-2</c:v>
                </c:pt>
                <c:pt idx="15">
                  <c:v>2.9772386952926146E-2</c:v>
                </c:pt>
                <c:pt idx="16">
                  <c:v>3.3000260538383668E-2</c:v>
                </c:pt>
                <c:pt idx="17">
                  <c:v>3.6575984971403477E-2</c:v>
                </c:pt>
                <c:pt idx="18">
                  <c:v>4.0536851685643423E-2</c:v>
                </c:pt>
                <c:pt idx="19">
                  <c:v>4.4924131893017437E-2</c:v>
                </c:pt>
                <c:pt idx="20">
                  <c:v>4.978349962500949E-2</c:v>
                </c:pt>
                <c:pt idx="21">
                  <c:v>5.516549958447E-2</c:v>
                </c:pt>
                <c:pt idx="22">
                  <c:v>6.112606453957261E-2</c:v>
                </c:pt>
                <c:pt idx="23">
                  <c:v>6.772708748985079E-2</c:v>
                </c:pt>
                <c:pt idx="24">
                  <c:v>7.5037054384788984E-2</c:v>
                </c:pt>
                <c:pt idx="25">
                  <c:v>8.3131743783816603E-2</c:v>
                </c:pt>
                <c:pt idx="26">
                  <c:v>9.2095000518801221E-2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03-4AAA-A266-2FC4F2A88770}"/>
            </c:ext>
          </c:extLst>
        </c:ser>
        <c:ser>
          <c:idx val="4"/>
          <c:order val="4"/>
          <c:tx>
            <c:strRef>
              <c:f>Comparison!$BH$3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Comparison!$BH$4:$BH$30</c:f>
              <c:numCache>
                <c:formatCode>0.000</c:formatCode>
                <c:ptCount val="27"/>
                <c:pt idx="0">
                  <c:v>0</c:v>
                </c:pt>
                <c:pt idx="1">
                  <c:v>0.23365655983142061</c:v>
                </c:pt>
                <c:pt idx="2">
                  <c:v>0.27830582425798867</c:v>
                </c:pt>
                <c:pt idx="3">
                  <c:v>0.32776008081928687</c:v>
                </c:pt>
                <c:pt idx="4">
                  <c:v>0.38094873897938214</c:v>
                </c:pt>
                <c:pt idx="5">
                  <c:v>0.43610624131560538</c:v>
                </c:pt>
                <c:pt idx="6">
                  <c:v>0.49074351226189511</c:v>
                </c:pt>
                <c:pt idx="7">
                  <c:v>0.54175064274301854</c:v>
                </c:pt>
                <c:pt idx="8">
                  <c:v>0.58566420771641525</c:v>
                </c:pt>
                <c:pt idx="9">
                  <c:v>0.61909083873781645</c:v>
                </c:pt>
                <c:pt idx="10">
                  <c:v>0.63921999324824497</c:v>
                </c:pt>
                <c:pt idx="11">
                  <c:v>0.64430662449425224</c:v>
                </c:pt>
                <c:pt idx="12">
                  <c:v>0.63398874662188154</c:v>
                </c:pt>
                <c:pt idx="13">
                  <c:v>0.60934335358096281</c:v>
                </c:pt>
                <c:pt idx="14">
                  <c:v>0.57266576094302701</c:v>
                </c:pt>
                <c:pt idx="15">
                  <c:v>0.52704508714154252</c:v>
                </c:pt>
                <c:pt idx="16">
                  <c:v>0.47586178265100731</c:v>
                </c:pt>
                <c:pt idx="17">
                  <c:v>0.42233314237825509</c:v>
                </c:pt>
                <c:pt idx="18">
                  <c:v>0.36919042811386066</c:v>
                </c:pt>
                <c:pt idx="19">
                  <c:v>0.31851431444823425</c:v>
                </c:pt>
                <c:pt idx="20">
                  <c:v>0.27170919957539474</c:v>
                </c:pt>
                <c:pt idx="21">
                  <c:v>0.22957313729684578</c:v>
                </c:pt>
                <c:pt idx="22">
                  <c:v>0.19241708975216118</c:v>
                </c:pt>
                <c:pt idx="23">
                  <c:v>0.1601966220834089</c:v>
                </c:pt>
                <c:pt idx="24">
                  <c:v>0.13263264640240238</c:v>
                </c:pt>
                <c:pt idx="25">
                  <c:v>0.10930993923763263</c:v>
                </c:pt>
                <c:pt idx="26">
                  <c:v>9.2095000518801221E-2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03-4AAA-A266-2FC4F2A88770}"/>
            </c:ext>
          </c:extLst>
        </c:ser>
        <c:ser>
          <c:idx val="5"/>
          <c:order val="5"/>
          <c:tx>
            <c:strRef>
              <c:f>Comparison!$BI$3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Comparison!$BI$4:$BI$30</c:f>
              <c:numCache>
                <c:formatCode>0.000</c:formatCode>
                <c:ptCount val="27"/>
                <c:pt idx="0">
                  <c:v>0</c:v>
                </c:pt>
                <c:pt idx="1">
                  <c:v>7.0000000000000053E-3</c:v>
                </c:pt>
                <c:pt idx="2">
                  <c:v>7.7660000000000064E-3</c:v>
                </c:pt>
                <c:pt idx="3">
                  <c:v>8.615200000000019E-3</c:v>
                </c:pt>
                <c:pt idx="4">
                  <c:v>9.5565799999999916E-3</c:v>
                </c:pt>
                <c:pt idx="5">
                  <c:v>1.0600084000000011E-2</c:v>
                </c:pt>
                <c:pt idx="6">
                  <c:v>1.1756723000000007E-2</c:v>
                </c:pt>
                <c:pt idx="7">
                  <c:v>1.3038688960000036E-2</c:v>
                </c:pt>
                <c:pt idx="8">
                  <c:v>1.4459480881999998E-2</c:v>
                </c:pt>
                <c:pt idx="9">
                  <c:v>1.6034044298800017E-2</c:v>
                </c:pt>
                <c:pt idx="10">
                  <c:v>1.7778925590140049E-2</c:v>
                </c:pt>
                <c:pt idx="11">
                  <c:v>1.9712442696760032E-2</c:v>
                </c:pt>
                <c:pt idx="12">
                  <c:v>2.1854873968802587E-2</c:v>
                </c:pt>
                <c:pt idx="13">
                  <c:v>2.4228667068286143E-2</c:v>
                </c:pt>
                <c:pt idx="14">
                  <c:v>2.6858670047978438E-2</c:v>
                </c:pt>
                <c:pt idx="15">
                  <c:v>2.9772386952926146E-2</c:v>
                </c:pt>
                <c:pt idx="16">
                  <c:v>3.3000260538383668E-2</c:v>
                </c:pt>
                <c:pt idx="17">
                  <c:v>3.6575984971403477E-2</c:v>
                </c:pt>
                <c:pt idx="18">
                  <c:v>4.0536851685643423E-2</c:v>
                </c:pt>
                <c:pt idx="19">
                  <c:v>4.4924131893017437E-2</c:v>
                </c:pt>
                <c:pt idx="20">
                  <c:v>4.978349962500949E-2</c:v>
                </c:pt>
                <c:pt idx="21">
                  <c:v>5.516549958447E-2</c:v>
                </c:pt>
                <c:pt idx="22">
                  <c:v>6.112606453957261E-2</c:v>
                </c:pt>
                <c:pt idx="23">
                  <c:v>6.772708748985079E-2</c:v>
                </c:pt>
                <c:pt idx="24">
                  <c:v>7.5037054384788984E-2</c:v>
                </c:pt>
                <c:pt idx="25">
                  <c:v>8.3131743783816603E-2</c:v>
                </c:pt>
                <c:pt idx="26">
                  <c:v>8.9750694537858236E-2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03-4AAA-A266-2FC4F2A8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603524"/>
        <c:axId val="69641968"/>
      </c:lineChart>
      <c:catAx>
        <c:axId val="56603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69641968"/>
        <c:crosses val="autoZero"/>
        <c:auto val="1"/>
        <c:lblAlgn val="ctr"/>
        <c:lblOffset val="100"/>
        <c:noMultiLvlLbl val="0"/>
      </c:catAx>
      <c:valAx>
        <c:axId val="69641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56603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Peru Utility solar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Comparison!$BJ$3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Comparison!$BJ$4:$BJ$30</c:f>
              <c:numCache>
                <c:formatCode>0.000</c:formatCode>
                <c:ptCount val="27"/>
                <c:pt idx="0">
                  <c:v>0.1638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1-4294-BB87-D45BFF1526D6}"/>
            </c:ext>
          </c:extLst>
        </c:ser>
        <c:ser>
          <c:idx val="1"/>
          <c:order val="1"/>
          <c:tx>
            <c:strRef>
              <c:f>Comparison!$BK$3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Comparison!$BK$4:$BK$30</c:f>
              <c:numCache>
                <c:formatCode>0.000</c:formatCode>
                <c:ptCount val="27"/>
                <c:pt idx="0">
                  <c:v>0.1638</c:v>
                </c:pt>
                <c:pt idx="1">
                  <c:v>0.26240000000000002</c:v>
                </c:pt>
                <c:pt idx="2">
                  <c:v>0.26240000000000002</c:v>
                </c:pt>
                <c:pt idx="3">
                  <c:v>0.26240000000000002</c:v>
                </c:pt>
                <c:pt idx="4">
                  <c:v>0.26240000000000002</c:v>
                </c:pt>
                <c:pt idx="5">
                  <c:v>0.26240000000000002</c:v>
                </c:pt>
                <c:pt idx="6">
                  <c:v>0.26240000000000002</c:v>
                </c:pt>
                <c:pt idx="7">
                  <c:v>0.26240000000000002</c:v>
                </c:pt>
                <c:pt idx="8">
                  <c:v>0.26240000000000002</c:v>
                </c:pt>
                <c:pt idx="9">
                  <c:v>0.26240000000000002</c:v>
                </c:pt>
                <c:pt idx="10">
                  <c:v>0.26240000000000002</c:v>
                </c:pt>
                <c:pt idx="11">
                  <c:v>0.26240000000000002</c:v>
                </c:pt>
                <c:pt idx="12">
                  <c:v>0.21149999999999999</c:v>
                </c:pt>
                <c:pt idx="13">
                  <c:v>0.21149999999999999</c:v>
                </c:pt>
                <c:pt idx="14">
                  <c:v>0.21149999999999999</c:v>
                </c:pt>
                <c:pt idx="15">
                  <c:v>0.21149999999999999</c:v>
                </c:pt>
                <c:pt idx="16">
                  <c:v>0.21149999999999999</c:v>
                </c:pt>
                <c:pt idx="17">
                  <c:v>0.21149999999999999</c:v>
                </c:pt>
                <c:pt idx="18">
                  <c:v>0.21149999999999999</c:v>
                </c:pt>
                <c:pt idx="19">
                  <c:v>0.21149999999999999</c:v>
                </c:pt>
                <c:pt idx="20">
                  <c:v>0.21149999999999999</c:v>
                </c:pt>
                <c:pt idx="21">
                  <c:v>0.21149999999999999</c:v>
                </c:pt>
                <c:pt idx="22">
                  <c:v>0.21149999999999999</c:v>
                </c:pt>
                <c:pt idx="23">
                  <c:v>0.21149999999999999</c:v>
                </c:pt>
                <c:pt idx="24">
                  <c:v>0.21149999999999999</c:v>
                </c:pt>
                <c:pt idx="25">
                  <c:v>0.21149999999999999</c:v>
                </c:pt>
                <c:pt idx="26">
                  <c:v>0.21149999999999999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1-4294-BB87-D45BFF1526D6}"/>
            </c:ext>
          </c:extLst>
        </c:ser>
        <c:ser>
          <c:idx val="2"/>
          <c:order val="2"/>
          <c:tx>
            <c:strRef>
              <c:f>Comparison!$BL$3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Comparison!$BL$4:$BL$30</c:f>
              <c:numCache>
                <c:formatCode>0.000</c:formatCode>
                <c:ptCount val="27"/>
                <c:pt idx="0">
                  <c:v>8.049999999999996E-2</c:v>
                </c:pt>
                <c:pt idx="1">
                  <c:v>0.16545969828613222</c:v>
                </c:pt>
                <c:pt idx="2">
                  <c:v>0.19258718977828859</c:v>
                </c:pt>
                <c:pt idx="3">
                  <c:v>0.22269922457873392</c:v>
                </c:pt>
                <c:pt idx="4">
                  <c:v>0.25559877945219933</c:v>
                </c:pt>
                <c:pt idx="5">
                  <c:v>0.29087621651707146</c:v>
                </c:pt>
                <c:pt idx="6">
                  <c:v>0.32787049880420965</c:v>
                </c:pt>
                <c:pt idx="7">
                  <c:v>0.36564631315639518</c:v>
                </c:pt>
                <c:pt idx="8">
                  <c:v>0.40299803299681602</c:v>
                </c:pt>
                <c:pt idx="9">
                  <c:v>0.43849065621275113</c:v>
                </c:pt>
                <c:pt idx="10">
                  <c:v>0.47054372836998376</c:v>
                </c:pt>
                <c:pt idx="11">
                  <c:v>0.49755649440598593</c:v>
                </c:pt>
                <c:pt idx="12">
                  <c:v>0.51806220146666249</c:v>
                </c:pt>
                <c:pt idx="13">
                  <c:v>0.5308893162306787</c:v>
                </c:pt>
                <c:pt idx="14">
                  <c:v>0.53530113880323349</c:v>
                </c:pt>
                <c:pt idx="15">
                  <c:v>0.53108611155939978</c:v>
                </c:pt>
                <c:pt idx="16">
                  <c:v>0.51858000825412343</c:v>
                </c:pt>
                <c:pt idx="17">
                  <c:v>0.49861593943751314</c:v>
                </c:pt>
                <c:pt idx="18">
                  <c:v>0.4724140021088658</c:v>
                </c:pt>
                <c:pt idx="19">
                  <c:v>0.44143426157743715</c:v>
                </c:pt>
                <c:pt idx="20">
                  <c:v>0.4072212583840909</c:v>
                </c:pt>
                <c:pt idx="21">
                  <c:v>0.37126512364594427</c:v>
                </c:pt>
                <c:pt idx="22">
                  <c:v>0.33489605937277173</c:v>
                </c:pt>
                <c:pt idx="23">
                  <c:v>0.29921893043655567</c:v>
                </c:pt>
                <c:pt idx="24">
                  <c:v>0.26508608605444184</c:v>
                </c:pt>
                <c:pt idx="25">
                  <c:v>0.23310095835969791</c:v>
                </c:pt>
                <c:pt idx="26">
                  <c:v>0.20364270558293357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91-4294-BB87-D45BFF1526D6}"/>
            </c:ext>
          </c:extLst>
        </c:ser>
        <c:ser>
          <c:idx val="3"/>
          <c:order val="3"/>
          <c:tx>
            <c:strRef>
              <c:f>Comparison!$BM$3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Comparison!$BM$4:$BM$30</c:f>
              <c:numCache>
                <c:formatCode>0.000</c:formatCode>
                <c:ptCount val="27"/>
                <c:pt idx="0">
                  <c:v>8.049999999999996E-2</c:v>
                </c:pt>
                <c:pt idx="1">
                  <c:v>8.4500000000000075E-2</c:v>
                </c:pt>
                <c:pt idx="2">
                  <c:v>9.3808000000000155E-2</c:v>
                </c:pt>
                <c:pt idx="3">
                  <c:v>0.10413260000000014</c:v>
                </c:pt>
                <c:pt idx="4">
                  <c:v>0.11558403999999987</c:v>
                </c:pt>
                <c:pt idx="5">
                  <c:v>0.12828444200000022</c:v>
                </c:pt>
                <c:pt idx="6">
                  <c:v>0.1423690840000004</c:v>
                </c:pt>
                <c:pt idx="7">
                  <c:v>0.15798780998000039</c:v>
                </c:pt>
                <c:pt idx="8">
                  <c:v>0.1753065903159996</c:v>
                </c:pt>
                <c:pt idx="9">
                  <c:v>0.19450924861940042</c:v>
                </c:pt>
                <c:pt idx="10">
                  <c:v>0.21579937268032007</c:v>
                </c:pt>
                <c:pt idx="11">
                  <c:v>0.23940242906723111</c:v>
                </c:pt>
                <c:pt idx="12">
                  <c:v>0.26556810300471895</c:v>
                </c:pt>
                <c:pt idx="13">
                  <c:v>0.29457288743903315</c:v>
                </c:pt>
                <c:pt idx="14">
                  <c:v>0.32672294773016408</c:v>
                </c:pt>
                <c:pt idx="15">
                  <c:v>0.36235729120512861</c:v>
                </c:pt>
                <c:pt idx="16">
                  <c:v>0.40185127389778602</c:v>
                </c:pt>
                <c:pt idx="17">
                  <c:v>0.44562048021692396</c:v>
                </c:pt>
                <c:pt idx="18">
                  <c:v>0.49412501506090972</c:v>
                </c:pt>
                <c:pt idx="19">
                  <c:v>0.54787425207152685</c:v>
                </c:pt>
                <c:pt idx="20">
                  <c:v>0.60743208633365453</c:v>
                </c:pt>
                <c:pt idx="21">
                  <c:v>0.67342274492749488</c:v>
                </c:pt>
                <c:pt idx="22">
                  <c:v>0.74653721437676501</c:v>
                </c:pt>
                <c:pt idx="23">
                  <c:v>0.82754035026661543</c:v>
                </c:pt>
                <c:pt idx="24">
                  <c:v>0.91727874119066533</c:v>
                </c:pt>
                <c:pt idx="25">
                  <c:v>1.0166894067968644</c:v>
                </c:pt>
                <c:pt idx="26">
                  <c:v>1.1268094181123929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91-4294-BB87-D45BFF1526D6}"/>
            </c:ext>
          </c:extLst>
        </c:ser>
        <c:ser>
          <c:idx val="4"/>
          <c:order val="4"/>
          <c:tx>
            <c:strRef>
              <c:f>Comparison!$BN$3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Comparison!$BN$4:$BN$30</c:f>
              <c:numCache>
                <c:formatCode>0.000</c:formatCode>
                <c:ptCount val="27"/>
                <c:pt idx="0">
                  <c:v>8.049999999999996E-2</c:v>
                </c:pt>
                <c:pt idx="1">
                  <c:v>0.16545969828613222</c:v>
                </c:pt>
                <c:pt idx="2">
                  <c:v>0.19258718977828859</c:v>
                </c:pt>
                <c:pt idx="3">
                  <c:v>0.22269922457873392</c:v>
                </c:pt>
                <c:pt idx="4">
                  <c:v>0.25559877945219933</c:v>
                </c:pt>
                <c:pt idx="5">
                  <c:v>0.29087621651707146</c:v>
                </c:pt>
                <c:pt idx="6">
                  <c:v>0.32787049880420965</c:v>
                </c:pt>
                <c:pt idx="7">
                  <c:v>0.36564631315639518</c:v>
                </c:pt>
                <c:pt idx="8">
                  <c:v>0.40299803299681602</c:v>
                </c:pt>
                <c:pt idx="9">
                  <c:v>0.43849065621275113</c:v>
                </c:pt>
                <c:pt idx="10">
                  <c:v>0.47054372836998376</c:v>
                </c:pt>
                <c:pt idx="11">
                  <c:v>0.49755649440598593</c:v>
                </c:pt>
                <c:pt idx="12">
                  <c:v>0.51806220146666249</c:v>
                </c:pt>
                <c:pt idx="13">
                  <c:v>0.5308893162306787</c:v>
                </c:pt>
                <c:pt idx="14">
                  <c:v>0.53530113880323349</c:v>
                </c:pt>
                <c:pt idx="15">
                  <c:v>0.53108611155939978</c:v>
                </c:pt>
                <c:pt idx="16">
                  <c:v>0.51858000825412343</c:v>
                </c:pt>
                <c:pt idx="17">
                  <c:v>0.49861593943751314</c:v>
                </c:pt>
                <c:pt idx="18">
                  <c:v>0.49412501506090972</c:v>
                </c:pt>
                <c:pt idx="19">
                  <c:v>0.54787425207152685</c:v>
                </c:pt>
                <c:pt idx="20">
                  <c:v>0.60743208633365453</c:v>
                </c:pt>
                <c:pt idx="21">
                  <c:v>0.67342274492749488</c:v>
                </c:pt>
                <c:pt idx="22">
                  <c:v>0.74653721437676501</c:v>
                </c:pt>
                <c:pt idx="23">
                  <c:v>0.82754035026661543</c:v>
                </c:pt>
                <c:pt idx="24">
                  <c:v>0.91727874119066533</c:v>
                </c:pt>
                <c:pt idx="25">
                  <c:v>1.0166894067968644</c:v>
                </c:pt>
                <c:pt idx="26">
                  <c:v>1.1268094181123929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91-4294-BB87-D45BFF1526D6}"/>
            </c:ext>
          </c:extLst>
        </c:ser>
        <c:ser>
          <c:idx val="5"/>
          <c:order val="5"/>
          <c:tx>
            <c:strRef>
              <c:f>Comparison!$BO$3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Comparison!$BO$4:$BO$30</c:f>
              <c:numCache>
                <c:formatCode>0.000</c:formatCode>
                <c:ptCount val="27"/>
                <c:pt idx="0">
                  <c:v>8.049999999999996E-2</c:v>
                </c:pt>
                <c:pt idx="1">
                  <c:v>8.4500000000000075E-2</c:v>
                </c:pt>
                <c:pt idx="2">
                  <c:v>9.3808000000000155E-2</c:v>
                </c:pt>
                <c:pt idx="3">
                  <c:v>0.10413260000000014</c:v>
                </c:pt>
                <c:pt idx="4">
                  <c:v>0.11558403999999987</c:v>
                </c:pt>
                <c:pt idx="5">
                  <c:v>0.12828444200000022</c:v>
                </c:pt>
                <c:pt idx="6">
                  <c:v>0.1423690840000004</c:v>
                </c:pt>
                <c:pt idx="7">
                  <c:v>0.15798780998000039</c:v>
                </c:pt>
                <c:pt idx="8">
                  <c:v>0.1753065903159996</c:v>
                </c:pt>
                <c:pt idx="9">
                  <c:v>0.19450924861940042</c:v>
                </c:pt>
                <c:pt idx="10">
                  <c:v>0.21579937268032007</c:v>
                </c:pt>
                <c:pt idx="11">
                  <c:v>0.23940242906723111</c:v>
                </c:pt>
                <c:pt idx="12">
                  <c:v>0.26556810300471895</c:v>
                </c:pt>
                <c:pt idx="13">
                  <c:v>0.29457288743903315</c:v>
                </c:pt>
                <c:pt idx="14">
                  <c:v>0.32672294773016408</c:v>
                </c:pt>
                <c:pt idx="15">
                  <c:v>0.36235729120512861</c:v>
                </c:pt>
                <c:pt idx="16">
                  <c:v>0.40185127389778602</c:v>
                </c:pt>
                <c:pt idx="17">
                  <c:v>0.44562048021692396</c:v>
                </c:pt>
                <c:pt idx="18">
                  <c:v>0.4724140021088658</c:v>
                </c:pt>
                <c:pt idx="19">
                  <c:v>0.44143426157743715</c:v>
                </c:pt>
                <c:pt idx="20">
                  <c:v>0.4072212583840909</c:v>
                </c:pt>
                <c:pt idx="21">
                  <c:v>0.37126512364594427</c:v>
                </c:pt>
                <c:pt idx="22">
                  <c:v>0.33489605937277173</c:v>
                </c:pt>
                <c:pt idx="23">
                  <c:v>0.29921893043655567</c:v>
                </c:pt>
                <c:pt idx="24">
                  <c:v>0.26508608605444184</c:v>
                </c:pt>
                <c:pt idx="25">
                  <c:v>0.23310095835969791</c:v>
                </c:pt>
                <c:pt idx="26">
                  <c:v>0.20364270558293357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91-4294-BB87-D45BFF15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909391"/>
        <c:axId val="70680540"/>
      </c:lineChart>
      <c:catAx>
        <c:axId val="51909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70680540"/>
        <c:crosses val="autoZero"/>
        <c:auto val="1"/>
        <c:lblAlgn val="ctr"/>
        <c:lblOffset val="100"/>
        <c:noMultiLvlLbl val="0"/>
      </c:catAx>
      <c:valAx>
        <c:axId val="70680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51909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Peru Onshore wind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Comparison!$BP$3</c:f>
              <c:strCache>
                <c:ptCount val="1"/>
                <c:pt idx="0">
                  <c:v>Original</c:v>
                </c:pt>
              </c:strCache>
            </c:strRef>
          </c:tx>
          <c:spPr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Comparison!$BP$4:$BP$30</c:f>
              <c:numCache>
                <c:formatCode>0.000</c:formatCode>
                <c:ptCount val="27"/>
                <c:pt idx="0">
                  <c:v>0.17879999999999999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0.31309999999999999</c:v>
                </c:pt>
                <c:pt idx="6">
                  <c:v>0.25</c:v>
                </c:pt>
                <c:pt idx="7">
                  <c:v>0.42499999999999999</c:v>
                </c:pt>
                <c:pt idx="8">
                  <c:v>0.42499999999999999</c:v>
                </c:pt>
                <c:pt idx="9">
                  <c:v>0.42499999999999999</c:v>
                </c:pt>
                <c:pt idx="10">
                  <c:v>0.42499999999999999</c:v>
                </c:pt>
                <c:pt idx="11">
                  <c:v>0.42499999999999999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0.42499999999999999</c:v>
                </c:pt>
                <c:pt idx="15">
                  <c:v>0.42499999999999999</c:v>
                </c:pt>
                <c:pt idx="16">
                  <c:v>0.42499999999999999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E-4697-A8C5-5B67BBCD6DCB}"/>
            </c:ext>
          </c:extLst>
        </c:ser>
        <c:ser>
          <c:idx val="1"/>
          <c:order val="1"/>
          <c:tx>
            <c:strRef>
              <c:f>Comparison!$BQ$3</c:f>
              <c:strCache>
                <c:ptCount val="1"/>
                <c:pt idx="0">
                  <c:v>Updated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Comparison!$BQ$4:$BQ$30</c:f>
              <c:numCache>
                <c:formatCode>0.000</c:formatCode>
                <c:ptCount val="27"/>
                <c:pt idx="0">
                  <c:v>0.17879999999999999</c:v>
                </c:pt>
                <c:pt idx="1">
                  <c:v>4.4299999999999999E-2</c:v>
                </c:pt>
                <c:pt idx="2">
                  <c:v>4.4299999999999999E-2</c:v>
                </c:pt>
                <c:pt idx="3">
                  <c:v>4.4299999999999999E-2</c:v>
                </c:pt>
                <c:pt idx="4">
                  <c:v>4.4299999999999999E-2</c:v>
                </c:pt>
                <c:pt idx="5">
                  <c:v>4.4299999999999999E-2</c:v>
                </c:pt>
                <c:pt idx="6">
                  <c:v>4.4299999999999999E-2</c:v>
                </c:pt>
                <c:pt idx="7">
                  <c:v>4.4299999999999999E-2</c:v>
                </c:pt>
                <c:pt idx="8">
                  <c:v>4.4299999999999999E-2</c:v>
                </c:pt>
                <c:pt idx="9">
                  <c:v>4.4299999999999999E-2</c:v>
                </c:pt>
                <c:pt idx="10">
                  <c:v>4.4299999999999999E-2</c:v>
                </c:pt>
                <c:pt idx="11">
                  <c:v>4.4299999999999999E-2</c:v>
                </c:pt>
                <c:pt idx="12">
                  <c:v>2.4299999999999999E-2</c:v>
                </c:pt>
                <c:pt idx="13">
                  <c:v>2.4299999999999999E-2</c:v>
                </c:pt>
                <c:pt idx="14">
                  <c:v>2.4299999999999999E-2</c:v>
                </c:pt>
                <c:pt idx="15">
                  <c:v>2.4299999999999999E-2</c:v>
                </c:pt>
                <c:pt idx="16">
                  <c:v>2.4299999999999999E-2</c:v>
                </c:pt>
                <c:pt idx="17">
                  <c:v>2.4299999999999999E-2</c:v>
                </c:pt>
                <c:pt idx="18">
                  <c:v>2.4299999999999999E-2</c:v>
                </c:pt>
                <c:pt idx="19">
                  <c:v>2.4299999999999999E-2</c:v>
                </c:pt>
                <c:pt idx="20">
                  <c:v>2.4299999999999999E-2</c:v>
                </c:pt>
                <c:pt idx="21">
                  <c:v>2.4299999999999999E-2</c:v>
                </c:pt>
                <c:pt idx="22">
                  <c:v>2.4299999999999999E-2</c:v>
                </c:pt>
                <c:pt idx="23">
                  <c:v>2.4299999999999999E-2</c:v>
                </c:pt>
                <c:pt idx="24">
                  <c:v>2.4299999999999999E-2</c:v>
                </c:pt>
                <c:pt idx="25">
                  <c:v>2.4299999999999999E-2</c:v>
                </c:pt>
                <c:pt idx="26">
                  <c:v>2.4299999999999999E-2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E-4697-A8C5-5B67BBCD6DCB}"/>
            </c:ext>
          </c:extLst>
        </c:ser>
        <c:ser>
          <c:idx val="2"/>
          <c:order val="2"/>
          <c:tx>
            <c:strRef>
              <c:f>Comparison!$BR$3</c:f>
              <c:strCache>
                <c:ptCount val="1"/>
                <c:pt idx="0">
                  <c:v>Tool-Log</c:v>
                </c:pt>
              </c:strCache>
            </c:strRef>
          </c:tx>
          <c:spPr>
            <a:ln w="21960">
              <a:solidFill>
                <a:srgbClr val="0041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Comparison!$BR$4:$BR$30</c:f>
              <c:numCache>
                <c:formatCode>0.000</c:formatCode>
                <c:ptCount val="27"/>
                <c:pt idx="0">
                  <c:v>0.13570000000000015</c:v>
                </c:pt>
                <c:pt idx="1">
                  <c:v>0.13156068134205362</c:v>
                </c:pt>
                <c:pt idx="2">
                  <c:v>0.14869969251179965</c:v>
                </c:pt>
                <c:pt idx="3">
                  <c:v>0.16691953292131703</c:v>
                </c:pt>
                <c:pt idx="4">
                  <c:v>0.18594708145784972</c:v>
                </c:pt>
                <c:pt idx="5">
                  <c:v>0.20540896286403831</c:v>
                </c:pt>
                <c:pt idx="6">
                  <c:v>0.22483198603610219</c:v>
                </c:pt>
                <c:pt idx="7">
                  <c:v>0.2436540055225408</c:v>
                </c:pt>
                <c:pt idx="8">
                  <c:v>0.26124704804043947</c:v>
                </c:pt>
                <c:pt idx="9">
                  <c:v>0.27695293420399059</c:v>
                </c:pt>
                <c:pt idx="10">
                  <c:v>0.29012937671120603</c:v>
                </c:pt>
                <c:pt idx="11">
                  <c:v>0.30020205425917074</c:v>
                </c:pt>
                <c:pt idx="12">
                  <c:v>0.30671608166868031</c:v>
                </c:pt>
                <c:pt idx="13">
                  <c:v>0.3093793182678295</c:v>
                </c:pt>
                <c:pt idx="14">
                  <c:v>0.30809057539298901</c:v>
                </c:pt>
                <c:pt idx="15">
                  <c:v>0.30294805314910911</c:v>
                </c:pt>
                <c:pt idx="16">
                  <c:v>0.294236772594135</c:v>
                </c:pt>
                <c:pt idx="17">
                  <c:v>0.28239748371387829</c:v>
                </c:pt>
                <c:pt idx="18">
                  <c:v>0.26798254465187293</c:v>
                </c:pt>
                <c:pt idx="19">
                  <c:v>0.25160587139612589</c:v>
                </c:pt>
                <c:pt idx="20">
                  <c:v>0.23389402705165466</c:v>
                </c:pt>
                <c:pt idx="21">
                  <c:v>0.21544413014945327</c:v>
                </c:pt>
                <c:pt idx="22">
                  <c:v>0.19679210239232128</c:v>
                </c:pt>
                <c:pt idx="23">
                  <c:v>0.17839249957437736</c:v>
                </c:pt>
                <c:pt idx="24">
                  <c:v>0.16060927978237871</c:v>
                </c:pt>
                <c:pt idx="25">
                  <c:v>0.14371562059933202</c:v>
                </c:pt>
                <c:pt idx="26">
                  <c:v>0.12790032955084635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E-4697-A8C5-5B67BBCD6DCB}"/>
            </c:ext>
          </c:extLst>
        </c:ser>
        <c:ser>
          <c:idx val="3"/>
          <c:order val="3"/>
          <c:tx>
            <c:strRef>
              <c:f>Comparison!$BS$3</c:f>
              <c:strCache>
                <c:ptCount val="1"/>
                <c:pt idx="0">
                  <c:v>Tool-Geo</c:v>
                </c:pt>
              </c:strCache>
            </c:strRef>
          </c:tx>
          <c:spPr>
            <a:ln w="21960">
              <a:solidFill>
                <a:srgbClr val="2397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Comparison!$BS$4:$BS$30</c:f>
              <c:numCache>
                <c:formatCode>0.000</c:formatCode>
                <c:ptCount val="27"/>
                <c:pt idx="0">
                  <c:v>0.13570000000000015</c:v>
                </c:pt>
                <c:pt idx="1">
                  <c:v>0.30875000000000041</c:v>
                </c:pt>
                <c:pt idx="2">
                  <c:v>0.33665112000000014</c:v>
                </c:pt>
                <c:pt idx="3">
                  <c:v>0.36704041920000008</c:v>
                </c:pt>
                <c:pt idx="4">
                  <c:v>0.40013743910400085</c:v>
                </c:pt>
                <c:pt idx="5">
                  <c:v>0.43618092350975962</c:v>
                </c:pt>
                <c:pt idx="6">
                  <c:v>0.47543048581017733</c:v>
                </c:pt>
                <c:pt idx="7">
                  <c:v>0.51816842016819664</c:v>
                </c:pt>
                <c:pt idx="8">
                  <c:v>0.56470166891431439</c:v>
                </c:pt>
                <c:pt idx="9">
                  <c:v>0.61536395957073553</c:v>
                </c:pt>
                <c:pt idx="10">
                  <c:v>0.67051812605113248</c:v>
                </c:pt>
                <c:pt idx="11">
                  <c:v>0.73055862982713859</c:v>
                </c:pt>
                <c:pt idx="12">
                  <c:v>0.79591429820057891</c:v>
                </c:pt>
                <c:pt idx="13">
                  <c:v>0.22575797146403265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E-4697-A8C5-5B67BBCD6DCB}"/>
            </c:ext>
          </c:extLst>
        </c:ser>
        <c:ser>
          <c:idx val="4"/>
          <c:order val="4"/>
          <c:tx>
            <c:strRef>
              <c:f>Comparison!$BT$3</c:f>
              <c:strCache>
                <c:ptCount val="1"/>
                <c:pt idx="0">
                  <c:v>Tool-MAX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Comparison!$BT$4:$BT$30</c:f>
              <c:numCache>
                <c:formatCode>0.000</c:formatCode>
                <c:ptCount val="27"/>
                <c:pt idx="0">
                  <c:v>0.13570000000000015</c:v>
                </c:pt>
                <c:pt idx="1">
                  <c:v>0.30875000000000041</c:v>
                </c:pt>
                <c:pt idx="2">
                  <c:v>0.33665112000000014</c:v>
                </c:pt>
                <c:pt idx="3">
                  <c:v>0.36704041920000008</c:v>
                </c:pt>
                <c:pt idx="4">
                  <c:v>0.40013743910400085</c:v>
                </c:pt>
                <c:pt idx="5">
                  <c:v>0.43618092350975962</c:v>
                </c:pt>
                <c:pt idx="6">
                  <c:v>0.47543048581017733</c:v>
                </c:pt>
                <c:pt idx="7">
                  <c:v>0.51816842016819664</c:v>
                </c:pt>
                <c:pt idx="8">
                  <c:v>0.56470166891431439</c:v>
                </c:pt>
                <c:pt idx="9">
                  <c:v>0.61536395957073553</c:v>
                </c:pt>
                <c:pt idx="10">
                  <c:v>0.67051812605113248</c:v>
                </c:pt>
                <c:pt idx="11">
                  <c:v>0.73055862982713859</c:v>
                </c:pt>
                <c:pt idx="12">
                  <c:v>0.79591429820057891</c:v>
                </c:pt>
                <c:pt idx="13">
                  <c:v>0.3093793182678295</c:v>
                </c:pt>
                <c:pt idx="14">
                  <c:v>0.30809057539298901</c:v>
                </c:pt>
                <c:pt idx="15">
                  <c:v>0.30294805314910911</c:v>
                </c:pt>
                <c:pt idx="16">
                  <c:v>0.294236772594135</c:v>
                </c:pt>
                <c:pt idx="17">
                  <c:v>0.28239748371387829</c:v>
                </c:pt>
                <c:pt idx="18">
                  <c:v>0.26798254465187293</c:v>
                </c:pt>
                <c:pt idx="19">
                  <c:v>0.25160587139612589</c:v>
                </c:pt>
                <c:pt idx="20">
                  <c:v>0.23389402705165466</c:v>
                </c:pt>
                <c:pt idx="21">
                  <c:v>0.21544413014945327</c:v>
                </c:pt>
                <c:pt idx="22">
                  <c:v>0.19679210239232128</c:v>
                </c:pt>
                <c:pt idx="23">
                  <c:v>0.17839249957437736</c:v>
                </c:pt>
                <c:pt idx="24">
                  <c:v>0.16060927978237871</c:v>
                </c:pt>
                <c:pt idx="25">
                  <c:v>0.14371562059933202</c:v>
                </c:pt>
                <c:pt idx="26">
                  <c:v>0.12790032955084635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4E-4697-A8C5-5B67BBCD6DCB}"/>
            </c:ext>
          </c:extLst>
        </c:ser>
        <c:ser>
          <c:idx val="5"/>
          <c:order val="5"/>
          <c:tx>
            <c:strRef>
              <c:f>Comparison!$BU$3</c:f>
              <c:strCache>
                <c:ptCount val="1"/>
                <c:pt idx="0">
                  <c:v>Tool-MIN</c:v>
                </c:pt>
              </c:strCache>
            </c:strRef>
          </c:tx>
          <c:spPr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Comparison!$A$4:$A$30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Comparison!$BU$4:$BU$30</c:f>
              <c:numCache>
                <c:formatCode>0.000</c:formatCode>
                <c:ptCount val="27"/>
                <c:pt idx="0">
                  <c:v>0.13570000000000015</c:v>
                </c:pt>
                <c:pt idx="1">
                  <c:v>0.13156068134205362</c:v>
                </c:pt>
                <c:pt idx="2">
                  <c:v>0.14869969251179965</c:v>
                </c:pt>
                <c:pt idx="3">
                  <c:v>0.16691953292131703</c:v>
                </c:pt>
                <c:pt idx="4">
                  <c:v>0.18594708145784972</c:v>
                </c:pt>
                <c:pt idx="5">
                  <c:v>0.20540896286403831</c:v>
                </c:pt>
                <c:pt idx="6">
                  <c:v>0.22483198603610219</c:v>
                </c:pt>
                <c:pt idx="7">
                  <c:v>0.2436540055225408</c:v>
                </c:pt>
                <c:pt idx="8">
                  <c:v>0.26124704804043947</c:v>
                </c:pt>
                <c:pt idx="9">
                  <c:v>0.27695293420399059</c:v>
                </c:pt>
                <c:pt idx="10">
                  <c:v>0.29012937671120603</c:v>
                </c:pt>
                <c:pt idx="11">
                  <c:v>0.30020205425917074</c:v>
                </c:pt>
                <c:pt idx="12">
                  <c:v>0.30671608166868031</c:v>
                </c:pt>
                <c:pt idx="13">
                  <c:v>0.22575797146403265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4E-4697-A8C5-5B67BBCD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060599"/>
        <c:axId val="9451062"/>
      </c:lineChart>
      <c:catAx>
        <c:axId val="14060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9451062"/>
        <c:crosses val="autoZero"/>
        <c:auto val="1"/>
        <c:lblAlgn val="ctr"/>
        <c:lblOffset val="100"/>
        <c:noMultiLvlLbl val="0"/>
      </c:catAx>
      <c:valAx>
        <c:axId val="9451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GW/yr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14060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175680</xdr:rowOff>
    </xdr:from>
    <xdr:to>
      <xdr:col>7</xdr:col>
      <xdr:colOff>560160</xdr:colOff>
      <xdr:row>44</xdr:row>
      <xdr:rowOff>38880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31</xdr:row>
      <xdr:rowOff>175680</xdr:rowOff>
    </xdr:from>
    <xdr:to>
      <xdr:col>16</xdr:col>
      <xdr:colOff>419400</xdr:colOff>
      <xdr:row>44</xdr:row>
      <xdr:rowOff>38880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176040</xdr:rowOff>
    </xdr:from>
    <xdr:to>
      <xdr:col>7</xdr:col>
      <xdr:colOff>560160</xdr:colOff>
      <xdr:row>58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45</xdr:row>
      <xdr:rowOff>176040</xdr:rowOff>
    </xdr:from>
    <xdr:to>
      <xdr:col>16</xdr:col>
      <xdr:colOff>419400</xdr:colOff>
      <xdr:row>58</xdr:row>
      <xdr:rowOff>39240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59</xdr:row>
      <xdr:rowOff>176040</xdr:rowOff>
    </xdr:from>
    <xdr:to>
      <xdr:col>7</xdr:col>
      <xdr:colOff>560160</xdr:colOff>
      <xdr:row>72</xdr:row>
      <xdr:rowOff>38880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59</xdr:row>
      <xdr:rowOff>176040</xdr:rowOff>
    </xdr:from>
    <xdr:to>
      <xdr:col>16</xdr:col>
      <xdr:colOff>419400</xdr:colOff>
      <xdr:row>72</xdr:row>
      <xdr:rowOff>38880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73</xdr:row>
      <xdr:rowOff>175680</xdr:rowOff>
    </xdr:from>
    <xdr:to>
      <xdr:col>7</xdr:col>
      <xdr:colOff>560160</xdr:colOff>
      <xdr:row>86</xdr:row>
      <xdr:rowOff>38880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73</xdr:row>
      <xdr:rowOff>175680</xdr:rowOff>
    </xdr:from>
    <xdr:to>
      <xdr:col>16</xdr:col>
      <xdr:colOff>419400</xdr:colOff>
      <xdr:row>86</xdr:row>
      <xdr:rowOff>38880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87</xdr:row>
      <xdr:rowOff>176040</xdr:rowOff>
    </xdr:from>
    <xdr:to>
      <xdr:col>7</xdr:col>
      <xdr:colOff>560160</xdr:colOff>
      <xdr:row>100</xdr:row>
      <xdr:rowOff>39240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87</xdr:row>
      <xdr:rowOff>176040</xdr:rowOff>
    </xdr:from>
    <xdr:to>
      <xdr:col>16</xdr:col>
      <xdr:colOff>419400</xdr:colOff>
      <xdr:row>100</xdr:row>
      <xdr:rowOff>39240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101</xdr:row>
      <xdr:rowOff>176040</xdr:rowOff>
    </xdr:from>
    <xdr:to>
      <xdr:col>7</xdr:col>
      <xdr:colOff>560160</xdr:colOff>
      <xdr:row>114</xdr:row>
      <xdr:rowOff>38880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101</xdr:row>
      <xdr:rowOff>176040</xdr:rowOff>
    </xdr:from>
    <xdr:to>
      <xdr:col>16</xdr:col>
      <xdr:colOff>419400</xdr:colOff>
      <xdr:row>114</xdr:row>
      <xdr:rowOff>38880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na.org/Publications/2025/Mar/Renewable-capacity-statistics-202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conojournal.com.ar/2021/11/cambio-climatico-las-diez-claves-del-plan-de-transicion-energetica-al-2030-que-elaboro-la-secretaria-de-energia/" TargetMode="External"/><Relationship Id="rId3" Type="http://schemas.openxmlformats.org/officeDocument/2006/relationships/hyperlink" Target="https://imco.org.mx/prodesen-2024-2038-el-sistema-electrico-mexicano/" TargetMode="External"/><Relationship Id="rId7" Type="http://schemas.openxmlformats.org/officeDocument/2006/relationships/hyperlink" Target="https://econojournal.com.ar/2021/11/cambio-climatico-las-diez-claves-del-plan-de-transicion-energetica-al-2030-que-elaboro-la-secretaria-de-energia/" TargetMode="External"/><Relationship Id="rId12" Type="http://schemas.openxmlformats.org/officeDocument/2006/relationships/hyperlink" Target="https://www.energiaestrategica.com/peru-preve-duplicar-su-capacidad-solar-y-alcanzar-mas-de-3-gw-renovables-instalados-en-2026/" TargetMode="External"/><Relationship Id="rId2" Type="http://schemas.openxmlformats.org/officeDocument/2006/relationships/hyperlink" Target="https://www.epe.gov.br/pt/imprensa/noticias/mme-aprova-plano-decenal-de-expansao-de-energia-2034-em-portaria" TargetMode="External"/><Relationship Id="rId1" Type="http://schemas.openxmlformats.org/officeDocument/2006/relationships/hyperlink" Target="https://www.epe.gov.br/pt/imprensa/noticias/mme-aprova-plano-decenal-de-expansao-de-energia-2034-em-portaria" TargetMode="External"/><Relationship Id="rId6" Type="http://schemas.openxmlformats.org/officeDocument/2006/relationships/hyperlink" Target="https://energia.gob.cl/sites/default/files/documentos/20230926_men_pelp_iaa2023.pdf" TargetMode="External"/><Relationship Id="rId11" Type="http://schemas.openxmlformats.org/officeDocument/2006/relationships/hyperlink" Target="https://www.energiaestrategica.com/peru-preve-duplicar-su-capacidad-solar-y-alcanzar-mas-de-3-gw-renovables-instalados-en-2026/" TargetMode="External"/><Relationship Id="rId5" Type="http://schemas.openxmlformats.org/officeDocument/2006/relationships/hyperlink" Target="https://energia.gob.cl/sites/default/files/documentos/20230926_men_pelp_iaa2023.pdf" TargetMode="External"/><Relationship Id="rId10" Type="http://schemas.openxmlformats.org/officeDocument/2006/relationships/hyperlink" Target="https://www.sei.org/publications/solar-wind-power-energy-communities-colombia-2025-policy/" TargetMode="External"/><Relationship Id="rId4" Type="http://schemas.openxmlformats.org/officeDocument/2006/relationships/hyperlink" Target="https://imco.org.mx/prodesen-2024-2038-el-sistema-electrico-mexicano/" TargetMode="External"/><Relationship Id="rId9" Type="http://schemas.openxmlformats.org/officeDocument/2006/relationships/hyperlink" Target="https://www.sei.org/publications/solar-wind-power-energy-communities-colombia-2025-polic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imco.org.mx/prodesen-2024-2038-el-sistema-electrico-mexicano/" TargetMode="External"/><Relationship Id="rId13" Type="http://schemas.openxmlformats.org/officeDocument/2006/relationships/hyperlink" Target="https://www.irena.org/Publications/2025/Mar/Renewable-capacity-statistics-2025" TargetMode="External"/><Relationship Id="rId18" Type="http://schemas.openxmlformats.org/officeDocument/2006/relationships/hyperlink" Target="https://www.sei.org/publications/solar-wind-power-energy-communities-colombia-2025-policy/" TargetMode="External"/><Relationship Id="rId3" Type="http://schemas.openxmlformats.org/officeDocument/2006/relationships/hyperlink" Target="https://www.irena.org/Publications/2025/Mar/Renewable-capacity-statistics-2025" TargetMode="External"/><Relationship Id="rId21" Type="http://schemas.openxmlformats.org/officeDocument/2006/relationships/hyperlink" Target="https://www.irena.org/Publications/2025/Mar/Renewable-capacity-statistics-2025" TargetMode="External"/><Relationship Id="rId7" Type="http://schemas.openxmlformats.org/officeDocument/2006/relationships/hyperlink" Target="https://www.irena.org/Publications/2025/Mar/Renewable-capacity-statistics-2025" TargetMode="External"/><Relationship Id="rId12" Type="http://schemas.openxmlformats.org/officeDocument/2006/relationships/hyperlink" Target="https://energia.gob.cl/sites/default/files/documentos/20230926_men_pelp_iaa2023.pdf" TargetMode="External"/><Relationship Id="rId17" Type="http://schemas.openxmlformats.org/officeDocument/2006/relationships/hyperlink" Target="https://www.irena.org/Publications/2025/Mar/Renewable-capacity-statistics-2025" TargetMode="External"/><Relationship Id="rId2" Type="http://schemas.openxmlformats.org/officeDocument/2006/relationships/hyperlink" Target="https://www.epe.gov.br/pt/imprensa/noticias/mme-aprova-plano-decenal-de-expansao-de-energia-2034-em-portaria" TargetMode="External"/><Relationship Id="rId16" Type="http://schemas.openxmlformats.org/officeDocument/2006/relationships/hyperlink" Target="https://econojournal.com.ar/2021/11/cambio-climatico-las-diez-claves-del-plan-de-transicion-energetica-al-2030-que-elaboro-la-secretaria-de-energia/" TargetMode="External"/><Relationship Id="rId20" Type="http://schemas.openxmlformats.org/officeDocument/2006/relationships/hyperlink" Target="https://www.sei.org/publications/solar-wind-power-energy-communities-colombia-2025-policy/" TargetMode="External"/><Relationship Id="rId1" Type="http://schemas.openxmlformats.org/officeDocument/2006/relationships/hyperlink" Target="https://www.irena.org/Publications/2025/Mar/Renewable-capacity-statistics-2025" TargetMode="External"/><Relationship Id="rId6" Type="http://schemas.openxmlformats.org/officeDocument/2006/relationships/hyperlink" Target="https://imco.org.mx/prodesen-2024-2038-el-sistema-electrico-mexicano/" TargetMode="External"/><Relationship Id="rId11" Type="http://schemas.openxmlformats.org/officeDocument/2006/relationships/hyperlink" Target="https://www.irena.org/Publications/2025/Mar/Renewable-capacity-statistics-2025" TargetMode="External"/><Relationship Id="rId24" Type="http://schemas.openxmlformats.org/officeDocument/2006/relationships/hyperlink" Target="https://www.energiaestrategica.com/peru-preve-duplicar-su-capacidad-solar-y-alcanzar-mas-de-3-gw-renovables-instalados-en-2026/" TargetMode="External"/><Relationship Id="rId5" Type="http://schemas.openxmlformats.org/officeDocument/2006/relationships/hyperlink" Target="https://www.irena.org/Publications/2025/Mar/Renewable-capacity-statistics-2025" TargetMode="External"/><Relationship Id="rId15" Type="http://schemas.openxmlformats.org/officeDocument/2006/relationships/hyperlink" Target="https://www.irena.org/Publications/2025/Mar/Renewable-capacity-statistics-2025" TargetMode="External"/><Relationship Id="rId23" Type="http://schemas.openxmlformats.org/officeDocument/2006/relationships/hyperlink" Target="https://www.irena.org/Publications/2025/Mar/Renewable-capacity-statistics-2025" TargetMode="External"/><Relationship Id="rId10" Type="http://schemas.openxmlformats.org/officeDocument/2006/relationships/hyperlink" Target="https://energia.gob.cl/sites/default/files/documentos/20230926_men_pelp_iaa2023.pdf" TargetMode="External"/><Relationship Id="rId19" Type="http://schemas.openxmlformats.org/officeDocument/2006/relationships/hyperlink" Target="https://www.irena.org/Publications/2025/Mar/Renewable-capacity-statistics-2025" TargetMode="External"/><Relationship Id="rId4" Type="http://schemas.openxmlformats.org/officeDocument/2006/relationships/hyperlink" Target="https://www.epe.gov.br/pt/imprensa/noticias/mme-aprova-plano-decenal-de-expansao-de-energia-2034-em-portaria" TargetMode="External"/><Relationship Id="rId9" Type="http://schemas.openxmlformats.org/officeDocument/2006/relationships/hyperlink" Target="https://www.irena.org/Publications/2025/Mar/Renewable-capacity-statistics-2025" TargetMode="External"/><Relationship Id="rId14" Type="http://schemas.openxmlformats.org/officeDocument/2006/relationships/hyperlink" Target="https://econojournal.com.ar/2021/11/cambio-climatico-las-diez-claves-del-plan-de-transicion-energetica-al-2030-que-elaboro-la-secretaria-de-energia/" TargetMode="External"/><Relationship Id="rId22" Type="http://schemas.openxmlformats.org/officeDocument/2006/relationships/hyperlink" Target="https://www.energiaestrategica.com/peru-preve-duplicar-su-capacidad-solar-y-alcanzar-mas-de-3-gw-renovables-instalados-en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zoomScaleNormal="100" workbookViewId="0"/>
  </sheetViews>
  <sheetFormatPr defaultColWidth="8.5546875" defaultRowHeight="14.4" x14ac:dyDescent="0.3"/>
  <cols>
    <col min="1" max="1" width="150" customWidth="1"/>
  </cols>
  <sheetData>
    <row r="1" spans="1:1" ht="16.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4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ht="26.4" x14ac:dyDescent="0.3">
      <c r="A9" s="2" t="s">
        <v>6</v>
      </c>
    </row>
    <row r="10" spans="1:1" ht="26.4" x14ac:dyDescent="0.3">
      <c r="A10" s="2" t="s">
        <v>7</v>
      </c>
    </row>
    <row r="11" spans="1:1" x14ac:dyDescent="0.3">
      <c r="A11" s="2"/>
    </row>
    <row r="12" spans="1:1" ht="26.4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/>
    </row>
    <row r="15" spans="1:1" ht="26.4" x14ac:dyDescent="0.3">
      <c r="A15" s="2" t="s">
        <v>10</v>
      </c>
    </row>
    <row r="16" spans="1:1" ht="22.8" x14ac:dyDescent="0.3">
      <c r="A16" s="3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zoomScaleNormal="100" workbookViewId="0"/>
  </sheetViews>
  <sheetFormatPr defaultColWidth="8.5546875" defaultRowHeight="14.4" x14ac:dyDescent="0.3"/>
  <cols>
    <col min="1" max="1" width="7" customWidth="1"/>
    <col min="2" max="13" width="12" customWidth="1"/>
  </cols>
  <sheetData>
    <row r="1" spans="1:13" ht="16.8" x14ac:dyDescent="0.3">
      <c r="A1" s="1" t="s">
        <v>12</v>
      </c>
    </row>
    <row r="3" spans="1:13" ht="40.200000000000003" x14ac:dyDescent="0.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</row>
    <row r="4" spans="1:13" x14ac:dyDescent="0.3">
      <c r="A4" s="6">
        <v>2010</v>
      </c>
      <c r="B4" s="7">
        <v>0</v>
      </c>
      <c r="C4" s="7">
        <v>0.93</v>
      </c>
      <c r="D4" s="7">
        <v>0.03</v>
      </c>
      <c r="E4" s="7">
        <v>0.51900000000000002</v>
      </c>
      <c r="F4" s="7">
        <v>0</v>
      </c>
      <c r="G4" s="7">
        <v>0.16300000000000001</v>
      </c>
      <c r="H4" s="7">
        <v>6.0000000000000001E-3</v>
      </c>
      <c r="I4" s="7">
        <v>5.3999999999999999E-2</v>
      </c>
      <c r="J4" s="7">
        <v>0</v>
      </c>
      <c r="K4" s="7">
        <v>1.95E-2</v>
      </c>
      <c r="L4" s="7">
        <v>0</v>
      </c>
      <c r="M4" s="7">
        <v>6.9999999999999999E-4</v>
      </c>
    </row>
    <row r="5" spans="1:13" x14ac:dyDescent="0.3">
      <c r="A5" s="6">
        <v>2011</v>
      </c>
      <c r="B5" s="7">
        <v>0</v>
      </c>
      <c r="C5" s="7">
        <v>1.43</v>
      </c>
      <c r="D5" s="7">
        <v>0.04</v>
      </c>
      <c r="E5" s="7">
        <v>0.60099999999999998</v>
      </c>
      <c r="F5" s="7">
        <v>0</v>
      </c>
      <c r="G5" s="7">
        <v>0.184</v>
      </c>
      <c r="H5" s="7">
        <v>6.0000000000000001E-3</v>
      </c>
      <c r="I5" s="7">
        <v>5.3999999999999999E-2</v>
      </c>
      <c r="J5" s="7">
        <v>0</v>
      </c>
      <c r="K5" s="7">
        <v>1.95E-2</v>
      </c>
      <c r="L5" s="7">
        <v>0</v>
      </c>
      <c r="M5" s="7">
        <v>6.9999999999999999E-4</v>
      </c>
    </row>
    <row r="6" spans="1:13" x14ac:dyDescent="0.3">
      <c r="A6" s="6">
        <v>2012</v>
      </c>
      <c r="B6" s="7">
        <v>0</v>
      </c>
      <c r="C6" s="7">
        <v>2.5</v>
      </c>
      <c r="D6" s="7">
        <v>7.0000000000000007E-2</v>
      </c>
      <c r="E6" s="7">
        <v>1.8149999999999999</v>
      </c>
      <c r="F6" s="7">
        <v>2E-3</v>
      </c>
      <c r="G6" s="7">
        <v>0.20200000000000001</v>
      </c>
      <c r="H6" s="7">
        <v>8.0000000000000002E-3</v>
      </c>
      <c r="I6" s="7">
        <v>0.129</v>
      </c>
      <c r="J6" s="7">
        <v>0</v>
      </c>
      <c r="K6" s="7">
        <v>1.95E-2</v>
      </c>
      <c r="L6" s="7">
        <v>9.6000000000000002E-2</v>
      </c>
      <c r="M6" s="7">
        <v>6.9999999999999999E-4</v>
      </c>
    </row>
    <row r="7" spans="1:13" x14ac:dyDescent="0.3">
      <c r="A7" s="6">
        <v>2013</v>
      </c>
      <c r="B7" s="7">
        <v>0</v>
      </c>
      <c r="C7" s="7">
        <v>3.47</v>
      </c>
      <c r="D7" s="7">
        <v>0.1</v>
      </c>
      <c r="E7" s="7">
        <v>2.1219999999999999</v>
      </c>
      <c r="F7" s="7">
        <v>1.4999999999999999E-2</v>
      </c>
      <c r="G7" s="7">
        <v>0.30099999999999999</v>
      </c>
      <c r="H7" s="7">
        <v>8.0000000000000002E-3</v>
      </c>
      <c r="I7" s="7">
        <v>0.187</v>
      </c>
      <c r="J7" s="7">
        <v>0</v>
      </c>
      <c r="K7" s="7">
        <v>1.95E-2</v>
      </c>
      <c r="L7" s="7">
        <v>9.6000000000000002E-2</v>
      </c>
      <c r="M7" s="7">
        <v>6.9999999999999999E-4</v>
      </c>
    </row>
    <row r="8" spans="1:13" x14ac:dyDescent="0.3">
      <c r="A8" s="6">
        <v>2014</v>
      </c>
      <c r="B8" s="7">
        <v>0</v>
      </c>
      <c r="C8" s="7">
        <v>5.96</v>
      </c>
      <c r="D8" s="7">
        <v>7.0000000000000007E-2</v>
      </c>
      <c r="E8" s="7">
        <v>2.569</v>
      </c>
      <c r="F8" s="7">
        <v>0.22</v>
      </c>
      <c r="G8" s="7">
        <v>0.73599999999999999</v>
      </c>
      <c r="H8" s="7">
        <v>8.0000000000000002E-3</v>
      </c>
      <c r="I8" s="7">
        <v>0.188</v>
      </c>
      <c r="J8" s="7">
        <v>0</v>
      </c>
      <c r="K8" s="7">
        <v>1.84E-2</v>
      </c>
      <c r="L8" s="7">
        <v>9.6000000000000002E-2</v>
      </c>
      <c r="M8" s="7">
        <v>0.14199999999999999</v>
      </c>
    </row>
    <row r="9" spans="1:13" x14ac:dyDescent="0.3">
      <c r="A9" s="6">
        <v>2015</v>
      </c>
      <c r="B9" s="7">
        <v>0</v>
      </c>
      <c r="C9" s="7">
        <v>8.7149999999999999</v>
      </c>
      <c r="D9" s="7">
        <v>0.15</v>
      </c>
      <c r="E9" s="7">
        <v>3.2709999999999999</v>
      </c>
      <c r="F9" s="7">
        <v>0.55000000000000004</v>
      </c>
      <c r="G9" s="7">
        <v>0.91</v>
      </c>
      <c r="H9" s="7">
        <v>1.4200000000000001E-2</v>
      </c>
      <c r="I9" s="7">
        <v>0.18820000000000001</v>
      </c>
      <c r="J9" s="7">
        <v>1.5E-3</v>
      </c>
      <c r="K9" s="7">
        <v>1.7999999999999999E-2</v>
      </c>
      <c r="L9" s="7">
        <v>0.13489999999999999</v>
      </c>
      <c r="M9" s="7">
        <v>0.23980000000000001</v>
      </c>
    </row>
    <row r="10" spans="1:13" x14ac:dyDescent="0.3">
      <c r="A10" s="6">
        <v>2016</v>
      </c>
      <c r="B10" s="7">
        <v>0.1</v>
      </c>
      <c r="C10" s="7">
        <v>10.74</v>
      </c>
      <c r="D10" s="7">
        <v>0.36</v>
      </c>
      <c r="E10" s="7">
        <v>4.0510000000000002</v>
      </c>
      <c r="F10" s="7">
        <v>1.08</v>
      </c>
      <c r="G10" s="7">
        <v>1.0389999999999999</v>
      </c>
      <c r="H10" s="7">
        <v>1.37E-2</v>
      </c>
      <c r="I10" s="7">
        <v>0.18820000000000001</v>
      </c>
      <c r="J10" s="7">
        <v>1.5E-3</v>
      </c>
      <c r="K10" s="7">
        <v>1.7999999999999999E-2</v>
      </c>
      <c r="L10" s="7">
        <v>0.14610000000000001</v>
      </c>
      <c r="M10" s="7">
        <v>0.24</v>
      </c>
    </row>
    <row r="11" spans="1:13" x14ac:dyDescent="0.3">
      <c r="A11" s="6">
        <v>2017</v>
      </c>
      <c r="B11" s="7">
        <v>1.1000000000000001</v>
      </c>
      <c r="C11" s="7">
        <v>12.76</v>
      </c>
      <c r="D11" s="7">
        <v>0.67</v>
      </c>
      <c r="E11" s="7">
        <v>4.18</v>
      </c>
      <c r="F11" s="7">
        <v>1.64</v>
      </c>
      <c r="G11" s="7">
        <v>1.302</v>
      </c>
      <c r="H11" s="7">
        <v>1.3599999999999999E-2</v>
      </c>
      <c r="I11" s="7">
        <v>0.2276</v>
      </c>
      <c r="J11" s="7">
        <v>1.1299999999999999E-2</v>
      </c>
      <c r="K11" s="7">
        <v>1.7999999999999999E-2</v>
      </c>
      <c r="L11" s="7">
        <v>0.2979</v>
      </c>
      <c r="M11" s="7">
        <v>0.24</v>
      </c>
    </row>
    <row r="12" spans="1:13" x14ac:dyDescent="0.3">
      <c r="A12" s="6">
        <v>2018</v>
      </c>
      <c r="B12" s="7">
        <v>1.6</v>
      </c>
      <c r="C12" s="7">
        <v>14.71</v>
      </c>
      <c r="D12" s="7">
        <v>2.06</v>
      </c>
      <c r="E12" s="7">
        <v>4.18</v>
      </c>
      <c r="F12" s="7">
        <v>2.15</v>
      </c>
      <c r="G12" s="7">
        <v>1.6919999999999999</v>
      </c>
      <c r="H12" s="7">
        <v>0.1961</v>
      </c>
      <c r="I12" s="7">
        <v>0.75119999999999998</v>
      </c>
      <c r="J12" s="7">
        <v>1.34E-2</v>
      </c>
      <c r="K12" s="7">
        <v>1.7999999999999999E-2</v>
      </c>
      <c r="L12" s="7">
        <v>0.32419999999999999</v>
      </c>
      <c r="M12" s="7">
        <v>0.37230000000000002</v>
      </c>
    </row>
    <row r="13" spans="1:13" x14ac:dyDescent="0.3">
      <c r="A13" s="6">
        <v>2019</v>
      </c>
      <c r="B13" s="7">
        <v>2.4</v>
      </c>
      <c r="C13" s="7">
        <v>15.45</v>
      </c>
      <c r="D13" s="7">
        <v>5.25</v>
      </c>
      <c r="E13" s="7">
        <v>6.5410000000000004</v>
      </c>
      <c r="F13" s="7">
        <v>2.5</v>
      </c>
      <c r="G13" s="7">
        <v>1.9990000000000001</v>
      </c>
      <c r="H13" s="7">
        <v>0.44590000000000002</v>
      </c>
      <c r="I13" s="7">
        <v>1.6094999999999999</v>
      </c>
      <c r="J13" s="7">
        <v>2.3099999999999999E-2</v>
      </c>
      <c r="K13" s="7">
        <v>1.84E-2</v>
      </c>
      <c r="L13" s="7">
        <v>0.33479999999999999</v>
      </c>
      <c r="M13" s="7">
        <v>0.37230000000000002</v>
      </c>
    </row>
    <row r="14" spans="1:13" x14ac:dyDescent="0.3">
      <c r="A14" s="6">
        <v>2020</v>
      </c>
      <c r="B14" s="7">
        <v>3.5</v>
      </c>
      <c r="C14" s="7">
        <v>17.75</v>
      </c>
      <c r="D14" s="7">
        <v>5.59</v>
      </c>
      <c r="E14" s="7">
        <v>6.9950000000000001</v>
      </c>
      <c r="F14" s="7">
        <v>2.9</v>
      </c>
      <c r="G14" s="7">
        <v>2.2930000000000001</v>
      </c>
      <c r="H14" s="7">
        <v>0.76790000000000003</v>
      </c>
      <c r="I14" s="7">
        <v>2.6240000000000001</v>
      </c>
      <c r="J14" s="7">
        <v>8.2699999999999996E-2</v>
      </c>
      <c r="K14" s="7">
        <v>1.84E-2</v>
      </c>
      <c r="L14" s="7">
        <v>0.33479999999999999</v>
      </c>
      <c r="M14" s="7">
        <v>0.40899999999999997</v>
      </c>
    </row>
    <row r="15" spans="1:13" x14ac:dyDescent="0.3">
      <c r="A15" s="6">
        <v>2021</v>
      </c>
      <c r="B15" s="7">
        <v>4.9000000000000004</v>
      </c>
      <c r="C15" s="7">
        <v>21.5</v>
      </c>
      <c r="D15" s="7">
        <v>6.87</v>
      </c>
      <c r="E15" s="7">
        <v>7.4690000000000003</v>
      </c>
      <c r="F15" s="7">
        <v>3.9</v>
      </c>
      <c r="G15" s="7">
        <v>3.14</v>
      </c>
      <c r="H15" s="7">
        <v>1.0769</v>
      </c>
      <c r="I15" s="7">
        <v>3.2921999999999998</v>
      </c>
      <c r="J15" s="7">
        <v>0.18099999999999999</v>
      </c>
      <c r="K15" s="7">
        <v>1.84E-2</v>
      </c>
      <c r="L15" s="7">
        <v>0.33229999999999998</v>
      </c>
      <c r="M15" s="7">
        <v>0.40899999999999997</v>
      </c>
    </row>
    <row r="16" spans="1:13" x14ac:dyDescent="0.3">
      <c r="A16" s="6">
        <v>2022</v>
      </c>
      <c r="B16" s="7">
        <v>7.7</v>
      </c>
      <c r="C16" s="7">
        <v>25</v>
      </c>
      <c r="D16" s="7">
        <v>6.7</v>
      </c>
      <c r="E16" s="7">
        <v>7.6340000000000003</v>
      </c>
      <c r="F16" s="7">
        <v>5.5</v>
      </c>
      <c r="G16" s="7">
        <v>3.8239999999999998</v>
      </c>
      <c r="H16" s="7">
        <v>1.1127</v>
      </c>
      <c r="I16" s="7">
        <v>3.3102</v>
      </c>
      <c r="J16" s="7">
        <v>0.48</v>
      </c>
      <c r="K16" s="7">
        <v>3.3799999999999997E-2</v>
      </c>
      <c r="L16" s="7">
        <v>0.3322</v>
      </c>
      <c r="M16" s="7">
        <v>0.53900000000000003</v>
      </c>
    </row>
    <row r="17" spans="1:13" x14ac:dyDescent="0.3">
      <c r="A17" s="6">
        <v>2023</v>
      </c>
      <c r="B17" s="7">
        <v>11</v>
      </c>
      <c r="C17" s="7">
        <v>29</v>
      </c>
      <c r="D17" s="7">
        <v>7.52</v>
      </c>
      <c r="E17" s="7">
        <v>7.3179999999999996</v>
      </c>
      <c r="F17" s="7">
        <v>7</v>
      </c>
      <c r="G17" s="7">
        <v>4.5330000000000004</v>
      </c>
      <c r="H17" s="7">
        <v>1.4053</v>
      </c>
      <c r="I17" s="7">
        <v>3.7063000000000001</v>
      </c>
      <c r="J17" s="7">
        <v>0.71599999999999997</v>
      </c>
      <c r="K17" s="7">
        <v>3.3799999999999997E-2</v>
      </c>
      <c r="L17" s="7">
        <v>0.44719999999999999</v>
      </c>
      <c r="M17" s="7">
        <v>1.0149999999999999</v>
      </c>
    </row>
    <row r="18" spans="1:13" x14ac:dyDescent="0.3">
      <c r="A18" s="6">
        <v>2024</v>
      </c>
      <c r="B18" s="7">
        <v>16.600000000000001</v>
      </c>
      <c r="C18" s="7">
        <v>32</v>
      </c>
      <c r="D18" s="7">
        <v>7.52</v>
      </c>
      <c r="E18" s="7">
        <v>7.3179999999999996</v>
      </c>
      <c r="F18" s="7">
        <v>7.6</v>
      </c>
      <c r="G18" s="7">
        <v>4.7169999999999996</v>
      </c>
      <c r="H18" s="7">
        <v>1.7405999999999999</v>
      </c>
      <c r="I18" s="7">
        <v>4.3202999999999996</v>
      </c>
      <c r="J18" s="7">
        <v>1.3925000000000001</v>
      </c>
      <c r="K18" s="7">
        <v>3.3799999999999997E-2</v>
      </c>
      <c r="L18" s="7">
        <v>0.52769999999999995</v>
      </c>
      <c r="M18" s="7">
        <v>1.1507000000000001</v>
      </c>
    </row>
    <row r="20" spans="1:13" ht="40.799999999999997" x14ac:dyDescent="0.3">
      <c r="A20" s="8" t="s">
        <v>26</v>
      </c>
      <c r="B20" s="9" t="s">
        <v>27</v>
      </c>
      <c r="C20" s="9" t="s">
        <v>28</v>
      </c>
      <c r="D20" s="9" t="s">
        <v>29</v>
      </c>
      <c r="E20" s="9" t="s">
        <v>30</v>
      </c>
      <c r="F20" s="9" t="s">
        <v>31</v>
      </c>
      <c r="G20" s="9" t="s">
        <v>31</v>
      </c>
      <c r="H20" s="9" t="s">
        <v>32</v>
      </c>
      <c r="I20" s="9" t="s">
        <v>32</v>
      </c>
      <c r="J20" s="9" t="s">
        <v>33</v>
      </c>
      <c r="K20" s="9" t="s">
        <v>34</v>
      </c>
      <c r="L20" s="9" t="s">
        <v>35</v>
      </c>
      <c r="M20" s="9" t="s">
        <v>36</v>
      </c>
    </row>
    <row r="21" spans="1:13" ht="34.200000000000003" x14ac:dyDescent="0.3">
      <c r="A21" s="8" t="s">
        <v>37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42</v>
      </c>
      <c r="G21" s="3" t="s">
        <v>40</v>
      </c>
      <c r="H21" s="3" t="s">
        <v>43</v>
      </c>
      <c r="I21" s="3" t="s">
        <v>43</v>
      </c>
      <c r="J21" s="3" t="s">
        <v>44</v>
      </c>
      <c r="K21" s="3" t="s">
        <v>40</v>
      </c>
      <c r="L21" s="3" t="s">
        <v>45</v>
      </c>
      <c r="M21" s="3" t="s">
        <v>40</v>
      </c>
    </row>
    <row r="23" spans="1:13" x14ac:dyDescent="0.3">
      <c r="A23" s="10" t="s">
        <v>46</v>
      </c>
    </row>
    <row r="24" spans="1:13" x14ac:dyDescent="0.3">
      <c r="A24" s="11" t="s">
        <v>47</v>
      </c>
      <c r="B24" s="12" t="s">
        <v>48</v>
      </c>
    </row>
  </sheetData>
  <hyperlinks>
    <hyperlink ref="B24" r:id="rId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zoomScaleNormal="100" workbookViewId="0"/>
  </sheetViews>
  <sheetFormatPr defaultColWidth="8.5546875" defaultRowHeight="14.4" x14ac:dyDescent="0.3"/>
  <cols>
    <col min="1" max="1" width="19.88671875" customWidth="1"/>
    <col min="2" max="2" width="10" customWidth="1"/>
    <col min="3" max="3" width="13" customWidth="1"/>
    <col min="4" max="4" width="10.44140625" customWidth="1"/>
    <col min="5" max="5" width="12" customWidth="1"/>
    <col min="6" max="6" width="9" customWidth="1"/>
    <col min="7" max="8" width="8" customWidth="1"/>
    <col min="9" max="11" width="7" customWidth="1"/>
    <col min="12" max="13" width="8" customWidth="1"/>
    <col min="14" max="14" width="40" customWidth="1"/>
    <col min="15" max="15" width="24" customWidth="1"/>
  </cols>
  <sheetData>
    <row r="1" spans="1:15" ht="16.8" x14ac:dyDescent="0.3">
      <c r="A1" s="1" t="s">
        <v>49</v>
      </c>
    </row>
    <row r="3" spans="1:15" ht="27" x14ac:dyDescent="0.3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62</v>
      </c>
      <c r="N3" s="5" t="s">
        <v>63</v>
      </c>
      <c r="O3" s="5" t="s">
        <v>64</v>
      </c>
    </row>
    <row r="4" spans="1:15" ht="22.8" x14ac:dyDescent="0.3">
      <c r="A4" s="13" t="s">
        <v>65</v>
      </c>
      <c r="B4" s="13" t="s">
        <v>66</v>
      </c>
      <c r="C4" s="13" t="s">
        <v>67</v>
      </c>
      <c r="D4" s="7">
        <v>16.600000000000001</v>
      </c>
      <c r="E4" s="14">
        <v>3.84</v>
      </c>
      <c r="F4" s="15" t="s">
        <v>68</v>
      </c>
      <c r="G4" s="14">
        <v>100</v>
      </c>
      <c r="H4" s="14">
        <v>35</v>
      </c>
      <c r="I4" s="14">
        <v>0.18</v>
      </c>
      <c r="J4" s="16">
        <v>2035</v>
      </c>
      <c r="K4" s="17">
        <v>0.06</v>
      </c>
      <c r="L4" s="14">
        <v>1.2</v>
      </c>
      <c r="M4" s="14">
        <v>1.5</v>
      </c>
      <c r="N4" s="18" t="s">
        <v>69</v>
      </c>
      <c r="O4" s="19" t="s">
        <v>70</v>
      </c>
    </row>
    <row r="5" spans="1:15" x14ac:dyDescent="0.3">
      <c r="A5" s="13" t="s">
        <v>71</v>
      </c>
      <c r="B5" s="13" t="s">
        <v>66</v>
      </c>
      <c r="C5" s="13" t="s">
        <v>72</v>
      </c>
      <c r="D5" s="7">
        <v>32</v>
      </c>
      <c r="E5" s="14">
        <v>3.92</v>
      </c>
      <c r="F5" s="15" t="s">
        <v>68</v>
      </c>
      <c r="G5" s="14">
        <v>120</v>
      </c>
      <c r="H5" s="14">
        <v>50</v>
      </c>
      <c r="I5" s="14">
        <v>0.16</v>
      </c>
      <c r="J5" s="16">
        <v>2033</v>
      </c>
      <c r="K5" s="17">
        <v>0.05</v>
      </c>
      <c r="L5" s="14">
        <v>1.2</v>
      </c>
      <c r="M5" s="14">
        <v>1.5</v>
      </c>
      <c r="N5" s="18" t="s">
        <v>73</v>
      </c>
      <c r="O5" s="19" t="s">
        <v>70</v>
      </c>
    </row>
    <row r="6" spans="1:15" ht="22.8" x14ac:dyDescent="0.3">
      <c r="A6" s="13" t="s">
        <v>74</v>
      </c>
      <c r="B6" s="13" t="s">
        <v>75</v>
      </c>
      <c r="C6" s="13" t="s">
        <v>67</v>
      </c>
      <c r="D6" s="7">
        <v>7.52</v>
      </c>
      <c r="E6" s="14">
        <v>0.22</v>
      </c>
      <c r="F6" s="15" t="s">
        <v>68</v>
      </c>
      <c r="G6" s="14">
        <v>40</v>
      </c>
      <c r="H6" s="14">
        <v>23</v>
      </c>
      <c r="I6" s="14">
        <v>0.2</v>
      </c>
      <c r="J6" s="16">
        <v>2036</v>
      </c>
      <c r="K6" s="17">
        <v>0.08</v>
      </c>
      <c r="L6" s="14">
        <v>1.3</v>
      </c>
      <c r="M6" s="14">
        <v>1.6</v>
      </c>
      <c r="N6" s="18" t="s">
        <v>76</v>
      </c>
      <c r="O6" s="19" t="s">
        <v>77</v>
      </c>
    </row>
    <row r="7" spans="1:15" x14ac:dyDescent="0.3">
      <c r="A7" s="13" t="s">
        <v>78</v>
      </c>
      <c r="B7" s="13" t="s">
        <v>75</v>
      </c>
      <c r="C7" s="13" t="s">
        <v>72</v>
      </c>
      <c r="D7" s="7">
        <v>7.3179999999999996</v>
      </c>
      <c r="E7" s="14">
        <v>0</v>
      </c>
      <c r="F7" s="15" t="s">
        <v>68</v>
      </c>
      <c r="G7" s="14">
        <v>45</v>
      </c>
      <c r="H7" s="14">
        <v>12</v>
      </c>
      <c r="I7" s="14">
        <v>0.2</v>
      </c>
      <c r="J7" s="16">
        <v>2037</v>
      </c>
      <c r="K7" s="17">
        <v>0.08</v>
      </c>
      <c r="L7" s="14">
        <v>1.3</v>
      </c>
      <c r="M7" s="14">
        <v>1.6</v>
      </c>
      <c r="N7" s="18" t="s">
        <v>79</v>
      </c>
      <c r="O7" s="19" t="s">
        <v>77</v>
      </c>
    </row>
    <row r="8" spans="1:15" x14ac:dyDescent="0.3">
      <c r="A8" s="13" t="s">
        <v>80</v>
      </c>
      <c r="B8" s="13" t="s">
        <v>81</v>
      </c>
      <c r="C8" s="13" t="s">
        <v>67</v>
      </c>
      <c r="D8" s="7">
        <v>7.6</v>
      </c>
      <c r="E8" s="14">
        <v>1.23</v>
      </c>
      <c r="F8" s="15" t="s">
        <v>68</v>
      </c>
      <c r="G8" s="14">
        <v>45</v>
      </c>
      <c r="H8" s="14">
        <v>15</v>
      </c>
      <c r="I8" s="14">
        <v>0.18</v>
      </c>
      <c r="J8" s="16">
        <v>2035</v>
      </c>
      <c r="K8" s="17">
        <v>0.06</v>
      </c>
      <c r="L8" s="14">
        <v>1.2</v>
      </c>
      <c r="M8" s="14">
        <v>1.5</v>
      </c>
      <c r="N8" s="18" t="s">
        <v>82</v>
      </c>
      <c r="O8" s="19" t="s">
        <v>83</v>
      </c>
    </row>
    <row r="9" spans="1:15" x14ac:dyDescent="0.3">
      <c r="A9" s="13" t="s">
        <v>84</v>
      </c>
      <c r="B9" s="13" t="s">
        <v>81</v>
      </c>
      <c r="C9" s="13" t="s">
        <v>72</v>
      </c>
      <c r="D9" s="7">
        <v>4.7169999999999996</v>
      </c>
      <c r="E9" s="14">
        <v>0.52600000000000002</v>
      </c>
      <c r="F9" s="15" t="s">
        <v>68</v>
      </c>
      <c r="G9" s="14">
        <v>30</v>
      </c>
      <c r="H9" s="14">
        <v>8</v>
      </c>
      <c r="I9" s="14">
        <v>0.16</v>
      </c>
      <c r="J9" s="16">
        <v>2035</v>
      </c>
      <c r="K9" s="17">
        <v>0.06</v>
      </c>
      <c r="L9" s="14">
        <v>1.2</v>
      </c>
      <c r="M9" s="14">
        <v>1.5</v>
      </c>
      <c r="N9" s="18" t="s">
        <v>85</v>
      </c>
      <c r="O9" s="19" t="s">
        <v>83</v>
      </c>
    </row>
    <row r="10" spans="1:15" x14ac:dyDescent="0.3">
      <c r="A10" s="13" t="s">
        <v>86</v>
      </c>
      <c r="B10" s="13" t="s">
        <v>87</v>
      </c>
      <c r="C10" s="13" t="s">
        <v>67</v>
      </c>
      <c r="D10" s="7">
        <v>1.7405999999999999</v>
      </c>
      <c r="E10" s="14">
        <v>0.221</v>
      </c>
      <c r="F10" s="15" t="s">
        <v>68</v>
      </c>
      <c r="G10" s="14">
        <v>12</v>
      </c>
      <c r="H10" s="14">
        <v>3</v>
      </c>
      <c r="I10" s="14">
        <v>0.18</v>
      </c>
      <c r="J10" s="16">
        <v>2037</v>
      </c>
      <c r="K10" s="17">
        <v>7.0000000000000007E-2</v>
      </c>
      <c r="L10" s="14">
        <v>1.3</v>
      </c>
      <c r="M10" s="14">
        <v>1.6</v>
      </c>
      <c r="N10" s="18" t="s">
        <v>88</v>
      </c>
      <c r="O10" s="19" t="s">
        <v>89</v>
      </c>
    </row>
    <row r="11" spans="1:15" x14ac:dyDescent="0.3">
      <c r="A11" s="13" t="s">
        <v>90</v>
      </c>
      <c r="B11" s="13" t="s">
        <v>87</v>
      </c>
      <c r="C11" s="13" t="s">
        <v>72</v>
      </c>
      <c r="D11" s="7">
        <v>4.3202999999999996</v>
      </c>
      <c r="E11" s="14">
        <v>0.34300000000000003</v>
      </c>
      <c r="F11" s="15" t="s">
        <v>68</v>
      </c>
      <c r="G11" s="14">
        <v>25</v>
      </c>
      <c r="H11" s="14">
        <v>7</v>
      </c>
      <c r="I11" s="14">
        <v>0.16</v>
      </c>
      <c r="J11" s="16">
        <v>2036</v>
      </c>
      <c r="K11" s="17">
        <v>0.06</v>
      </c>
      <c r="L11" s="14">
        <v>1.25</v>
      </c>
      <c r="M11" s="14">
        <v>1.55</v>
      </c>
      <c r="N11" s="18" t="s">
        <v>91</v>
      </c>
      <c r="O11" s="19" t="s">
        <v>89</v>
      </c>
    </row>
    <row r="12" spans="1:15" x14ac:dyDescent="0.3">
      <c r="A12" s="13" t="s">
        <v>92</v>
      </c>
      <c r="B12" s="13" t="s">
        <v>93</v>
      </c>
      <c r="C12" s="13" t="s">
        <v>67</v>
      </c>
      <c r="D12" s="7">
        <v>1.3925000000000001</v>
      </c>
      <c r="E12" s="14">
        <v>0.40400000000000003</v>
      </c>
      <c r="F12" s="15" t="s">
        <v>68</v>
      </c>
      <c r="G12" s="14">
        <v>28</v>
      </c>
      <c r="H12" s="14">
        <v>6</v>
      </c>
      <c r="I12" s="14">
        <v>0.2</v>
      </c>
      <c r="J12" s="16">
        <v>2036</v>
      </c>
      <c r="K12" s="17">
        <v>0.1</v>
      </c>
      <c r="L12" s="14">
        <v>1.3</v>
      </c>
      <c r="M12" s="14">
        <v>1.6</v>
      </c>
      <c r="N12" s="18" t="s">
        <v>94</v>
      </c>
      <c r="O12" s="19" t="s">
        <v>95</v>
      </c>
    </row>
    <row r="13" spans="1:15" x14ac:dyDescent="0.3">
      <c r="A13" s="13" t="s">
        <v>96</v>
      </c>
      <c r="B13" s="13" t="s">
        <v>93</v>
      </c>
      <c r="C13" s="13" t="s">
        <v>72</v>
      </c>
      <c r="D13" s="7">
        <v>3.3799999999999997E-2</v>
      </c>
      <c r="E13" s="14">
        <v>5.0000000000000001E-3</v>
      </c>
      <c r="F13" s="15" t="s">
        <v>68</v>
      </c>
      <c r="G13" s="14">
        <v>7</v>
      </c>
      <c r="H13" s="14">
        <v>3</v>
      </c>
      <c r="I13" s="14">
        <v>0.22</v>
      </c>
      <c r="J13" s="16">
        <v>2034</v>
      </c>
      <c r="K13" s="17">
        <v>0.1</v>
      </c>
      <c r="L13" s="14">
        <v>1.4</v>
      </c>
      <c r="M13" s="14">
        <v>1.7</v>
      </c>
      <c r="N13" s="18" t="s">
        <v>97</v>
      </c>
      <c r="O13" s="19" t="s">
        <v>95</v>
      </c>
    </row>
    <row r="14" spans="1:15" x14ac:dyDescent="0.3">
      <c r="A14" s="13" t="s">
        <v>98</v>
      </c>
      <c r="B14" s="13" t="s">
        <v>99</v>
      </c>
      <c r="C14" s="13" t="s">
        <v>67</v>
      </c>
      <c r="D14" s="7">
        <v>0.52769999999999995</v>
      </c>
      <c r="E14" s="14">
        <v>6.5000000000000002E-2</v>
      </c>
      <c r="F14" s="15" t="s">
        <v>68</v>
      </c>
      <c r="G14" s="14">
        <v>8</v>
      </c>
      <c r="H14" s="14">
        <v>2.2999999999999998</v>
      </c>
      <c r="I14" s="14">
        <v>0.18</v>
      </c>
      <c r="J14" s="16">
        <v>2037</v>
      </c>
      <c r="K14" s="17">
        <v>0.1</v>
      </c>
      <c r="L14" s="14">
        <v>1.3</v>
      </c>
      <c r="M14" s="14">
        <v>1.6</v>
      </c>
      <c r="N14" s="18" t="s">
        <v>100</v>
      </c>
      <c r="O14" s="19" t="s">
        <v>101</v>
      </c>
    </row>
    <row r="15" spans="1:15" x14ac:dyDescent="0.3">
      <c r="A15" s="13" t="s">
        <v>102</v>
      </c>
      <c r="B15" s="13" t="s">
        <v>99</v>
      </c>
      <c r="C15" s="13" t="s">
        <v>72</v>
      </c>
      <c r="D15" s="7">
        <v>1.1507000000000001</v>
      </c>
      <c r="E15" s="14">
        <v>0.247</v>
      </c>
      <c r="F15" s="15" t="s">
        <v>68</v>
      </c>
      <c r="G15" s="14">
        <v>6</v>
      </c>
      <c r="H15" s="14">
        <v>1.5</v>
      </c>
      <c r="I15" s="14">
        <v>0.16</v>
      </c>
      <c r="J15" s="16">
        <v>2036</v>
      </c>
      <c r="K15" s="17">
        <v>0.08</v>
      </c>
      <c r="L15" s="14">
        <v>1.25</v>
      </c>
      <c r="M15" s="14">
        <v>1.55</v>
      </c>
      <c r="N15" s="18" t="s">
        <v>103</v>
      </c>
      <c r="O15" s="19" t="s">
        <v>101</v>
      </c>
    </row>
    <row r="17" spans="1:1" x14ac:dyDescent="0.3">
      <c r="A17" s="10" t="s">
        <v>104</v>
      </c>
    </row>
  </sheetData>
  <hyperlinks>
    <hyperlink ref="O4" r:id="rId1" xr:uid="{00000000-0004-0000-0200-000000000000}"/>
    <hyperlink ref="O5" r:id="rId2" xr:uid="{00000000-0004-0000-0200-000001000000}"/>
    <hyperlink ref="O6" r:id="rId3" xr:uid="{00000000-0004-0000-0200-000002000000}"/>
    <hyperlink ref="O7" r:id="rId4" xr:uid="{00000000-0004-0000-0200-000003000000}"/>
    <hyperlink ref="O8" r:id="rId5" xr:uid="{00000000-0004-0000-0200-000004000000}"/>
    <hyperlink ref="O9" r:id="rId6" xr:uid="{00000000-0004-0000-0200-000005000000}"/>
    <hyperlink ref="O10" r:id="rId7" xr:uid="{00000000-0004-0000-0200-000006000000}"/>
    <hyperlink ref="O11" r:id="rId8" xr:uid="{00000000-0004-0000-0200-000007000000}"/>
    <hyperlink ref="O12" r:id="rId9" xr:uid="{00000000-0004-0000-0200-000008000000}"/>
    <hyperlink ref="O13" r:id="rId10" xr:uid="{00000000-0004-0000-0200-000009000000}"/>
    <hyperlink ref="O14" r:id="rId11" xr:uid="{00000000-0004-0000-0200-00000A000000}"/>
    <hyperlink ref="O15" r:id="rId12" xr:uid="{00000000-0004-0000-02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4"/>
  <sheetViews>
    <sheetView zoomScaleNormal="100" workbookViewId="0"/>
  </sheetViews>
  <sheetFormatPr defaultColWidth="8.5546875" defaultRowHeight="14.4" x14ac:dyDescent="0.3"/>
  <cols>
    <col min="1" max="1" width="7" customWidth="1"/>
    <col min="2" max="49" width="11" customWidth="1"/>
  </cols>
  <sheetData>
    <row r="1" spans="1:49" ht="16.8" x14ac:dyDescent="0.3">
      <c r="A1" s="1" t="s">
        <v>105</v>
      </c>
    </row>
    <row r="2" spans="1:49" x14ac:dyDescent="0.3">
      <c r="B2" s="34" t="s">
        <v>14</v>
      </c>
      <c r="C2" s="34"/>
      <c r="D2" s="34"/>
      <c r="E2" s="34"/>
      <c r="F2" s="34" t="s">
        <v>15</v>
      </c>
      <c r="G2" s="34"/>
      <c r="H2" s="34"/>
      <c r="I2" s="34"/>
      <c r="J2" s="34" t="s">
        <v>16</v>
      </c>
      <c r="K2" s="34"/>
      <c r="L2" s="34"/>
      <c r="M2" s="34"/>
      <c r="N2" s="34" t="s">
        <v>17</v>
      </c>
      <c r="O2" s="34"/>
      <c r="P2" s="34"/>
      <c r="Q2" s="34"/>
      <c r="R2" s="34" t="s">
        <v>18</v>
      </c>
      <c r="S2" s="34"/>
      <c r="T2" s="34"/>
      <c r="U2" s="34"/>
      <c r="V2" s="34" t="s">
        <v>19</v>
      </c>
      <c r="W2" s="34"/>
      <c r="X2" s="34"/>
      <c r="Y2" s="34"/>
      <c r="Z2" s="34" t="s">
        <v>20</v>
      </c>
      <c r="AA2" s="34"/>
      <c r="AB2" s="34"/>
      <c r="AC2" s="34"/>
      <c r="AD2" s="34" t="s">
        <v>21</v>
      </c>
      <c r="AE2" s="34"/>
      <c r="AF2" s="34"/>
      <c r="AG2" s="34"/>
      <c r="AH2" s="34" t="s">
        <v>22</v>
      </c>
      <c r="AI2" s="34"/>
      <c r="AJ2" s="34"/>
      <c r="AK2" s="34"/>
      <c r="AL2" s="34" t="s">
        <v>23</v>
      </c>
      <c r="AM2" s="34"/>
      <c r="AN2" s="34"/>
      <c r="AO2" s="34"/>
      <c r="AP2" s="34" t="s">
        <v>24</v>
      </c>
      <c r="AQ2" s="34"/>
      <c r="AR2" s="34"/>
      <c r="AS2" s="34"/>
      <c r="AT2" s="34" t="s">
        <v>25</v>
      </c>
      <c r="AU2" s="34"/>
      <c r="AV2" s="34"/>
      <c r="AW2" s="34"/>
    </row>
    <row r="3" spans="1:49" ht="27" x14ac:dyDescent="0.3">
      <c r="A3" s="20" t="s">
        <v>13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106</v>
      </c>
      <c r="G3" s="5" t="s">
        <v>107</v>
      </c>
      <c r="H3" s="5" t="s">
        <v>108</v>
      </c>
      <c r="I3" s="5" t="s">
        <v>109</v>
      </c>
      <c r="J3" s="5" t="s">
        <v>106</v>
      </c>
      <c r="K3" s="5" t="s">
        <v>107</v>
      </c>
      <c r="L3" s="5" t="s">
        <v>108</v>
      </c>
      <c r="M3" s="5" t="s">
        <v>109</v>
      </c>
      <c r="N3" s="5" t="s">
        <v>106</v>
      </c>
      <c r="O3" s="5" t="s">
        <v>107</v>
      </c>
      <c r="P3" s="5" t="s">
        <v>108</v>
      </c>
      <c r="Q3" s="5" t="s">
        <v>109</v>
      </c>
      <c r="R3" s="5" t="s">
        <v>106</v>
      </c>
      <c r="S3" s="5" t="s">
        <v>107</v>
      </c>
      <c r="T3" s="5" t="s">
        <v>108</v>
      </c>
      <c r="U3" s="5" t="s">
        <v>109</v>
      </c>
      <c r="V3" s="5" t="s">
        <v>106</v>
      </c>
      <c r="W3" s="5" t="s">
        <v>107</v>
      </c>
      <c r="X3" s="5" t="s">
        <v>108</v>
      </c>
      <c r="Y3" s="5" t="s">
        <v>109</v>
      </c>
      <c r="Z3" s="5" t="s">
        <v>106</v>
      </c>
      <c r="AA3" s="5" t="s">
        <v>107</v>
      </c>
      <c r="AB3" s="5" t="s">
        <v>108</v>
      </c>
      <c r="AC3" s="5" t="s">
        <v>109</v>
      </c>
      <c r="AD3" s="5" t="s">
        <v>106</v>
      </c>
      <c r="AE3" s="5" t="s">
        <v>107</v>
      </c>
      <c r="AF3" s="5" t="s">
        <v>108</v>
      </c>
      <c r="AG3" s="5" t="s">
        <v>109</v>
      </c>
      <c r="AH3" s="5" t="s">
        <v>106</v>
      </c>
      <c r="AI3" s="5" t="s">
        <v>107</v>
      </c>
      <c r="AJ3" s="5" t="s">
        <v>108</v>
      </c>
      <c r="AK3" s="5" t="s">
        <v>109</v>
      </c>
      <c r="AL3" s="5" t="s">
        <v>106</v>
      </c>
      <c r="AM3" s="5" t="s">
        <v>107</v>
      </c>
      <c r="AN3" s="5" t="s">
        <v>108</v>
      </c>
      <c r="AO3" s="5" t="s">
        <v>109</v>
      </c>
      <c r="AP3" s="5" t="s">
        <v>106</v>
      </c>
      <c r="AQ3" s="5" t="s">
        <v>107</v>
      </c>
      <c r="AR3" s="5" t="s">
        <v>108</v>
      </c>
      <c r="AS3" s="5" t="s">
        <v>109</v>
      </c>
      <c r="AT3" s="5" t="s">
        <v>106</v>
      </c>
      <c r="AU3" s="5" t="s">
        <v>107</v>
      </c>
      <c r="AV3" s="5" t="s">
        <v>108</v>
      </c>
      <c r="AW3" s="5" t="s">
        <v>109</v>
      </c>
    </row>
    <row r="4" spans="1:49" x14ac:dyDescent="0.3">
      <c r="A4" s="21">
        <v>2010</v>
      </c>
      <c r="B4" s="7">
        <v>0</v>
      </c>
      <c r="C4" s="7">
        <v>0</v>
      </c>
      <c r="D4" s="22"/>
      <c r="E4" s="22"/>
      <c r="F4" s="7">
        <v>0.93</v>
      </c>
      <c r="G4" s="7">
        <v>0.93</v>
      </c>
      <c r="H4" s="22"/>
      <c r="I4" s="22"/>
      <c r="J4" s="7">
        <v>0.03</v>
      </c>
      <c r="K4" s="7">
        <v>0.03</v>
      </c>
      <c r="L4" s="22"/>
      <c r="M4" s="22"/>
      <c r="N4" s="7">
        <v>0.51900000000000002</v>
      </c>
      <c r="O4" s="7">
        <v>0.51900000000000002</v>
      </c>
      <c r="P4" s="22"/>
      <c r="Q4" s="22"/>
      <c r="R4" s="7">
        <v>0</v>
      </c>
      <c r="S4" s="7">
        <v>0</v>
      </c>
      <c r="T4" s="22"/>
      <c r="U4" s="22"/>
      <c r="V4" s="7">
        <v>0.16300000000000001</v>
      </c>
      <c r="W4" s="7">
        <v>0.16300000000000001</v>
      </c>
      <c r="X4" s="22"/>
      <c r="Y4" s="22"/>
      <c r="Z4" s="7">
        <v>6.0000000000000001E-3</v>
      </c>
      <c r="AA4" s="7">
        <v>6.0000000000000001E-3</v>
      </c>
      <c r="AB4" s="22"/>
      <c r="AC4" s="22"/>
      <c r="AD4" s="7">
        <v>5.3999999999999999E-2</v>
      </c>
      <c r="AE4" s="7">
        <v>5.3999999999999999E-2</v>
      </c>
      <c r="AF4" s="22"/>
      <c r="AG4" s="22"/>
      <c r="AH4" s="7">
        <v>0</v>
      </c>
      <c r="AI4" s="7">
        <v>0</v>
      </c>
      <c r="AJ4" s="22"/>
      <c r="AK4" s="22"/>
      <c r="AL4" s="7">
        <v>1.95E-2</v>
      </c>
      <c r="AM4" s="7">
        <v>1.95E-2</v>
      </c>
      <c r="AN4" s="22"/>
      <c r="AO4" s="22"/>
      <c r="AP4" s="7">
        <v>0</v>
      </c>
      <c r="AQ4" s="7">
        <v>0</v>
      </c>
      <c r="AR4" s="22"/>
      <c r="AS4" s="22"/>
      <c r="AT4" s="7">
        <v>6.9999999999999999E-4</v>
      </c>
      <c r="AU4" s="7">
        <v>6.9999999999999999E-4</v>
      </c>
      <c r="AV4" s="22"/>
      <c r="AW4" s="22"/>
    </row>
    <row r="5" spans="1:49" x14ac:dyDescent="0.3">
      <c r="A5" s="21">
        <v>2011</v>
      </c>
      <c r="B5" s="7">
        <v>0</v>
      </c>
      <c r="C5" s="7">
        <v>0</v>
      </c>
      <c r="D5" s="23">
        <f t="shared" ref="D5:D44" si="0">MAX(B5-B4,0)</f>
        <v>0</v>
      </c>
      <c r="E5" s="23">
        <f t="shared" ref="E5:E44" si="1">MAX(C5-C4,0)</f>
        <v>0</v>
      </c>
      <c r="F5" s="7">
        <v>1.43</v>
      </c>
      <c r="G5" s="7">
        <v>1.43</v>
      </c>
      <c r="H5" s="23">
        <f t="shared" ref="H5:H44" si="2">MAX(F5-F4,0)</f>
        <v>0.49999999999999989</v>
      </c>
      <c r="I5" s="23">
        <f t="shared" ref="I5:I44" si="3">MAX(G5-G4,0)</f>
        <v>0.49999999999999989</v>
      </c>
      <c r="J5" s="7">
        <v>0.04</v>
      </c>
      <c r="K5" s="7">
        <v>0.04</v>
      </c>
      <c r="L5" s="23">
        <f t="shared" ref="L5:L44" si="4">MAX(J5-J4,0)</f>
        <v>1.0000000000000002E-2</v>
      </c>
      <c r="M5" s="23">
        <f t="shared" ref="M5:M44" si="5">MAX(K5-K4,0)</f>
        <v>1.0000000000000002E-2</v>
      </c>
      <c r="N5" s="7">
        <v>0.60099999999999998</v>
      </c>
      <c r="O5" s="7">
        <v>0.60099999999999998</v>
      </c>
      <c r="P5" s="23">
        <f t="shared" ref="P5:P44" si="6">MAX(N5-N4,0)</f>
        <v>8.1999999999999962E-2</v>
      </c>
      <c r="Q5" s="23">
        <f t="shared" ref="Q5:Q44" si="7">MAX(O5-O4,0)</f>
        <v>8.1999999999999962E-2</v>
      </c>
      <c r="R5" s="7">
        <v>0</v>
      </c>
      <c r="S5" s="7">
        <v>0</v>
      </c>
      <c r="T5" s="23">
        <f t="shared" ref="T5:T44" si="8">MAX(R5-R4,0)</f>
        <v>0</v>
      </c>
      <c r="U5" s="23">
        <f t="shared" ref="U5:U44" si="9">MAX(S5-S4,0)</f>
        <v>0</v>
      </c>
      <c r="V5" s="7">
        <v>0.184</v>
      </c>
      <c r="W5" s="7">
        <v>0.184</v>
      </c>
      <c r="X5" s="23">
        <f t="shared" ref="X5:X44" si="10">MAX(V5-V4,0)</f>
        <v>2.0999999999999991E-2</v>
      </c>
      <c r="Y5" s="23">
        <f t="shared" ref="Y5:Y44" si="11">MAX(W5-W4,0)</f>
        <v>2.0999999999999991E-2</v>
      </c>
      <c r="Z5" s="7">
        <v>6.0000000000000001E-3</v>
      </c>
      <c r="AA5" s="7">
        <v>6.0000000000000001E-3</v>
      </c>
      <c r="AB5" s="23">
        <f t="shared" ref="AB5:AB44" si="12">MAX(Z5-Z4,0)</f>
        <v>0</v>
      </c>
      <c r="AC5" s="23">
        <f t="shared" ref="AC5:AC44" si="13">MAX(AA5-AA4,0)</f>
        <v>0</v>
      </c>
      <c r="AD5" s="7">
        <v>5.3999999999999999E-2</v>
      </c>
      <c r="AE5" s="7">
        <v>5.3999999999999999E-2</v>
      </c>
      <c r="AF5" s="23">
        <f t="shared" ref="AF5:AF44" si="14">MAX(AD5-AD4,0)</f>
        <v>0</v>
      </c>
      <c r="AG5" s="23">
        <f t="shared" ref="AG5:AG44" si="15">MAX(AE5-AE4,0)</f>
        <v>0</v>
      </c>
      <c r="AH5" s="7">
        <v>0</v>
      </c>
      <c r="AI5" s="7">
        <v>0</v>
      </c>
      <c r="AJ5" s="23">
        <f t="shared" ref="AJ5:AJ44" si="16">MAX(AH5-AH4,0)</f>
        <v>0</v>
      </c>
      <c r="AK5" s="23">
        <f t="shared" ref="AK5:AK44" si="17">MAX(AI5-AI4,0)</f>
        <v>0</v>
      </c>
      <c r="AL5" s="7">
        <v>1.95E-2</v>
      </c>
      <c r="AM5" s="7">
        <v>1.95E-2</v>
      </c>
      <c r="AN5" s="23">
        <f t="shared" ref="AN5:AN44" si="18">MAX(AL5-AL4,0)</f>
        <v>0</v>
      </c>
      <c r="AO5" s="23">
        <f t="shared" ref="AO5:AO44" si="19">MAX(AM5-AM4,0)</f>
        <v>0</v>
      </c>
      <c r="AP5" s="7">
        <v>0</v>
      </c>
      <c r="AQ5" s="7">
        <v>0</v>
      </c>
      <c r="AR5" s="23">
        <f t="shared" ref="AR5:AR44" si="20">MAX(AP5-AP4,0)</f>
        <v>0</v>
      </c>
      <c r="AS5" s="23">
        <f t="shared" ref="AS5:AS44" si="21">MAX(AQ5-AQ4,0)</f>
        <v>0</v>
      </c>
      <c r="AT5" s="7">
        <v>6.9999999999999999E-4</v>
      </c>
      <c r="AU5" s="7">
        <v>6.9999999999999999E-4</v>
      </c>
      <c r="AV5" s="23">
        <f t="shared" ref="AV5:AV44" si="22">MAX(AT5-AT4,0)</f>
        <v>0</v>
      </c>
      <c r="AW5" s="23">
        <f t="shared" ref="AW5:AW44" si="23">MAX(AU5-AU4,0)</f>
        <v>0</v>
      </c>
    </row>
    <row r="6" spans="1:49" x14ac:dyDescent="0.3">
      <c r="A6" s="21">
        <v>2012</v>
      </c>
      <c r="B6" s="7">
        <v>0</v>
      </c>
      <c r="C6" s="7">
        <v>0</v>
      </c>
      <c r="D6" s="23">
        <f t="shared" si="0"/>
        <v>0</v>
      </c>
      <c r="E6" s="23">
        <f t="shared" si="1"/>
        <v>0</v>
      </c>
      <c r="F6" s="7">
        <v>2.5</v>
      </c>
      <c r="G6" s="7">
        <v>2.5</v>
      </c>
      <c r="H6" s="23">
        <f t="shared" si="2"/>
        <v>1.07</v>
      </c>
      <c r="I6" s="23">
        <f t="shared" si="3"/>
        <v>1.07</v>
      </c>
      <c r="J6" s="7">
        <v>7.0000000000000007E-2</v>
      </c>
      <c r="K6" s="7">
        <v>7.0000000000000007E-2</v>
      </c>
      <c r="L6" s="23">
        <f t="shared" si="4"/>
        <v>3.0000000000000006E-2</v>
      </c>
      <c r="M6" s="23">
        <f t="shared" si="5"/>
        <v>3.0000000000000006E-2</v>
      </c>
      <c r="N6" s="7">
        <v>1.8149999999999999</v>
      </c>
      <c r="O6" s="7">
        <v>1.8149999999999999</v>
      </c>
      <c r="P6" s="23">
        <f t="shared" si="6"/>
        <v>1.214</v>
      </c>
      <c r="Q6" s="23">
        <f t="shared" si="7"/>
        <v>1.214</v>
      </c>
      <c r="R6" s="7">
        <v>2E-3</v>
      </c>
      <c r="S6" s="7">
        <v>2E-3</v>
      </c>
      <c r="T6" s="23">
        <f t="shared" si="8"/>
        <v>2E-3</v>
      </c>
      <c r="U6" s="23">
        <f t="shared" si="9"/>
        <v>2E-3</v>
      </c>
      <c r="V6" s="7">
        <v>0.20200000000000001</v>
      </c>
      <c r="W6" s="7">
        <v>0.20200000000000001</v>
      </c>
      <c r="X6" s="23">
        <f t="shared" si="10"/>
        <v>1.8000000000000016E-2</v>
      </c>
      <c r="Y6" s="23">
        <f t="shared" si="11"/>
        <v>1.8000000000000016E-2</v>
      </c>
      <c r="Z6" s="7">
        <v>8.0000000000000002E-3</v>
      </c>
      <c r="AA6" s="7">
        <v>8.0000000000000002E-3</v>
      </c>
      <c r="AB6" s="23">
        <f t="shared" si="12"/>
        <v>2E-3</v>
      </c>
      <c r="AC6" s="23">
        <f t="shared" si="13"/>
        <v>2E-3</v>
      </c>
      <c r="AD6" s="7">
        <v>0.129</v>
      </c>
      <c r="AE6" s="7">
        <v>0.129</v>
      </c>
      <c r="AF6" s="23">
        <f t="shared" si="14"/>
        <v>7.5000000000000011E-2</v>
      </c>
      <c r="AG6" s="23">
        <f t="shared" si="15"/>
        <v>7.5000000000000011E-2</v>
      </c>
      <c r="AH6" s="7">
        <v>0</v>
      </c>
      <c r="AI6" s="7">
        <v>0</v>
      </c>
      <c r="AJ6" s="23">
        <f t="shared" si="16"/>
        <v>0</v>
      </c>
      <c r="AK6" s="23">
        <f t="shared" si="17"/>
        <v>0</v>
      </c>
      <c r="AL6" s="7">
        <v>1.95E-2</v>
      </c>
      <c r="AM6" s="7">
        <v>1.95E-2</v>
      </c>
      <c r="AN6" s="23">
        <f t="shared" si="18"/>
        <v>0</v>
      </c>
      <c r="AO6" s="23">
        <f t="shared" si="19"/>
        <v>0</v>
      </c>
      <c r="AP6" s="7">
        <v>9.6000000000000002E-2</v>
      </c>
      <c r="AQ6" s="7">
        <v>9.6000000000000002E-2</v>
      </c>
      <c r="AR6" s="23">
        <f t="shared" si="20"/>
        <v>9.6000000000000002E-2</v>
      </c>
      <c r="AS6" s="23">
        <f t="shared" si="21"/>
        <v>9.6000000000000002E-2</v>
      </c>
      <c r="AT6" s="7">
        <v>6.9999999999999999E-4</v>
      </c>
      <c r="AU6" s="7">
        <v>6.9999999999999999E-4</v>
      </c>
      <c r="AV6" s="23">
        <f t="shared" si="22"/>
        <v>0</v>
      </c>
      <c r="AW6" s="23">
        <f t="shared" si="23"/>
        <v>0</v>
      </c>
    </row>
    <row r="7" spans="1:49" x14ac:dyDescent="0.3">
      <c r="A7" s="21">
        <v>2013</v>
      </c>
      <c r="B7" s="7">
        <v>0</v>
      </c>
      <c r="C7" s="7">
        <v>0</v>
      </c>
      <c r="D7" s="23">
        <f t="shared" si="0"/>
        <v>0</v>
      </c>
      <c r="E7" s="23">
        <f t="shared" si="1"/>
        <v>0</v>
      </c>
      <c r="F7" s="7">
        <v>3.47</v>
      </c>
      <c r="G7" s="7">
        <v>3.47</v>
      </c>
      <c r="H7" s="23">
        <f t="shared" si="2"/>
        <v>0.9700000000000002</v>
      </c>
      <c r="I7" s="23">
        <f t="shared" si="3"/>
        <v>0.9700000000000002</v>
      </c>
      <c r="J7" s="7">
        <v>0.1</v>
      </c>
      <c r="K7" s="7">
        <v>0.1</v>
      </c>
      <c r="L7" s="23">
        <f t="shared" si="4"/>
        <v>0.03</v>
      </c>
      <c r="M7" s="23">
        <f t="shared" si="5"/>
        <v>0.03</v>
      </c>
      <c r="N7" s="7">
        <v>2.1219999999999999</v>
      </c>
      <c r="O7" s="7">
        <v>2.1219999999999999</v>
      </c>
      <c r="P7" s="23">
        <f t="shared" si="6"/>
        <v>0.30699999999999994</v>
      </c>
      <c r="Q7" s="23">
        <f t="shared" si="7"/>
        <v>0.30699999999999994</v>
      </c>
      <c r="R7" s="7">
        <v>1.4999999999999999E-2</v>
      </c>
      <c r="S7" s="7">
        <v>1.4999999999999999E-2</v>
      </c>
      <c r="T7" s="23">
        <f t="shared" si="8"/>
        <v>1.2999999999999999E-2</v>
      </c>
      <c r="U7" s="23">
        <f t="shared" si="9"/>
        <v>1.2999999999999999E-2</v>
      </c>
      <c r="V7" s="7">
        <v>0.30099999999999999</v>
      </c>
      <c r="W7" s="7">
        <v>0.30099999999999999</v>
      </c>
      <c r="X7" s="23">
        <f t="shared" si="10"/>
        <v>9.8999999999999977E-2</v>
      </c>
      <c r="Y7" s="23">
        <f t="shared" si="11"/>
        <v>9.8999999999999977E-2</v>
      </c>
      <c r="Z7" s="7">
        <v>8.0000000000000002E-3</v>
      </c>
      <c r="AA7" s="7">
        <v>8.0000000000000002E-3</v>
      </c>
      <c r="AB7" s="23">
        <f t="shared" si="12"/>
        <v>0</v>
      </c>
      <c r="AC7" s="23">
        <f t="shared" si="13"/>
        <v>0</v>
      </c>
      <c r="AD7" s="7">
        <v>0.187</v>
      </c>
      <c r="AE7" s="7">
        <v>0.187</v>
      </c>
      <c r="AF7" s="23">
        <f t="shared" si="14"/>
        <v>5.7999999999999996E-2</v>
      </c>
      <c r="AG7" s="23">
        <f t="shared" si="15"/>
        <v>5.7999999999999996E-2</v>
      </c>
      <c r="AH7" s="7">
        <v>0</v>
      </c>
      <c r="AI7" s="7">
        <v>0</v>
      </c>
      <c r="AJ7" s="23">
        <f t="shared" si="16"/>
        <v>0</v>
      </c>
      <c r="AK7" s="23">
        <f t="shared" si="17"/>
        <v>0</v>
      </c>
      <c r="AL7" s="7">
        <v>1.95E-2</v>
      </c>
      <c r="AM7" s="7">
        <v>1.95E-2</v>
      </c>
      <c r="AN7" s="23">
        <f t="shared" si="18"/>
        <v>0</v>
      </c>
      <c r="AO7" s="23">
        <f t="shared" si="19"/>
        <v>0</v>
      </c>
      <c r="AP7" s="7">
        <v>9.6000000000000002E-2</v>
      </c>
      <c r="AQ7" s="7">
        <v>9.6000000000000002E-2</v>
      </c>
      <c r="AR7" s="23">
        <f t="shared" si="20"/>
        <v>0</v>
      </c>
      <c r="AS7" s="23">
        <f t="shared" si="21"/>
        <v>0</v>
      </c>
      <c r="AT7" s="7">
        <v>6.9999999999999999E-4</v>
      </c>
      <c r="AU7" s="7">
        <v>6.9999999999999999E-4</v>
      </c>
      <c r="AV7" s="23">
        <f t="shared" si="22"/>
        <v>0</v>
      </c>
      <c r="AW7" s="23">
        <f t="shared" si="23"/>
        <v>0</v>
      </c>
    </row>
    <row r="8" spans="1:49" x14ac:dyDescent="0.3">
      <c r="A8" s="21">
        <v>2014</v>
      </c>
      <c r="B8" s="7">
        <v>0</v>
      </c>
      <c r="C8" s="7">
        <v>0</v>
      </c>
      <c r="D8" s="23">
        <f t="shared" si="0"/>
        <v>0</v>
      </c>
      <c r="E8" s="23">
        <f t="shared" si="1"/>
        <v>0</v>
      </c>
      <c r="F8" s="7">
        <v>5.96</v>
      </c>
      <c r="G8" s="7">
        <v>5.96</v>
      </c>
      <c r="H8" s="23">
        <f t="shared" si="2"/>
        <v>2.4899999999999998</v>
      </c>
      <c r="I8" s="23">
        <f t="shared" si="3"/>
        <v>2.4899999999999998</v>
      </c>
      <c r="J8" s="7">
        <v>7.0000000000000007E-2</v>
      </c>
      <c r="K8" s="7">
        <v>7.0000000000000007E-2</v>
      </c>
      <c r="L8" s="23">
        <f t="shared" si="4"/>
        <v>0</v>
      </c>
      <c r="M8" s="23">
        <f t="shared" si="5"/>
        <v>0</v>
      </c>
      <c r="N8" s="7">
        <v>2.569</v>
      </c>
      <c r="O8" s="7">
        <v>2.569</v>
      </c>
      <c r="P8" s="23">
        <f t="shared" si="6"/>
        <v>0.44700000000000006</v>
      </c>
      <c r="Q8" s="23">
        <f t="shared" si="7"/>
        <v>0.44700000000000006</v>
      </c>
      <c r="R8" s="7">
        <v>0.22</v>
      </c>
      <c r="S8" s="7">
        <v>0.22</v>
      </c>
      <c r="T8" s="23">
        <f t="shared" si="8"/>
        <v>0.20500000000000002</v>
      </c>
      <c r="U8" s="23">
        <f t="shared" si="9"/>
        <v>0.20500000000000002</v>
      </c>
      <c r="V8" s="7">
        <v>0.73599999999999999</v>
      </c>
      <c r="W8" s="7">
        <v>0.73599999999999999</v>
      </c>
      <c r="X8" s="23">
        <f t="shared" si="10"/>
        <v>0.435</v>
      </c>
      <c r="Y8" s="23">
        <f t="shared" si="11"/>
        <v>0.435</v>
      </c>
      <c r="Z8" s="7">
        <v>8.0000000000000002E-3</v>
      </c>
      <c r="AA8" s="7">
        <v>8.0000000000000002E-3</v>
      </c>
      <c r="AB8" s="23">
        <f t="shared" si="12"/>
        <v>0</v>
      </c>
      <c r="AC8" s="23">
        <f t="shared" si="13"/>
        <v>0</v>
      </c>
      <c r="AD8" s="7">
        <v>0.188</v>
      </c>
      <c r="AE8" s="7">
        <v>0.188</v>
      </c>
      <c r="AF8" s="23">
        <f t="shared" si="14"/>
        <v>1.0000000000000009E-3</v>
      </c>
      <c r="AG8" s="23">
        <f t="shared" si="15"/>
        <v>1.0000000000000009E-3</v>
      </c>
      <c r="AH8" s="7">
        <v>0</v>
      </c>
      <c r="AI8" s="7">
        <v>0</v>
      </c>
      <c r="AJ8" s="23">
        <f t="shared" si="16"/>
        <v>0</v>
      </c>
      <c r="AK8" s="23">
        <f t="shared" si="17"/>
        <v>0</v>
      </c>
      <c r="AL8" s="7">
        <v>1.84E-2</v>
      </c>
      <c r="AM8" s="7">
        <v>1.84E-2</v>
      </c>
      <c r="AN8" s="23">
        <f t="shared" si="18"/>
        <v>0</v>
      </c>
      <c r="AO8" s="23">
        <f t="shared" si="19"/>
        <v>0</v>
      </c>
      <c r="AP8" s="7">
        <v>9.6000000000000002E-2</v>
      </c>
      <c r="AQ8" s="7">
        <v>9.6000000000000002E-2</v>
      </c>
      <c r="AR8" s="23">
        <f t="shared" si="20"/>
        <v>0</v>
      </c>
      <c r="AS8" s="23">
        <f t="shared" si="21"/>
        <v>0</v>
      </c>
      <c r="AT8" s="7">
        <v>0.14199999999999999</v>
      </c>
      <c r="AU8" s="7">
        <v>0.14199999999999999</v>
      </c>
      <c r="AV8" s="23">
        <f t="shared" si="22"/>
        <v>0.14129999999999998</v>
      </c>
      <c r="AW8" s="23">
        <f t="shared" si="23"/>
        <v>0.14129999999999998</v>
      </c>
    </row>
    <row r="9" spans="1:49" x14ac:dyDescent="0.3">
      <c r="A9" s="21">
        <v>2015</v>
      </c>
      <c r="B9" s="7">
        <v>0</v>
      </c>
      <c r="C9" s="7">
        <v>0</v>
      </c>
      <c r="D9" s="23">
        <f t="shared" si="0"/>
        <v>0</v>
      </c>
      <c r="E9" s="23">
        <f t="shared" si="1"/>
        <v>0</v>
      </c>
      <c r="F9" s="7">
        <v>8.7149999999999999</v>
      </c>
      <c r="G9" s="7">
        <v>8.7149999999999999</v>
      </c>
      <c r="H9" s="23">
        <f t="shared" si="2"/>
        <v>2.7549999999999999</v>
      </c>
      <c r="I9" s="23">
        <f t="shared" si="3"/>
        <v>2.7549999999999999</v>
      </c>
      <c r="J9" s="7">
        <v>0.15</v>
      </c>
      <c r="K9" s="7">
        <v>0.15</v>
      </c>
      <c r="L9" s="23">
        <f t="shared" si="4"/>
        <v>7.9999999999999988E-2</v>
      </c>
      <c r="M9" s="23">
        <f t="shared" si="5"/>
        <v>7.9999999999999988E-2</v>
      </c>
      <c r="N9" s="7">
        <v>3.2709999999999999</v>
      </c>
      <c r="O9" s="7">
        <v>3.2709999999999999</v>
      </c>
      <c r="P9" s="23">
        <f t="shared" si="6"/>
        <v>0.70199999999999996</v>
      </c>
      <c r="Q9" s="23">
        <f t="shared" si="7"/>
        <v>0.70199999999999996</v>
      </c>
      <c r="R9" s="7">
        <v>0.55000000000000004</v>
      </c>
      <c r="S9" s="7">
        <v>0.55000000000000004</v>
      </c>
      <c r="T9" s="23">
        <f t="shared" si="8"/>
        <v>0.33000000000000007</v>
      </c>
      <c r="U9" s="23">
        <f t="shared" si="9"/>
        <v>0.33000000000000007</v>
      </c>
      <c r="V9" s="7">
        <v>0.91</v>
      </c>
      <c r="W9" s="7">
        <v>0.91</v>
      </c>
      <c r="X9" s="23">
        <f t="shared" si="10"/>
        <v>0.17400000000000004</v>
      </c>
      <c r="Y9" s="23">
        <f t="shared" si="11"/>
        <v>0.17400000000000004</v>
      </c>
      <c r="Z9" s="7">
        <v>1.4200000000000001E-2</v>
      </c>
      <c r="AA9" s="7">
        <v>1.4200000000000001E-2</v>
      </c>
      <c r="AB9" s="23">
        <f t="shared" si="12"/>
        <v>6.2000000000000006E-3</v>
      </c>
      <c r="AC9" s="23">
        <f t="shared" si="13"/>
        <v>6.2000000000000006E-3</v>
      </c>
      <c r="AD9" s="7">
        <v>0.18820000000000001</v>
      </c>
      <c r="AE9" s="7">
        <v>0.18820000000000001</v>
      </c>
      <c r="AF9" s="23">
        <f t="shared" si="14"/>
        <v>2.0000000000000573E-4</v>
      </c>
      <c r="AG9" s="23">
        <f t="shared" si="15"/>
        <v>2.0000000000000573E-4</v>
      </c>
      <c r="AH9" s="7">
        <v>1.5E-3</v>
      </c>
      <c r="AI9" s="7">
        <v>1.5E-3</v>
      </c>
      <c r="AJ9" s="23">
        <f t="shared" si="16"/>
        <v>1.5E-3</v>
      </c>
      <c r="AK9" s="23">
        <f t="shared" si="17"/>
        <v>1.5E-3</v>
      </c>
      <c r="AL9" s="7">
        <v>1.7999999999999999E-2</v>
      </c>
      <c r="AM9" s="7">
        <v>1.7999999999999999E-2</v>
      </c>
      <c r="AN9" s="23">
        <f t="shared" si="18"/>
        <v>0</v>
      </c>
      <c r="AO9" s="23">
        <f t="shared" si="19"/>
        <v>0</v>
      </c>
      <c r="AP9" s="7">
        <v>0.13489999999999999</v>
      </c>
      <c r="AQ9" s="7">
        <v>0.13489999999999999</v>
      </c>
      <c r="AR9" s="23">
        <f t="shared" si="20"/>
        <v>3.889999999999999E-2</v>
      </c>
      <c r="AS9" s="23">
        <f t="shared" si="21"/>
        <v>3.889999999999999E-2</v>
      </c>
      <c r="AT9" s="7">
        <v>0.23980000000000001</v>
      </c>
      <c r="AU9" s="7">
        <v>0.23980000000000001</v>
      </c>
      <c r="AV9" s="23">
        <f t="shared" si="22"/>
        <v>9.7800000000000026E-2</v>
      </c>
      <c r="AW9" s="23">
        <f t="shared" si="23"/>
        <v>9.7800000000000026E-2</v>
      </c>
    </row>
    <row r="10" spans="1:49" x14ac:dyDescent="0.3">
      <c r="A10" s="21">
        <v>2016</v>
      </c>
      <c r="B10" s="7">
        <v>0.1</v>
      </c>
      <c r="C10" s="7">
        <v>0.1</v>
      </c>
      <c r="D10" s="23">
        <f t="shared" si="0"/>
        <v>0.1</v>
      </c>
      <c r="E10" s="23">
        <f t="shared" si="1"/>
        <v>0.1</v>
      </c>
      <c r="F10" s="7">
        <v>10.74</v>
      </c>
      <c r="G10" s="7">
        <v>10.74</v>
      </c>
      <c r="H10" s="23">
        <f t="shared" si="2"/>
        <v>2.0250000000000004</v>
      </c>
      <c r="I10" s="23">
        <f t="shared" si="3"/>
        <v>2.0250000000000004</v>
      </c>
      <c r="J10" s="7">
        <v>0.36</v>
      </c>
      <c r="K10" s="7">
        <v>0.36</v>
      </c>
      <c r="L10" s="23">
        <f t="shared" si="4"/>
        <v>0.21</v>
      </c>
      <c r="M10" s="23">
        <f t="shared" si="5"/>
        <v>0.21</v>
      </c>
      <c r="N10" s="7">
        <v>4.0510000000000002</v>
      </c>
      <c r="O10" s="7">
        <v>4.0510000000000002</v>
      </c>
      <c r="P10" s="23">
        <f t="shared" si="6"/>
        <v>0.78000000000000025</v>
      </c>
      <c r="Q10" s="23">
        <f t="shared" si="7"/>
        <v>0.78000000000000025</v>
      </c>
      <c r="R10" s="7">
        <v>1.08</v>
      </c>
      <c r="S10" s="7">
        <v>1.08</v>
      </c>
      <c r="T10" s="23">
        <f t="shared" si="8"/>
        <v>0.53</v>
      </c>
      <c r="U10" s="23">
        <f t="shared" si="9"/>
        <v>0.53</v>
      </c>
      <c r="V10" s="7">
        <v>1.0389999999999999</v>
      </c>
      <c r="W10" s="7">
        <v>1.0389999999999999</v>
      </c>
      <c r="X10" s="23">
        <f t="shared" si="10"/>
        <v>0.12899999999999989</v>
      </c>
      <c r="Y10" s="23">
        <f t="shared" si="11"/>
        <v>0.12899999999999989</v>
      </c>
      <c r="Z10" s="7">
        <v>1.37E-2</v>
      </c>
      <c r="AA10" s="7">
        <v>1.37E-2</v>
      </c>
      <c r="AB10" s="23">
        <f t="shared" si="12"/>
        <v>0</v>
      </c>
      <c r="AC10" s="23">
        <f t="shared" si="13"/>
        <v>0</v>
      </c>
      <c r="AD10" s="7">
        <v>0.18820000000000001</v>
      </c>
      <c r="AE10" s="7">
        <v>0.18820000000000001</v>
      </c>
      <c r="AF10" s="23">
        <f t="shared" si="14"/>
        <v>0</v>
      </c>
      <c r="AG10" s="23">
        <f t="shared" si="15"/>
        <v>0</v>
      </c>
      <c r="AH10" s="7">
        <v>1.5E-3</v>
      </c>
      <c r="AI10" s="7">
        <v>1.5E-3</v>
      </c>
      <c r="AJ10" s="23">
        <f t="shared" si="16"/>
        <v>0</v>
      </c>
      <c r="AK10" s="23">
        <f t="shared" si="17"/>
        <v>0</v>
      </c>
      <c r="AL10" s="7">
        <v>1.7999999999999999E-2</v>
      </c>
      <c r="AM10" s="7">
        <v>1.7999999999999999E-2</v>
      </c>
      <c r="AN10" s="23">
        <f t="shared" si="18"/>
        <v>0</v>
      </c>
      <c r="AO10" s="23">
        <f t="shared" si="19"/>
        <v>0</v>
      </c>
      <c r="AP10" s="7">
        <v>0.14610000000000001</v>
      </c>
      <c r="AQ10" s="7">
        <v>0.14610000000000001</v>
      </c>
      <c r="AR10" s="23">
        <f t="shared" si="20"/>
        <v>1.1200000000000015E-2</v>
      </c>
      <c r="AS10" s="23">
        <f t="shared" si="21"/>
        <v>1.1200000000000015E-2</v>
      </c>
      <c r="AT10" s="7">
        <v>0.24</v>
      </c>
      <c r="AU10" s="7">
        <v>0.24</v>
      </c>
      <c r="AV10" s="23">
        <f t="shared" si="22"/>
        <v>1.9999999999997797E-4</v>
      </c>
      <c r="AW10" s="23">
        <f t="shared" si="23"/>
        <v>1.9999999999997797E-4</v>
      </c>
    </row>
    <row r="11" spans="1:49" x14ac:dyDescent="0.3">
      <c r="A11" s="21">
        <v>2017</v>
      </c>
      <c r="B11" s="7">
        <v>1.1000000000000001</v>
      </c>
      <c r="C11" s="7">
        <v>1.1000000000000001</v>
      </c>
      <c r="D11" s="23">
        <f t="shared" si="0"/>
        <v>1</v>
      </c>
      <c r="E11" s="23">
        <f t="shared" si="1"/>
        <v>1</v>
      </c>
      <c r="F11" s="7">
        <v>12.76</v>
      </c>
      <c r="G11" s="7">
        <v>12.76</v>
      </c>
      <c r="H11" s="23">
        <f t="shared" si="2"/>
        <v>2.0199999999999996</v>
      </c>
      <c r="I11" s="23">
        <f t="shared" si="3"/>
        <v>2.0199999999999996</v>
      </c>
      <c r="J11" s="7">
        <v>0.67</v>
      </c>
      <c r="K11" s="7">
        <v>0.67</v>
      </c>
      <c r="L11" s="23">
        <f t="shared" si="4"/>
        <v>0.31000000000000005</v>
      </c>
      <c r="M11" s="23">
        <f t="shared" si="5"/>
        <v>0.31000000000000005</v>
      </c>
      <c r="N11" s="7">
        <v>4.18</v>
      </c>
      <c r="O11" s="7">
        <v>4.18</v>
      </c>
      <c r="P11" s="23">
        <f t="shared" si="6"/>
        <v>0.12899999999999956</v>
      </c>
      <c r="Q11" s="23">
        <f t="shared" si="7"/>
        <v>0.12899999999999956</v>
      </c>
      <c r="R11" s="7">
        <v>1.64</v>
      </c>
      <c r="S11" s="7">
        <v>1.64</v>
      </c>
      <c r="T11" s="23">
        <f t="shared" si="8"/>
        <v>0.55999999999999983</v>
      </c>
      <c r="U11" s="23">
        <f t="shared" si="9"/>
        <v>0.55999999999999983</v>
      </c>
      <c r="V11" s="7">
        <v>1.302</v>
      </c>
      <c r="W11" s="7">
        <v>1.302</v>
      </c>
      <c r="X11" s="23">
        <f t="shared" si="10"/>
        <v>0.26300000000000012</v>
      </c>
      <c r="Y11" s="23">
        <f t="shared" si="11"/>
        <v>0.26300000000000012</v>
      </c>
      <c r="Z11" s="7">
        <v>1.3599999999999999E-2</v>
      </c>
      <c r="AA11" s="7">
        <v>1.3599999999999999E-2</v>
      </c>
      <c r="AB11" s="23">
        <f t="shared" si="12"/>
        <v>0</v>
      </c>
      <c r="AC11" s="23">
        <f t="shared" si="13"/>
        <v>0</v>
      </c>
      <c r="AD11" s="7">
        <v>0.2276</v>
      </c>
      <c r="AE11" s="7">
        <v>0.2276</v>
      </c>
      <c r="AF11" s="23">
        <f t="shared" si="14"/>
        <v>3.9399999999999991E-2</v>
      </c>
      <c r="AG11" s="23">
        <f t="shared" si="15"/>
        <v>3.9399999999999991E-2</v>
      </c>
      <c r="AH11" s="7">
        <v>1.1299999999999999E-2</v>
      </c>
      <c r="AI11" s="7">
        <v>1.1299999999999999E-2</v>
      </c>
      <c r="AJ11" s="23">
        <f t="shared" si="16"/>
        <v>9.7999999999999997E-3</v>
      </c>
      <c r="AK11" s="23">
        <f t="shared" si="17"/>
        <v>9.7999999999999997E-3</v>
      </c>
      <c r="AL11" s="7">
        <v>1.7999999999999999E-2</v>
      </c>
      <c r="AM11" s="7">
        <v>1.7999999999999999E-2</v>
      </c>
      <c r="AN11" s="23">
        <f t="shared" si="18"/>
        <v>0</v>
      </c>
      <c r="AO11" s="23">
        <f t="shared" si="19"/>
        <v>0</v>
      </c>
      <c r="AP11" s="7">
        <v>0.2979</v>
      </c>
      <c r="AQ11" s="7">
        <v>0.2979</v>
      </c>
      <c r="AR11" s="23">
        <f t="shared" si="20"/>
        <v>0.15179999999999999</v>
      </c>
      <c r="AS11" s="23">
        <f t="shared" si="21"/>
        <v>0.15179999999999999</v>
      </c>
      <c r="AT11" s="7">
        <v>0.24</v>
      </c>
      <c r="AU11" s="7">
        <v>0.24</v>
      </c>
      <c r="AV11" s="23">
        <f t="shared" si="22"/>
        <v>0</v>
      </c>
      <c r="AW11" s="23">
        <f t="shared" si="23"/>
        <v>0</v>
      </c>
    </row>
    <row r="12" spans="1:49" x14ac:dyDescent="0.3">
      <c r="A12" s="21">
        <v>2018</v>
      </c>
      <c r="B12" s="7">
        <v>1.6</v>
      </c>
      <c r="C12" s="7">
        <v>1.6</v>
      </c>
      <c r="D12" s="23">
        <f t="shared" si="0"/>
        <v>0.5</v>
      </c>
      <c r="E12" s="23">
        <f t="shared" si="1"/>
        <v>0.5</v>
      </c>
      <c r="F12" s="7">
        <v>14.71</v>
      </c>
      <c r="G12" s="7">
        <v>14.71</v>
      </c>
      <c r="H12" s="23">
        <f t="shared" si="2"/>
        <v>1.9500000000000011</v>
      </c>
      <c r="I12" s="23">
        <f t="shared" si="3"/>
        <v>1.9500000000000011</v>
      </c>
      <c r="J12" s="7">
        <v>2.06</v>
      </c>
      <c r="K12" s="7">
        <v>2.06</v>
      </c>
      <c r="L12" s="23">
        <f t="shared" si="4"/>
        <v>1.3900000000000001</v>
      </c>
      <c r="M12" s="23">
        <f t="shared" si="5"/>
        <v>1.3900000000000001</v>
      </c>
      <c r="N12" s="7">
        <v>4.18</v>
      </c>
      <c r="O12" s="7">
        <v>4.18</v>
      </c>
      <c r="P12" s="23">
        <f t="shared" si="6"/>
        <v>0</v>
      </c>
      <c r="Q12" s="23">
        <f t="shared" si="7"/>
        <v>0</v>
      </c>
      <c r="R12" s="7">
        <v>2.15</v>
      </c>
      <c r="S12" s="7">
        <v>2.15</v>
      </c>
      <c r="T12" s="23">
        <f t="shared" si="8"/>
        <v>0.51</v>
      </c>
      <c r="U12" s="23">
        <f t="shared" si="9"/>
        <v>0.51</v>
      </c>
      <c r="V12" s="7">
        <v>1.6919999999999999</v>
      </c>
      <c r="W12" s="7">
        <v>1.6919999999999999</v>
      </c>
      <c r="X12" s="23">
        <f t="shared" si="10"/>
        <v>0.3899999999999999</v>
      </c>
      <c r="Y12" s="23">
        <f t="shared" si="11"/>
        <v>0.3899999999999999</v>
      </c>
      <c r="Z12" s="7">
        <v>0.1961</v>
      </c>
      <c r="AA12" s="7">
        <v>0.1961</v>
      </c>
      <c r="AB12" s="23">
        <f t="shared" si="12"/>
        <v>0.1825</v>
      </c>
      <c r="AC12" s="23">
        <f t="shared" si="13"/>
        <v>0.1825</v>
      </c>
      <c r="AD12" s="7">
        <v>0.75119999999999998</v>
      </c>
      <c r="AE12" s="7">
        <v>0.75119999999999998</v>
      </c>
      <c r="AF12" s="23">
        <f t="shared" si="14"/>
        <v>0.52359999999999995</v>
      </c>
      <c r="AG12" s="23">
        <f t="shared" si="15"/>
        <v>0.52359999999999995</v>
      </c>
      <c r="AH12" s="7">
        <v>1.34E-2</v>
      </c>
      <c r="AI12" s="7">
        <v>1.34E-2</v>
      </c>
      <c r="AJ12" s="23">
        <f t="shared" si="16"/>
        <v>2.1000000000000012E-3</v>
      </c>
      <c r="AK12" s="23">
        <f t="shared" si="17"/>
        <v>2.1000000000000012E-3</v>
      </c>
      <c r="AL12" s="7">
        <v>1.7999999999999999E-2</v>
      </c>
      <c r="AM12" s="7">
        <v>1.7999999999999999E-2</v>
      </c>
      <c r="AN12" s="23">
        <f t="shared" si="18"/>
        <v>0</v>
      </c>
      <c r="AO12" s="23">
        <f t="shared" si="19"/>
        <v>0</v>
      </c>
      <c r="AP12" s="7">
        <v>0.32419999999999999</v>
      </c>
      <c r="AQ12" s="7">
        <v>0.32419999999999999</v>
      </c>
      <c r="AR12" s="23">
        <f t="shared" si="20"/>
        <v>2.629999999999999E-2</v>
      </c>
      <c r="AS12" s="23">
        <f t="shared" si="21"/>
        <v>2.629999999999999E-2</v>
      </c>
      <c r="AT12" s="7">
        <v>0.37230000000000002</v>
      </c>
      <c r="AU12" s="7">
        <v>0.37230000000000002</v>
      </c>
      <c r="AV12" s="23">
        <f t="shared" si="22"/>
        <v>0.13230000000000003</v>
      </c>
      <c r="AW12" s="23">
        <f t="shared" si="23"/>
        <v>0.13230000000000003</v>
      </c>
    </row>
    <row r="13" spans="1:49" x14ac:dyDescent="0.3">
      <c r="A13" s="21">
        <v>2019</v>
      </c>
      <c r="B13" s="7">
        <v>2.4</v>
      </c>
      <c r="C13" s="7">
        <v>2.4</v>
      </c>
      <c r="D13" s="23">
        <f t="shared" si="0"/>
        <v>0.79999999999999982</v>
      </c>
      <c r="E13" s="23">
        <f t="shared" si="1"/>
        <v>0.79999999999999982</v>
      </c>
      <c r="F13" s="7">
        <v>15.45</v>
      </c>
      <c r="G13" s="7">
        <v>15.45</v>
      </c>
      <c r="H13" s="23">
        <f t="shared" si="2"/>
        <v>0.73999999999999844</v>
      </c>
      <c r="I13" s="23">
        <f t="shared" si="3"/>
        <v>0.73999999999999844</v>
      </c>
      <c r="J13" s="7">
        <v>5.25</v>
      </c>
      <c r="K13" s="7">
        <v>5.25</v>
      </c>
      <c r="L13" s="23">
        <f t="shared" si="4"/>
        <v>3.19</v>
      </c>
      <c r="M13" s="23">
        <f t="shared" si="5"/>
        <v>3.19</v>
      </c>
      <c r="N13" s="7">
        <v>6.5410000000000004</v>
      </c>
      <c r="O13" s="7">
        <v>6.5410000000000004</v>
      </c>
      <c r="P13" s="23">
        <f t="shared" si="6"/>
        <v>2.3610000000000007</v>
      </c>
      <c r="Q13" s="23">
        <f t="shared" si="7"/>
        <v>2.3610000000000007</v>
      </c>
      <c r="R13" s="7">
        <v>2.5</v>
      </c>
      <c r="S13" s="7">
        <v>2.5</v>
      </c>
      <c r="T13" s="23">
        <f t="shared" si="8"/>
        <v>0.35000000000000009</v>
      </c>
      <c r="U13" s="23">
        <f t="shared" si="9"/>
        <v>0.35000000000000009</v>
      </c>
      <c r="V13" s="7">
        <v>1.9990000000000001</v>
      </c>
      <c r="W13" s="7">
        <v>1.9990000000000001</v>
      </c>
      <c r="X13" s="23">
        <f t="shared" si="10"/>
        <v>0.30700000000000016</v>
      </c>
      <c r="Y13" s="23">
        <f t="shared" si="11"/>
        <v>0.30700000000000016</v>
      </c>
      <c r="Z13" s="7">
        <v>0.44590000000000002</v>
      </c>
      <c r="AA13" s="7">
        <v>0.44590000000000002</v>
      </c>
      <c r="AB13" s="23">
        <f t="shared" si="12"/>
        <v>0.24980000000000002</v>
      </c>
      <c r="AC13" s="23">
        <f t="shared" si="13"/>
        <v>0.24980000000000002</v>
      </c>
      <c r="AD13" s="7">
        <v>1.6094999999999999</v>
      </c>
      <c r="AE13" s="7">
        <v>1.6094999999999999</v>
      </c>
      <c r="AF13" s="23">
        <f t="shared" si="14"/>
        <v>0.85829999999999995</v>
      </c>
      <c r="AG13" s="23">
        <f t="shared" si="15"/>
        <v>0.85829999999999995</v>
      </c>
      <c r="AH13" s="7">
        <v>2.3099999999999999E-2</v>
      </c>
      <c r="AI13" s="7">
        <v>2.3099999999999999E-2</v>
      </c>
      <c r="AJ13" s="23">
        <f t="shared" si="16"/>
        <v>9.6999999999999986E-3</v>
      </c>
      <c r="AK13" s="23">
        <f t="shared" si="17"/>
        <v>9.6999999999999986E-3</v>
      </c>
      <c r="AL13" s="7">
        <v>1.84E-2</v>
      </c>
      <c r="AM13" s="7">
        <v>1.84E-2</v>
      </c>
      <c r="AN13" s="23">
        <f t="shared" si="18"/>
        <v>4.0000000000000105E-4</v>
      </c>
      <c r="AO13" s="23">
        <f t="shared" si="19"/>
        <v>4.0000000000000105E-4</v>
      </c>
      <c r="AP13" s="7">
        <v>0.33479999999999999</v>
      </c>
      <c r="AQ13" s="7">
        <v>0.33479999999999999</v>
      </c>
      <c r="AR13" s="23">
        <f t="shared" si="20"/>
        <v>1.0599999999999998E-2</v>
      </c>
      <c r="AS13" s="23">
        <f t="shared" si="21"/>
        <v>1.0599999999999998E-2</v>
      </c>
      <c r="AT13" s="7">
        <v>0.37230000000000002</v>
      </c>
      <c r="AU13" s="7">
        <v>0.37230000000000002</v>
      </c>
      <c r="AV13" s="23">
        <f t="shared" si="22"/>
        <v>0</v>
      </c>
      <c r="AW13" s="23">
        <f t="shared" si="23"/>
        <v>0</v>
      </c>
    </row>
    <row r="14" spans="1:49" x14ac:dyDescent="0.3">
      <c r="A14" s="21">
        <v>2020</v>
      </c>
      <c r="B14" s="7">
        <v>3.5</v>
      </c>
      <c r="C14" s="7">
        <v>3.5</v>
      </c>
      <c r="D14" s="23">
        <f t="shared" si="0"/>
        <v>1.1000000000000001</v>
      </c>
      <c r="E14" s="23">
        <f t="shared" si="1"/>
        <v>1.1000000000000001</v>
      </c>
      <c r="F14" s="7">
        <v>17.75</v>
      </c>
      <c r="G14" s="7">
        <v>17.75</v>
      </c>
      <c r="H14" s="23">
        <f t="shared" si="2"/>
        <v>2.3000000000000007</v>
      </c>
      <c r="I14" s="23">
        <f t="shared" si="3"/>
        <v>2.3000000000000007</v>
      </c>
      <c r="J14" s="7">
        <v>5.59</v>
      </c>
      <c r="K14" s="7">
        <v>5.59</v>
      </c>
      <c r="L14" s="23">
        <f t="shared" si="4"/>
        <v>0.33999999999999986</v>
      </c>
      <c r="M14" s="23">
        <f t="shared" si="5"/>
        <v>0.33999999999999986</v>
      </c>
      <c r="N14" s="7">
        <v>6.9950000000000001</v>
      </c>
      <c r="O14" s="7">
        <v>6.9950000000000001</v>
      </c>
      <c r="P14" s="23">
        <f t="shared" si="6"/>
        <v>0.45399999999999974</v>
      </c>
      <c r="Q14" s="23">
        <f t="shared" si="7"/>
        <v>0.45399999999999974</v>
      </c>
      <c r="R14" s="7">
        <v>2.9</v>
      </c>
      <c r="S14" s="7">
        <v>2.9</v>
      </c>
      <c r="T14" s="23">
        <f t="shared" si="8"/>
        <v>0.39999999999999991</v>
      </c>
      <c r="U14" s="23">
        <f t="shared" si="9"/>
        <v>0.39999999999999991</v>
      </c>
      <c r="V14" s="7">
        <v>2.2930000000000001</v>
      </c>
      <c r="W14" s="7">
        <v>2.2930000000000001</v>
      </c>
      <c r="X14" s="23">
        <f t="shared" si="10"/>
        <v>0.29400000000000004</v>
      </c>
      <c r="Y14" s="23">
        <f t="shared" si="11"/>
        <v>0.29400000000000004</v>
      </c>
      <c r="Z14" s="7">
        <v>0.76790000000000003</v>
      </c>
      <c r="AA14" s="7">
        <v>0.76790000000000003</v>
      </c>
      <c r="AB14" s="23">
        <f t="shared" si="12"/>
        <v>0.32200000000000001</v>
      </c>
      <c r="AC14" s="23">
        <f t="shared" si="13"/>
        <v>0.32200000000000001</v>
      </c>
      <c r="AD14" s="7">
        <v>2.6240000000000001</v>
      </c>
      <c r="AE14" s="7">
        <v>2.6240000000000001</v>
      </c>
      <c r="AF14" s="23">
        <f t="shared" si="14"/>
        <v>1.0145000000000002</v>
      </c>
      <c r="AG14" s="23">
        <f t="shared" si="15"/>
        <v>1.0145000000000002</v>
      </c>
      <c r="AH14" s="7">
        <v>8.2699999999999996E-2</v>
      </c>
      <c r="AI14" s="7">
        <v>8.2699999999999996E-2</v>
      </c>
      <c r="AJ14" s="23">
        <f t="shared" si="16"/>
        <v>5.96E-2</v>
      </c>
      <c r="AK14" s="23">
        <f t="shared" si="17"/>
        <v>5.96E-2</v>
      </c>
      <c r="AL14" s="7">
        <v>1.84E-2</v>
      </c>
      <c r="AM14" s="7">
        <v>1.84E-2</v>
      </c>
      <c r="AN14" s="23">
        <f t="shared" si="18"/>
        <v>0</v>
      </c>
      <c r="AO14" s="23">
        <f t="shared" si="19"/>
        <v>0</v>
      </c>
      <c r="AP14" s="7">
        <v>0.33479999999999999</v>
      </c>
      <c r="AQ14" s="7">
        <v>0.33479999999999999</v>
      </c>
      <c r="AR14" s="23">
        <f t="shared" si="20"/>
        <v>0</v>
      </c>
      <c r="AS14" s="23">
        <f t="shared" si="21"/>
        <v>0</v>
      </c>
      <c r="AT14" s="7">
        <v>0.40899999999999997</v>
      </c>
      <c r="AU14" s="7">
        <v>0.40899999999999997</v>
      </c>
      <c r="AV14" s="23">
        <f t="shared" si="22"/>
        <v>3.6699999999999955E-2</v>
      </c>
      <c r="AW14" s="23">
        <f t="shared" si="23"/>
        <v>3.6699999999999955E-2</v>
      </c>
    </row>
    <row r="15" spans="1:49" x14ac:dyDescent="0.3">
      <c r="A15" s="21">
        <v>2021</v>
      </c>
      <c r="B15" s="7">
        <v>4.9000000000000004</v>
      </c>
      <c r="C15" s="7">
        <v>4.9000000000000004</v>
      </c>
      <c r="D15" s="23">
        <f t="shared" si="0"/>
        <v>1.4000000000000004</v>
      </c>
      <c r="E15" s="23">
        <f t="shared" si="1"/>
        <v>1.4000000000000004</v>
      </c>
      <c r="F15" s="7">
        <v>21.5</v>
      </c>
      <c r="G15" s="7">
        <v>21.5</v>
      </c>
      <c r="H15" s="23">
        <f t="shared" si="2"/>
        <v>3.75</v>
      </c>
      <c r="I15" s="23">
        <f t="shared" si="3"/>
        <v>3.75</v>
      </c>
      <c r="J15" s="7">
        <v>6.87</v>
      </c>
      <c r="K15" s="7">
        <v>6.87</v>
      </c>
      <c r="L15" s="23">
        <f t="shared" si="4"/>
        <v>1.2800000000000002</v>
      </c>
      <c r="M15" s="23">
        <f t="shared" si="5"/>
        <v>1.2800000000000002</v>
      </c>
      <c r="N15" s="7">
        <v>7.4690000000000003</v>
      </c>
      <c r="O15" s="7">
        <v>7.4690000000000003</v>
      </c>
      <c r="P15" s="23">
        <f t="shared" si="6"/>
        <v>0.4740000000000002</v>
      </c>
      <c r="Q15" s="23">
        <f t="shared" si="7"/>
        <v>0.4740000000000002</v>
      </c>
      <c r="R15" s="7">
        <v>3.9</v>
      </c>
      <c r="S15" s="7">
        <v>3.9</v>
      </c>
      <c r="T15" s="23">
        <f t="shared" si="8"/>
        <v>1</v>
      </c>
      <c r="U15" s="23">
        <f t="shared" si="9"/>
        <v>1</v>
      </c>
      <c r="V15" s="7">
        <v>3.14</v>
      </c>
      <c r="W15" s="7">
        <v>3.14</v>
      </c>
      <c r="X15" s="23">
        <f t="shared" si="10"/>
        <v>0.84699999999999998</v>
      </c>
      <c r="Y15" s="23">
        <f t="shared" si="11"/>
        <v>0.84699999999999998</v>
      </c>
      <c r="Z15" s="7">
        <v>1.0769</v>
      </c>
      <c r="AA15" s="7">
        <v>1.0769</v>
      </c>
      <c r="AB15" s="23">
        <f t="shared" si="12"/>
        <v>0.30899999999999994</v>
      </c>
      <c r="AC15" s="23">
        <f t="shared" si="13"/>
        <v>0.30899999999999994</v>
      </c>
      <c r="AD15" s="7">
        <v>3.2921999999999998</v>
      </c>
      <c r="AE15" s="7">
        <v>3.2921999999999998</v>
      </c>
      <c r="AF15" s="23">
        <f t="shared" si="14"/>
        <v>0.66819999999999968</v>
      </c>
      <c r="AG15" s="23">
        <f t="shared" si="15"/>
        <v>0.66819999999999968</v>
      </c>
      <c r="AH15" s="7">
        <v>0.18099999999999999</v>
      </c>
      <c r="AI15" s="7">
        <v>0.18099999999999999</v>
      </c>
      <c r="AJ15" s="23">
        <f t="shared" si="16"/>
        <v>9.8299999999999998E-2</v>
      </c>
      <c r="AK15" s="23">
        <f t="shared" si="17"/>
        <v>9.8299999999999998E-2</v>
      </c>
      <c r="AL15" s="7">
        <v>1.84E-2</v>
      </c>
      <c r="AM15" s="7">
        <v>1.84E-2</v>
      </c>
      <c r="AN15" s="23">
        <f t="shared" si="18"/>
        <v>0</v>
      </c>
      <c r="AO15" s="23">
        <f t="shared" si="19"/>
        <v>0</v>
      </c>
      <c r="AP15" s="7">
        <v>0.33229999999999998</v>
      </c>
      <c r="AQ15" s="7">
        <v>0.33229999999999998</v>
      </c>
      <c r="AR15" s="23">
        <f t="shared" si="20"/>
        <v>0</v>
      </c>
      <c r="AS15" s="23">
        <f t="shared" si="21"/>
        <v>0</v>
      </c>
      <c r="AT15" s="7">
        <v>0.40899999999999997</v>
      </c>
      <c r="AU15" s="7">
        <v>0.40899999999999997</v>
      </c>
      <c r="AV15" s="23">
        <f t="shared" si="22"/>
        <v>0</v>
      </c>
      <c r="AW15" s="23">
        <f t="shared" si="23"/>
        <v>0</v>
      </c>
    </row>
    <row r="16" spans="1:49" x14ac:dyDescent="0.3">
      <c r="A16" s="21">
        <v>2022</v>
      </c>
      <c r="B16" s="7">
        <v>7.7</v>
      </c>
      <c r="C16" s="7">
        <v>7.7</v>
      </c>
      <c r="D16" s="23">
        <f t="shared" si="0"/>
        <v>2.8</v>
      </c>
      <c r="E16" s="23">
        <f t="shared" si="1"/>
        <v>2.8</v>
      </c>
      <c r="F16" s="7">
        <v>25</v>
      </c>
      <c r="G16" s="7">
        <v>25</v>
      </c>
      <c r="H16" s="23">
        <f t="shared" si="2"/>
        <v>3.5</v>
      </c>
      <c r="I16" s="23">
        <f t="shared" si="3"/>
        <v>3.5</v>
      </c>
      <c r="J16" s="7">
        <v>6.7</v>
      </c>
      <c r="K16" s="7">
        <v>6.7</v>
      </c>
      <c r="L16" s="23">
        <f t="shared" si="4"/>
        <v>0</v>
      </c>
      <c r="M16" s="23">
        <f t="shared" si="5"/>
        <v>0</v>
      </c>
      <c r="N16" s="7">
        <v>7.6340000000000003</v>
      </c>
      <c r="O16" s="7">
        <v>7.6340000000000003</v>
      </c>
      <c r="P16" s="23">
        <f t="shared" si="6"/>
        <v>0.16500000000000004</v>
      </c>
      <c r="Q16" s="23">
        <f t="shared" si="7"/>
        <v>0.16500000000000004</v>
      </c>
      <c r="R16" s="7">
        <v>5.5</v>
      </c>
      <c r="S16" s="7">
        <v>5.5</v>
      </c>
      <c r="T16" s="23">
        <f t="shared" si="8"/>
        <v>1.6</v>
      </c>
      <c r="U16" s="23">
        <f t="shared" si="9"/>
        <v>1.6</v>
      </c>
      <c r="V16" s="7">
        <v>3.8239999999999998</v>
      </c>
      <c r="W16" s="7">
        <v>3.8239999999999998</v>
      </c>
      <c r="X16" s="23">
        <f t="shared" si="10"/>
        <v>0.68399999999999972</v>
      </c>
      <c r="Y16" s="23">
        <f t="shared" si="11"/>
        <v>0.68399999999999972</v>
      </c>
      <c r="Z16" s="7">
        <v>1.1127</v>
      </c>
      <c r="AA16" s="7">
        <v>1.1127</v>
      </c>
      <c r="AB16" s="23">
        <f t="shared" si="12"/>
        <v>3.5800000000000054E-2</v>
      </c>
      <c r="AC16" s="23">
        <f t="shared" si="13"/>
        <v>3.5800000000000054E-2</v>
      </c>
      <c r="AD16" s="7">
        <v>3.3102</v>
      </c>
      <c r="AE16" s="7">
        <v>3.3102</v>
      </c>
      <c r="AF16" s="23">
        <f t="shared" si="14"/>
        <v>1.8000000000000238E-2</v>
      </c>
      <c r="AG16" s="23">
        <f t="shared" si="15"/>
        <v>1.8000000000000238E-2</v>
      </c>
      <c r="AH16" s="7">
        <v>0.48</v>
      </c>
      <c r="AI16" s="7">
        <v>0.48</v>
      </c>
      <c r="AJ16" s="23">
        <f t="shared" si="16"/>
        <v>0.29899999999999999</v>
      </c>
      <c r="AK16" s="23">
        <f t="shared" si="17"/>
        <v>0.29899999999999999</v>
      </c>
      <c r="AL16" s="7">
        <v>3.3799999999999997E-2</v>
      </c>
      <c r="AM16" s="7">
        <v>3.3799999999999997E-2</v>
      </c>
      <c r="AN16" s="23">
        <f t="shared" si="18"/>
        <v>1.5399999999999997E-2</v>
      </c>
      <c r="AO16" s="23">
        <f t="shared" si="19"/>
        <v>1.5399999999999997E-2</v>
      </c>
      <c r="AP16" s="7">
        <v>0.3322</v>
      </c>
      <c r="AQ16" s="7">
        <v>0.3322</v>
      </c>
      <c r="AR16" s="23">
        <f t="shared" si="20"/>
        <v>0</v>
      </c>
      <c r="AS16" s="23">
        <f t="shared" si="21"/>
        <v>0</v>
      </c>
      <c r="AT16" s="7">
        <v>0.53900000000000003</v>
      </c>
      <c r="AU16" s="7">
        <v>0.53900000000000003</v>
      </c>
      <c r="AV16" s="23">
        <f t="shared" si="22"/>
        <v>0.13000000000000006</v>
      </c>
      <c r="AW16" s="23">
        <f t="shared" si="23"/>
        <v>0.13000000000000006</v>
      </c>
    </row>
    <row r="17" spans="1:49" x14ac:dyDescent="0.3">
      <c r="A17" s="21">
        <v>2023</v>
      </c>
      <c r="B17" s="7">
        <v>11</v>
      </c>
      <c r="C17" s="7">
        <v>11</v>
      </c>
      <c r="D17" s="23">
        <f t="shared" si="0"/>
        <v>3.3</v>
      </c>
      <c r="E17" s="23">
        <f t="shared" si="1"/>
        <v>3.3</v>
      </c>
      <c r="F17" s="7">
        <v>29</v>
      </c>
      <c r="G17" s="7">
        <v>29</v>
      </c>
      <c r="H17" s="23">
        <f t="shared" si="2"/>
        <v>4</v>
      </c>
      <c r="I17" s="23">
        <f t="shared" si="3"/>
        <v>4</v>
      </c>
      <c r="J17" s="7">
        <v>7.52</v>
      </c>
      <c r="K17" s="7">
        <v>7.52</v>
      </c>
      <c r="L17" s="23">
        <f t="shared" si="4"/>
        <v>0.8199999999999994</v>
      </c>
      <c r="M17" s="23">
        <f t="shared" si="5"/>
        <v>0.8199999999999994</v>
      </c>
      <c r="N17" s="7">
        <v>7.3179999999999996</v>
      </c>
      <c r="O17" s="7">
        <v>7.3179999999999996</v>
      </c>
      <c r="P17" s="23">
        <f t="shared" si="6"/>
        <v>0</v>
      </c>
      <c r="Q17" s="23">
        <f t="shared" si="7"/>
        <v>0</v>
      </c>
      <c r="R17" s="7">
        <v>7</v>
      </c>
      <c r="S17" s="7">
        <v>7</v>
      </c>
      <c r="T17" s="23">
        <f t="shared" si="8"/>
        <v>1.5</v>
      </c>
      <c r="U17" s="23">
        <f t="shared" si="9"/>
        <v>1.5</v>
      </c>
      <c r="V17" s="7">
        <v>4.5330000000000004</v>
      </c>
      <c r="W17" s="7">
        <v>4.5330000000000004</v>
      </c>
      <c r="X17" s="23">
        <f t="shared" si="10"/>
        <v>0.70900000000000052</v>
      </c>
      <c r="Y17" s="23">
        <f t="shared" si="11"/>
        <v>0.70900000000000052</v>
      </c>
      <c r="Z17" s="7">
        <v>1.4053</v>
      </c>
      <c r="AA17" s="7">
        <v>1.4053</v>
      </c>
      <c r="AB17" s="23">
        <f t="shared" si="12"/>
        <v>0.29259999999999997</v>
      </c>
      <c r="AC17" s="23">
        <f t="shared" si="13"/>
        <v>0.29259999999999997</v>
      </c>
      <c r="AD17" s="7">
        <v>3.7063000000000001</v>
      </c>
      <c r="AE17" s="7">
        <v>3.7063000000000001</v>
      </c>
      <c r="AF17" s="23">
        <f t="shared" si="14"/>
        <v>0.39610000000000012</v>
      </c>
      <c r="AG17" s="23">
        <f t="shared" si="15"/>
        <v>0.39610000000000012</v>
      </c>
      <c r="AH17" s="7">
        <v>0.71599999999999997</v>
      </c>
      <c r="AI17" s="7">
        <v>0.71599999999999997</v>
      </c>
      <c r="AJ17" s="23">
        <f t="shared" si="16"/>
        <v>0.23599999999999999</v>
      </c>
      <c r="AK17" s="23">
        <f t="shared" si="17"/>
        <v>0.23599999999999999</v>
      </c>
      <c r="AL17" s="7">
        <v>3.3799999999999997E-2</v>
      </c>
      <c r="AM17" s="7">
        <v>3.3799999999999997E-2</v>
      </c>
      <c r="AN17" s="23">
        <f t="shared" si="18"/>
        <v>0</v>
      </c>
      <c r="AO17" s="23">
        <f t="shared" si="19"/>
        <v>0</v>
      </c>
      <c r="AP17" s="7">
        <v>0.44719999999999999</v>
      </c>
      <c r="AQ17" s="7">
        <v>0.44719999999999999</v>
      </c>
      <c r="AR17" s="23">
        <f t="shared" si="20"/>
        <v>0.11499999999999999</v>
      </c>
      <c r="AS17" s="23">
        <f t="shared" si="21"/>
        <v>0.11499999999999999</v>
      </c>
      <c r="AT17" s="7">
        <v>1.0149999999999999</v>
      </c>
      <c r="AU17" s="7">
        <v>1.0149999999999999</v>
      </c>
      <c r="AV17" s="23">
        <f t="shared" si="22"/>
        <v>0.47599999999999987</v>
      </c>
      <c r="AW17" s="23">
        <f t="shared" si="23"/>
        <v>0.47599999999999987</v>
      </c>
    </row>
    <row r="18" spans="1:49" x14ac:dyDescent="0.3">
      <c r="A18" s="21">
        <v>2024</v>
      </c>
      <c r="B18" s="7">
        <v>16.600000000000001</v>
      </c>
      <c r="C18" s="7">
        <v>16.600000000000001</v>
      </c>
      <c r="D18" s="23">
        <f t="shared" si="0"/>
        <v>5.6000000000000014</v>
      </c>
      <c r="E18" s="23">
        <f t="shared" si="1"/>
        <v>5.6000000000000014</v>
      </c>
      <c r="F18" s="7">
        <v>32</v>
      </c>
      <c r="G18" s="7">
        <v>32</v>
      </c>
      <c r="H18" s="23">
        <f t="shared" si="2"/>
        <v>3</v>
      </c>
      <c r="I18" s="23">
        <f t="shared" si="3"/>
        <v>3</v>
      </c>
      <c r="J18" s="7">
        <v>7.52</v>
      </c>
      <c r="K18" s="7">
        <v>7.52</v>
      </c>
      <c r="L18" s="23">
        <f t="shared" si="4"/>
        <v>0</v>
      </c>
      <c r="M18" s="23">
        <f t="shared" si="5"/>
        <v>0</v>
      </c>
      <c r="N18" s="7">
        <v>7.3179999999999996</v>
      </c>
      <c r="O18" s="7">
        <v>7.3179999999999996</v>
      </c>
      <c r="P18" s="23">
        <f t="shared" si="6"/>
        <v>0</v>
      </c>
      <c r="Q18" s="23">
        <f t="shared" si="7"/>
        <v>0</v>
      </c>
      <c r="R18" s="7">
        <v>7.6</v>
      </c>
      <c r="S18" s="7">
        <v>7.6</v>
      </c>
      <c r="T18" s="23">
        <f t="shared" si="8"/>
        <v>0.59999999999999964</v>
      </c>
      <c r="U18" s="23">
        <f t="shared" si="9"/>
        <v>0.59999999999999964</v>
      </c>
      <c r="V18" s="7">
        <v>4.7169999999999996</v>
      </c>
      <c r="W18" s="7">
        <v>4.7169999999999996</v>
      </c>
      <c r="X18" s="23">
        <f t="shared" si="10"/>
        <v>0.18399999999999928</v>
      </c>
      <c r="Y18" s="23">
        <f t="shared" si="11"/>
        <v>0.18399999999999928</v>
      </c>
      <c r="Z18" s="7">
        <v>1.7405999999999999</v>
      </c>
      <c r="AA18" s="7">
        <v>1.7405999999999999</v>
      </c>
      <c r="AB18" s="23">
        <f t="shared" si="12"/>
        <v>0.33529999999999993</v>
      </c>
      <c r="AC18" s="23">
        <f t="shared" si="13"/>
        <v>0.33529999999999993</v>
      </c>
      <c r="AD18" s="7">
        <v>4.3202999999999996</v>
      </c>
      <c r="AE18" s="7">
        <v>4.3202999999999996</v>
      </c>
      <c r="AF18" s="23">
        <f t="shared" si="14"/>
        <v>0.61399999999999944</v>
      </c>
      <c r="AG18" s="23">
        <f t="shared" si="15"/>
        <v>0.61399999999999944</v>
      </c>
      <c r="AH18" s="7">
        <v>1.3925000000000001</v>
      </c>
      <c r="AI18" s="7">
        <v>1.3925000000000001</v>
      </c>
      <c r="AJ18" s="23">
        <f t="shared" si="16"/>
        <v>0.6765000000000001</v>
      </c>
      <c r="AK18" s="23">
        <f t="shared" si="17"/>
        <v>0.6765000000000001</v>
      </c>
      <c r="AL18" s="7">
        <v>3.3799999999999997E-2</v>
      </c>
      <c r="AM18" s="7">
        <v>3.3799999999999997E-2</v>
      </c>
      <c r="AN18" s="23">
        <f t="shared" si="18"/>
        <v>0</v>
      </c>
      <c r="AO18" s="23">
        <f t="shared" si="19"/>
        <v>0</v>
      </c>
      <c r="AP18" s="7">
        <v>0.52769999999999995</v>
      </c>
      <c r="AQ18" s="7">
        <v>0.52769999999999995</v>
      </c>
      <c r="AR18" s="23">
        <f t="shared" si="20"/>
        <v>8.049999999999996E-2</v>
      </c>
      <c r="AS18" s="23">
        <f t="shared" si="21"/>
        <v>8.049999999999996E-2</v>
      </c>
      <c r="AT18" s="7">
        <v>1.1507000000000001</v>
      </c>
      <c r="AU18" s="7">
        <v>1.1507000000000001</v>
      </c>
      <c r="AV18" s="23">
        <f t="shared" si="22"/>
        <v>0.13570000000000015</v>
      </c>
      <c r="AW18" s="23">
        <f t="shared" si="23"/>
        <v>0.13570000000000015</v>
      </c>
    </row>
    <row r="19" spans="1:49" x14ac:dyDescent="0.3">
      <c r="A19" s="21">
        <v>2025</v>
      </c>
      <c r="B19" s="23">
        <f>Parameters!$D$4+(Parameters!$G$4-Parameters!$D$4)*((1/(1+EXP(-Parameters!$I$4*($A19-Parameters!$J$4))))-(1/(1+EXP(-Parameters!$I$4*(2024-Parameters!$J$4)))))/(1-(1/(1+EXP(-Parameters!$I$4*(2024-Parameters!$J$4)))))</f>
        <v>18.548815800740755</v>
      </c>
      <c r="C19" s="23">
        <f>MIN(Parameters!$D$4+IF(Parameters!$K$4=0,Parameters!$E$4*($A19-2024),Parameters!$E$4*((1+Parameters!$K$4)^($A19-2024)-1)/Parameters!$K$4),Parameters!$G$4)</f>
        <v>20.440000000000005</v>
      </c>
      <c r="D19" s="23">
        <f t="shared" si="0"/>
        <v>1.9488158007407534</v>
      </c>
      <c r="E19" s="23">
        <f t="shared" si="1"/>
        <v>3.8400000000000034</v>
      </c>
      <c r="F19" s="23">
        <f>Parameters!$D$5+(Parameters!$G$5-Parameters!$D$5)*((1/(1+EXP(-Parameters!$I$5*($A19-Parameters!$J$5))))-(1/(1+EXP(-Parameters!$I$5*(2024-Parameters!$J$5)))))/(1-(1/(1+EXP(-Parameters!$I$5*(2024-Parameters!$J$5)))))</f>
        <v>34.830621355551628</v>
      </c>
      <c r="G19" s="23">
        <f>MIN(Parameters!$D$5+IF(Parameters!$K$5=0,Parameters!$E$5*($A19-2024),Parameters!$E$5*((1+Parameters!$K$5)^($A19-2024)-1)/Parameters!$K$5),Parameters!$G$5)</f>
        <v>35.92</v>
      </c>
      <c r="H19" s="23">
        <f t="shared" si="2"/>
        <v>2.830621355551628</v>
      </c>
      <c r="I19" s="23">
        <f t="shared" si="3"/>
        <v>3.9200000000000017</v>
      </c>
      <c r="J19" s="23">
        <f>Parameters!$D$6+(Parameters!$G$6-Parameters!$D$6)*((1/(1+EXP(-Parameters!$I$6*($A19-Parameters!$J$6))))-(1/(1+EXP(-Parameters!$I$6*(2024-Parameters!$J$6)))))/(1-(1/(1+EXP(-Parameters!$I$6*(2024-Parameters!$J$6)))))</f>
        <v>8.1072934874710629</v>
      </c>
      <c r="K19" s="23">
        <f>MIN(Parameters!$D$6+IF(Parameters!$K$6=0,Parameters!$E$6*($A19-2024),Parameters!$E$6*((1+Parameters!$K$6)^($A19-2024)-1)/Parameters!$K$6),Parameters!$G$6)</f>
        <v>7.74</v>
      </c>
      <c r="L19" s="23">
        <f t="shared" si="4"/>
        <v>0.58729348747106336</v>
      </c>
      <c r="M19" s="23">
        <f t="shared" si="5"/>
        <v>0.22000000000000064</v>
      </c>
      <c r="N19" s="23">
        <f>Parameters!$D$7+(Parameters!$G$7-Parameters!$D$7)*((1/(1+EXP(-Parameters!$I$7*($A19-Parameters!$J$7))))-(1/(1+EXP(-Parameters!$I$7*(2024-Parameters!$J$7)))))/(1-(1/(1+EXP(-Parameters!$I$7*(2024-Parameters!$J$7)))))</f>
        <v>7.8861184028468001</v>
      </c>
      <c r="O19" s="23">
        <f>MIN(Parameters!$D$7+IF(Parameters!$K$7=0,Parameters!$E$7*($A19-2024),Parameters!$E$7*((1+Parameters!$K$7)^($A19-2024)-1)/Parameters!$K$7),Parameters!$G$7)</f>
        <v>7.3179999999999996</v>
      </c>
      <c r="P19" s="23">
        <f t="shared" si="6"/>
        <v>0.56811840284680049</v>
      </c>
      <c r="Q19" s="23">
        <f t="shared" si="7"/>
        <v>0</v>
      </c>
      <c r="R19" s="23">
        <f>Parameters!$D$8+(Parameters!$G$8-Parameters!$D$8)*((1/(1+EXP(-Parameters!$I$8*($A19-Parameters!$J$8))))-(1/(1+EXP(-Parameters!$I$8*(2024-Parameters!$J$8)))))/(1-(1/(1+EXP(-Parameters!$I$8*(2024-Parameters!$J$8)))))</f>
        <v>8.4739293878621602</v>
      </c>
      <c r="S19" s="23">
        <f>MIN(Parameters!$D$8+IF(Parameters!$K$8=0,Parameters!$E$8*($A19-2024),Parameters!$E$8*((1+Parameters!$K$8)^($A19-2024)-1)/Parameters!$K$8),Parameters!$G$8)</f>
        <v>8.83</v>
      </c>
      <c r="T19" s="23">
        <f t="shared" si="8"/>
        <v>0.87392938786216057</v>
      </c>
      <c r="U19" s="23">
        <f t="shared" si="9"/>
        <v>1.2300000000000004</v>
      </c>
      <c r="V19" s="23">
        <f>Parameters!$D$9+(Parameters!$G$9-Parameters!$D$9)*((1/(1+EXP(-Parameters!$I$9*($A19-Parameters!$J$9))))-(1/(1+EXP(-Parameters!$I$9*(2024-Parameters!$J$9)))))/(1-(1/(1+EXP(-Parameters!$I$9*(2024-Parameters!$J$9)))))</f>
        <v>5.3449570338384511</v>
      </c>
      <c r="W19" s="23">
        <f>MIN(Parameters!$D$9+IF(Parameters!$K$9=0,Parameters!$E$9*($A19-2024),Parameters!$E$9*((1+Parameters!$K$9)^($A19-2024)-1)/Parameters!$K$9),Parameters!$G$9)</f>
        <v>5.2430000000000003</v>
      </c>
      <c r="X19" s="23">
        <f t="shared" si="10"/>
        <v>0.62795703383845147</v>
      </c>
      <c r="Y19" s="23">
        <f t="shared" si="11"/>
        <v>0.52600000000000069</v>
      </c>
      <c r="Z19" s="23">
        <f>Parameters!$D$10+(Parameters!$G$10-Parameters!$D$10)*((1/(1+EXP(-Parameters!$I$10*($A19-Parameters!$J$10))))-(1/(1+EXP(-Parameters!$I$10*(2024-Parameters!$J$10)))))/(1-(1/(1+EXP(-Parameters!$I$10*(2024-Parameters!$J$10)))))</f>
        <v>1.9153497401785202</v>
      </c>
      <c r="AA19" s="23">
        <f>MIN(Parameters!$D$10+IF(Parameters!$K$10=0,Parameters!$E$10*($A19-2024),Parameters!$E$10*((1+Parameters!$K$10)^($A19-2024)-1)/Parameters!$K$10),Parameters!$G$10)</f>
        <v>1.9616</v>
      </c>
      <c r="AB19" s="23">
        <f t="shared" si="12"/>
        <v>0.1747497401785203</v>
      </c>
      <c r="AC19" s="23">
        <f t="shared" si="13"/>
        <v>0.22100000000000009</v>
      </c>
      <c r="AD19" s="23">
        <f>Parameters!$D$11+(Parameters!$G$11-Parameters!$D$11)*((1/(1+EXP(-Parameters!$I$11*($A19-Parameters!$J$11))))-(1/(1+EXP(-Parameters!$I$11*(2024-Parameters!$J$11)))))/(1-(1/(1+EXP(-Parameters!$I$11*(2024-Parameters!$J$11)))))</f>
        <v>4.7691293851812446</v>
      </c>
      <c r="AE19" s="23">
        <f>MIN(Parameters!$D$11+IF(Parameters!$K$11=0,Parameters!$E$11*($A19-2024),Parameters!$E$11*((1+Parameters!$K$11)^($A19-2024)-1)/Parameters!$K$11),Parameters!$G$11)</f>
        <v>4.6632999999999996</v>
      </c>
      <c r="AF19" s="23">
        <f t="shared" si="14"/>
        <v>0.44882938518124504</v>
      </c>
      <c r="AG19" s="23">
        <f t="shared" si="15"/>
        <v>0.34299999999999997</v>
      </c>
      <c r="AH19" s="23">
        <f>Parameters!$D$12+(Parameters!$G$12-Parameters!$D$12)*((1/(1+EXP(-Parameters!$I$12*($A19-Parameters!$J$12))))-(1/(1+EXP(-Parameters!$I$12*(2024-Parameters!$J$12)))))/(1-(1/(1+EXP(-Parameters!$I$12*(2024-Parameters!$J$12)))))</f>
        <v>1.8736087274595539</v>
      </c>
      <c r="AI19" s="23">
        <f>MIN(Parameters!$D$12+IF(Parameters!$K$12=0,Parameters!$E$12*($A19-2024),Parameters!$E$12*((1+Parameters!$K$12)^($A19-2024)-1)/Parameters!$K$12),Parameters!$G$12)</f>
        <v>1.7965000000000004</v>
      </c>
      <c r="AJ19" s="23">
        <f t="shared" si="16"/>
        <v>0.4811087274595538</v>
      </c>
      <c r="AK19" s="23">
        <f t="shared" si="17"/>
        <v>0.40400000000000036</v>
      </c>
      <c r="AL19" s="23">
        <f>Parameters!$D$13+(Parameters!$G$13-Parameters!$D$13)*((1/(1+EXP(-Parameters!$I$13*($A19-Parameters!$J$13))))-(1/(1+EXP(-Parameters!$I$13*(2024-Parameters!$J$13)))))/(1-(1/(1+EXP(-Parameters!$I$13*(2024-Parameters!$J$13)))))</f>
        <v>0.20069754273672902</v>
      </c>
      <c r="AM19" s="23">
        <f>MIN(Parameters!$D$13+IF(Parameters!$K$13=0,Parameters!$E$13*($A19-2024),Parameters!$E$13*((1+Parameters!$K$13)^($A19-2024)-1)/Parameters!$K$13),Parameters!$G$13)</f>
        <v>3.8800000000000001E-2</v>
      </c>
      <c r="AN19" s="23">
        <f t="shared" si="18"/>
        <v>0.16689754273672902</v>
      </c>
      <c r="AO19" s="23">
        <f t="shared" si="19"/>
        <v>5.0000000000000044E-3</v>
      </c>
      <c r="AP19" s="23">
        <f>Parameters!$D$14+(Parameters!$G$14-Parameters!$D$14)*((1/(1+EXP(-Parameters!$I$14*($A19-Parameters!$J$14))))-(1/(1+EXP(-Parameters!$I$14*(2024-Parameters!$J$14)))))/(1-(1/(1+EXP(-Parameters!$I$14*(2024-Parameters!$J$14)))))</f>
        <v>0.65497669098933242</v>
      </c>
      <c r="AQ19" s="23">
        <f>MIN(Parameters!$D$14+IF(Parameters!$K$14=0,Parameters!$E$14*($A19-2024),Parameters!$E$14*((1+Parameters!$K$14)^($A19-2024)-1)/Parameters!$K$14),Parameters!$G$14)</f>
        <v>0.5927</v>
      </c>
      <c r="AR19" s="23">
        <f t="shared" si="20"/>
        <v>0.12727669098933247</v>
      </c>
      <c r="AS19" s="23">
        <f t="shared" si="21"/>
        <v>6.5000000000000058E-2</v>
      </c>
      <c r="AT19" s="23">
        <f>Parameters!$D$15+(Parameters!$G$15-Parameters!$D$15)*((1/(1+EXP(-Parameters!$I$15*($A19-Parameters!$J$15))))-(1/(1+EXP(-Parameters!$I$15*(2024-Parameters!$J$15)))))/(1-(1/(1+EXP(-Parameters!$I$15*(2024-Parameters!$J$15)))))</f>
        <v>1.255948545073643</v>
      </c>
      <c r="AU19" s="23">
        <f>MIN(Parameters!$D$15+IF(Parameters!$K$15=0,Parameters!$E$15*($A19-2024),Parameters!$E$15*((1+Parameters!$K$15)^($A19-2024)-1)/Parameters!$K$15),Parameters!$G$15)</f>
        <v>1.3977000000000004</v>
      </c>
      <c r="AV19" s="23">
        <f t="shared" si="22"/>
        <v>0.1052485450736429</v>
      </c>
      <c r="AW19" s="23">
        <f t="shared" si="23"/>
        <v>0.24700000000000033</v>
      </c>
    </row>
    <row r="20" spans="1:49" x14ac:dyDescent="0.3">
      <c r="A20" s="21">
        <v>2026</v>
      </c>
      <c r="B20" s="23">
        <f>Parameters!$D$4+(Parameters!$G$4-Parameters!$D$4)*((1/(1+EXP(-Parameters!$I$4*($A20-Parameters!$J$4))))-(1/(1+EXP(-Parameters!$I$4*(2024-Parameters!$J$4)))))/(1-(1/(1+EXP(-Parameters!$I$4*(2024-Parameters!$J$4)))))</f>
        <v>20.765441631802553</v>
      </c>
      <c r="C20" s="23">
        <f>MIN(Parameters!$D$4+IF(Parameters!$K$4=0,Parameters!$E$4*($A20-2024),Parameters!$E$4*((1+Parameters!$K$4)^($A20-2024)-1)/Parameters!$K$4),Parameters!$G$4)</f>
        <v>24.510400000000011</v>
      </c>
      <c r="D20" s="23">
        <f t="shared" si="0"/>
        <v>2.2166258310617977</v>
      </c>
      <c r="E20" s="23">
        <f t="shared" si="1"/>
        <v>4.0704000000000065</v>
      </c>
      <c r="F20" s="23">
        <f>Parameters!$D$5+(Parameters!$G$5-Parameters!$D$5)*((1/(1+EXP(-Parameters!$I$5*($A20-Parameters!$J$5))))-(1/(1+EXP(-Parameters!$I$5*(2024-Parameters!$J$5)))))/(1-(1/(1+EXP(-Parameters!$I$5*(2024-Parameters!$J$5)))))</f>
        <v>37.928597566424962</v>
      </c>
      <c r="G20" s="23">
        <f>MIN(Parameters!$D$5+IF(Parameters!$K$5=0,Parameters!$E$5*($A20-2024),Parameters!$E$5*((1+Parameters!$K$5)^($A20-2024)-1)/Parameters!$K$5),Parameters!$G$5)</f>
        <v>40.036000000000001</v>
      </c>
      <c r="H20" s="23">
        <f t="shared" si="2"/>
        <v>3.097976210873334</v>
      </c>
      <c r="I20" s="23">
        <f t="shared" si="3"/>
        <v>4.1159999999999997</v>
      </c>
      <c r="J20" s="23">
        <f>Parameters!$D$6+(Parameters!$G$6-Parameters!$D$6)*((1/(1+EXP(-Parameters!$I$6*($A20-Parameters!$J$6))))-(1/(1+EXP(-Parameters!$I$6*(2024-Parameters!$J$6)))))/(1-(1/(1+EXP(-Parameters!$I$6*(2024-Parameters!$J$6)))))</f>
        <v>8.7964254736748497</v>
      </c>
      <c r="K20" s="23">
        <f>MIN(Parameters!$D$6+IF(Parameters!$K$6=0,Parameters!$E$6*($A20-2024),Parameters!$E$6*((1+Parameters!$K$6)^($A20-2024)-1)/Parameters!$K$6),Parameters!$G$6)</f>
        <v>7.9775999999999998</v>
      </c>
      <c r="L20" s="23">
        <f t="shared" si="4"/>
        <v>0.68913198620378679</v>
      </c>
      <c r="M20" s="23">
        <f t="shared" si="5"/>
        <v>0.23759999999999959</v>
      </c>
      <c r="N20" s="23">
        <f>Parameters!$D$7+(Parameters!$G$7-Parameters!$D$7)*((1/(1+EXP(-Parameters!$I$7*($A20-Parameters!$J$7))))-(1/(1+EXP(-Parameters!$I$7*(2024-Parameters!$J$7)))))/(1-(1/(1+EXP(-Parameters!$I$7*(2024-Parameters!$J$7)))))</f>
        <v>8.5572003288560428</v>
      </c>
      <c r="O20" s="23">
        <f>MIN(Parameters!$D$7+IF(Parameters!$K$7=0,Parameters!$E$7*($A20-2024),Parameters!$E$7*((1+Parameters!$K$7)^($A20-2024)-1)/Parameters!$K$7),Parameters!$G$7)</f>
        <v>7.3179999999999996</v>
      </c>
      <c r="P20" s="23">
        <f t="shared" si="6"/>
        <v>0.67108192600924266</v>
      </c>
      <c r="Q20" s="23">
        <f t="shared" si="7"/>
        <v>0</v>
      </c>
      <c r="R20" s="23">
        <f>Parameters!$D$8+(Parameters!$G$8-Parameters!$D$8)*((1/(1+EXP(-Parameters!$I$8*($A20-Parameters!$J$8))))-(1/(1+EXP(-Parameters!$I$8*(2024-Parameters!$J$8)))))/(1-(1/(1+EXP(-Parameters!$I$8*(2024-Parameters!$J$8)))))</f>
        <v>9.46795583968124</v>
      </c>
      <c r="S20" s="23">
        <f>MIN(Parameters!$D$8+IF(Parameters!$K$8=0,Parameters!$E$8*($A20-2024),Parameters!$E$8*((1+Parameters!$K$8)^($A20-2024)-1)/Parameters!$K$8),Parameters!$G$8)</f>
        <v>10.133800000000003</v>
      </c>
      <c r="T20" s="23">
        <f t="shared" si="8"/>
        <v>0.99402645181907978</v>
      </c>
      <c r="U20" s="23">
        <f t="shared" si="9"/>
        <v>1.3038000000000025</v>
      </c>
      <c r="V20" s="23">
        <f>Parameters!$D$9+(Parameters!$G$9-Parameters!$D$9)*((1/(1+EXP(-Parameters!$I$9*($A20-Parameters!$J$9))))-(1/(1+EXP(-Parameters!$I$9*(2024-Parameters!$J$9)))))/(1-(1/(1+EXP(-Parameters!$I$9*(2024-Parameters!$J$9)))))</f>
        <v>6.0432166842061097</v>
      </c>
      <c r="W20" s="23">
        <f>MIN(Parameters!$D$9+IF(Parameters!$K$9=0,Parameters!$E$9*($A20-2024),Parameters!$E$9*((1+Parameters!$K$9)^($A20-2024)-1)/Parameters!$K$9),Parameters!$G$9)</f>
        <v>5.8005600000000008</v>
      </c>
      <c r="X20" s="23">
        <f t="shared" si="10"/>
        <v>0.69825965036765858</v>
      </c>
      <c r="Y20" s="23">
        <f t="shared" si="11"/>
        <v>0.5575600000000005</v>
      </c>
      <c r="Z20" s="23">
        <f>Parameters!$D$10+(Parameters!$G$10-Parameters!$D$10)*((1/(1+EXP(-Parameters!$I$10*($A20-Parameters!$J$10))))-(1/(1+EXP(-Parameters!$I$10*(2024-Parameters!$J$10)))))/(1-(1/(1+EXP(-Parameters!$I$10*(2024-Parameters!$J$10)))))</f>
        <v>2.1168897261130937</v>
      </c>
      <c r="AA20" s="23">
        <f>MIN(Parameters!$D$10+IF(Parameters!$K$10=0,Parameters!$E$10*($A20-2024),Parameters!$E$10*((1+Parameters!$K$10)^($A20-2024)-1)/Parameters!$K$10),Parameters!$G$10)</f>
        <v>2.19807</v>
      </c>
      <c r="AB20" s="23">
        <f t="shared" si="12"/>
        <v>0.20153998593457345</v>
      </c>
      <c r="AC20" s="23">
        <f t="shared" si="13"/>
        <v>0.23646999999999996</v>
      </c>
      <c r="AD20" s="23">
        <f>Parameters!$D$11+(Parameters!$G$11-Parameters!$D$11)*((1/(1+EXP(-Parameters!$I$11*($A20-Parameters!$J$11))))-(1/(1+EXP(-Parameters!$I$11*(2024-Parameters!$J$11)))))/(1-(1/(1+EXP(-Parameters!$I$11*(2024-Parameters!$J$11)))))</f>
        <v>5.2716060494715213</v>
      </c>
      <c r="AE20" s="23">
        <f>MIN(Parameters!$D$11+IF(Parameters!$K$11=0,Parameters!$E$11*($A20-2024),Parameters!$E$11*((1+Parameters!$K$11)^($A20-2024)-1)/Parameters!$K$11),Parameters!$G$11)</f>
        <v>5.0268800000000002</v>
      </c>
      <c r="AF20" s="23">
        <f t="shared" si="14"/>
        <v>0.50247666429027671</v>
      </c>
      <c r="AG20" s="23">
        <f t="shared" si="15"/>
        <v>0.36358000000000068</v>
      </c>
      <c r="AH20" s="23">
        <f>Parameters!$D$12+(Parameters!$G$12-Parameters!$D$12)*((1/(1+EXP(-Parameters!$I$12*($A20-Parameters!$J$12))))-(1/(1+EXP(-Parameters!$I$12*(2024-Parameters!$J$12)))))/(1-(1/(1+EXP(-Parameters!$I$12*(2024-Parameters!$J$12)))))</f>
        <v>2.4381431893720307</v>
      </c>
      <c r="AI20" s="23">
        <f>MIN(Parameters!$D$12+IF(Parameters!$K$12=0,Parameters!$E$12*($A20-2024),Parameters!$E$12*((1+Parameters!$K$12)^($A20-2024)-1)/Parameters!$K$12),Parameters!$G$12)</f>
        <v>2.2409000000000008</v>
      </c>
      <c r="AJ20" s="23">
        <f t="shared" si="16"/>
        <v>0.5645344619124768</v>
      </c>
      <c r="AK20" s="23">
        <f t="shared" si="17"/>
        <v>0.44440000000000035</v>
      </c>
      <c r="AL20" s="23">
        <f>Parameters!$D$13+(Parameters!$G$13-Parameters!$D$13)*((1/(1+EXP(-Parameters!$I$13*($A20-Parameters!$J$13))))-(1/(1+EXP(-Parameters!$I$13*(2024-Parameters!$J$13)))))/(1-(1/(1+EXP(-Parameters!$I$13*(2024-Parameters!$J$13)))))</f>
        <v>0.39779798484578616</v>
      </c>
      <c r="AM20" s="23">
        <f>MIN(Parameters!$D$13+IF(Parameters!$K$13=0,Parameters!$E$13*($A20-2024),Parameters!$E$13*((1+Parameters!$K$13)^($A20-2024)-1)/Parameters!$K$13),Parameters!$G$13)</f>
        <v>4.4300000000000006E-2</v>
      </c>
      <c r="AN20" s="23">
        <f t="shared" si="18"/>
        <v>0.19710044210905714</v>
      </c>
      <c r="AO20" s="23">
        <f t="shared" si="19"/>
        <v>5.5000000000000049E-3</v>
      </c>
      <c r="AP20" s="23">
        <f>Parameters!$D$14+(Parameters!$G$14-Parameters!$D$14)*((1/(1+EXP(-Parameters!$I$14*($A20-Parameters!$J$14))))-(1/(1+EXP(-Parameters!$I$14*(2024-Parameters!$J$14)))))/(1-(1/(1+EXP(-Parameters!$I$14*(2024-Parameters!$J$14)))))</f>
        <v>0.80176570758863774</v>
      </c>
      <c r="AQ20" s="23">
        <f>MIN(Parameters!$D$14+IF(Parameters!$K$14=0,Parameters!$E$14*($A20-2024),Parameters!$E$14*((1+Parameters!$K$14)^($A20-2024)-1)/Parameters!$K$14),Parameters!$G$14)</f>
        <v>0.66420000000000012</v>
      </c>
      <c r="AR20" s="23">
        <f t="shared" si="20"/>
        <v>0.14678901659930532</v>
      </c>
      <c r="AS20" s="23">
        <f t="shared" si="21"/>
        <v>7.1500000000000119E-2</v>
      </c>
      <c r="AT20" s="23">
        <f>Parameters!$D$15+(Parameters!$G$15-Parameters!$D$15)*((1/(1+EXP(-Parameters!$I$15*($A20-Parameters!$J$15))))-(1/(1+EXP(-Parameters!$I$15*(2024-Parameters!$J$15)))))/(1-(1/(1+EXP(-Parameters!$I$15*(2024-Parameters!$J$15)))))</f>
        <v>1.3737771445283178</v>
      </c>
      <c r="AU20" s="23">
        <f>MIN(Parameters!$D$15+IF(Parameters!$K$15=0,Parameters!$E$15*($A20-2024),Parameters!$E$15*((1+Parameters!$K$15)^($A20-2024)-1)/Parameters!$K$15),Parameters!$G$15)</f>
        <v>1.6644600000000005</v>
      </c>
      <c r="AV20" s="23">
        <f t="shared" si="22"/>
        <v>0.11782859945467483</v>
      </c>
      <c r="AW20" s="23">
        <f t="shared" si="23"/>
        <v>0.26676000000000011</v>
      </c>
    </row>
    <row r="21" spans="1:49" x14ac:dyDescent="0.3">
      <c r="A21" s="21">
        <v>2027</v>
      </c>
      <c r="B21" s="23">
        <f>Parameters!$D$4+(Parameters!$G$4-Parameters!$D$4)*((1/(1+EXP(-Parameters!$I$4*($A21-Parameters!$J$4))))-(1/(1+EXP(-Parameters!$I$4*(2024-Parameters!$J$4)))))/(1-(1/(1+EXP(-Parameters!$I$4*(2024-Parameters!$J$4)))))</f>
        <v>23.265547461837933</v>
      </c>
      <c r="C21" s="23">
        <f>MIN(Parameters!$D$4+IF(Parameters!$K$4=0,Parameters!$E$4*($A21-2024),Parameters!$E$4*((1+Parameters!$K$4)^($A21-2024)-1)/Parameters!$K$4),Parameters!$G$4)</f>
        <v>28.82502400000002</v>
      </c>
      <c r="D21" s="23">
        <f t="shared" si="0"/>
        <v>2.5001058300353804</v>
      </c>
      <c r="E21" s="23">
        <f t="shared" si="1"/>
        <v>4.3146240000000091</v>
      </c>
      <c r="F21" s="23">
        <f>Parameters!$D$5+(Parameters!$G$5-Parameters!$D$5)*((1/(1+EXP(-Parameters!$I$5*($A21-Parameters!$J$5))))-(1/(1+EXP(-Parameters!$I$5*(2024-Parameters!$J$5)))))/(1-(1/(1+EXP(-Parameters!$I$5*(2024-Parameters!$J$5)))))</f>
        <v>41.288449837332024</v>
      </c>
      <c r="G21" s="23">
        <f>MIN(Parameters!$D$5+IF(Parameters!$K$5=0,Parameters!$E$5*($A21-2024),Parameters!$E$5*((1+Parameters!$K$5)^($A21-2024)-1)/Parameters!$K$5),Parameters!$G$5)</f>
        <v>44.357800000000012</v>
      </c>
      <c r="H21" s="23">
        <f t="shared" si="2"/>
        <v>3.3598522709070622</v>
      </c>
      <c r="I21" s="23">
        <f t="shared" si="3"/>
        <v>4.3218000000000103</v>
      </c>
      <c r="J21" s="23">
        <f>Parameters!$D$6+(Parameters!$G$6-Parameters!$D$6)*((1/(1+EXP(-Parameters!$I$6*($A21-Parameters!$J$6))))-(1/(1+EXP(-Parameters!$I$6*(2024-Parameters!$J$6)))))/(1-(1/(1+EXP(-Parameters!$I$6*(2024-Parameters!$J$6)))))</f>
        <v>9.5987703404522478</v>
      </c>
      <c r="K21" s="23">
        <f>MIN(Parameters!$D$6+IF(Parameters!$K$6=0,Parameters!$E$6*($A21-2024),Parameters!$E$6*((1+Parameters!$K$6)^($A21-2024)-1)/Parameters!$K$6),Parameters!$G$6)</f>
        <v>8.2342080000000006</v>
      </c>
      <c r="L21" s="23">
        <f t="shared" si="4"/>
        <v>0.80234486677739802</v>
      </c>
      <c r="M21" s="23">
        <f t="shared" si="5"/>
        <v>0.25660800000000084</v>
      </c>
      <c r="N21" s="23">
        <f>Parameters!$D$7+(Parameters!$G$7-Parameters!$D$7)*((1/(1+EXP(-Parameters!$I$7*($A21-Parameters!$J$7))))-(1/(1+EXP(-Parameters!$I$7*(2024-Parameters!$J$7)))))/(1-(1/(1+EXP(-Parameters!$I$7*(2024-Parameters!$J$7)))))</f>
        <v>9.3446499267864098</v>
      </c>
      <c r="O21" s="23">
        <f>MIN(Parameters!$D$7+IF(Parameters!$K$7=0,Parameters!$E$7*($A21-2024),Parameters!$E$7*((1+Parameters!$K$7)^($A21-2024)-1)/Parameters!$K$7),Parameters!$G$7)</f>
        <v>7.3179999999999996</v>
      </c>
      <c r="P21" s="23">
        <f t="shared" si="6"/>
        <v>0.78744959793036706</v>
      </c>
      <c r="Q21" s="23">
        <f t="shared" si="7"/>
        <v>0</v>
      </c>
      <c r="R21" s="23">
        <f>Parameters!$D$8+(Parameters!$G$8-Parameters!$D$8)*((1/(1+EXP(-Parameters!$I$8*($A21-Parameters!$J$8))))-(1/(1+EXP(-Parameters!$I$8*(2024-Parameters!$J$8)))))/(1-(1/(1+EXP(-Parameters!$I$8*(2024-Parameters!$J$8)))))</f>
        <v>10.58910641574027</v>
      </c>
      <c r="S21" s="23">
        <f>MIN(Parameters!$D$8+IF(Parameters!$K$8=0,Parameters!$E$8*($A21-2024),Parameters!$E$8*((1+Parameters!$K$8)^($A21-2024)-1)/Parameters!$K$8),Parameters!$G$8)</f>
        <v>11.515828000000006</v>
      </c>
      <c r="T21" s="23">
        <f t="shared" si="8"/>
        <v>1.1211505760590299</v>
      </c>
      <c r="U21" s="23">
        <f t="shared" si="9"/>
        <v>1.3820280000000036</v>
      </c>
      <c r="V21" s="23">
        <f>Parameters!$D$9+(Parameters!$G$9-Parameters!$D$9)*((1/(1+EXP(-Parameters!$I$9*($A21-Parameters!$J$9))))-(1/(1+EXP(-Parameters!$I$9*(2024-Parameters!$J$9)))))/(1-(1/(1+EXP(-Parameters!$I$9*(2024-Parameters!$J$9)))))</f>
        <v>6.8138142122062142</v>
      </c>
      <c r="W21" s="23">
        <f>MIN(Parameters!$D$9+IF(Parameters!$K$9=0,Parameters!$E$9*($A21-2024),Parameters!$E$9*((1+Parameters!$K$9)^($A21-2024)-1)/Parameters!$K$9),Parameters!$G$9)</f>
        <v>6.3915736000000027</v>
      </c>
      <c r="X21" s="23">
        <f t="shared" si="10"/>
        <v>0.7705975280001045</v>
      </c>
      <c r="Y21" s="23">
        <f t="shared" si="11"/>
        <v>0.59101360000000192</v>
      </c>
      <c r="Z21" s="23">
        <f>Parameters!$D$10+(Parameters!$G$10-Parameters!$D$10)*((1/(1+EXP(-Parameters!$I$10*($A21-Parameters!$J$10))))-(1/(1+EXP(-Parameters!$I$10*(2024-Parameters!$J$10)))))/(1-(1/(1+EXP(-Parameters!$I$10*(2024-Parameters!$J$10)))))</f>
        <v>2.3478293119909601</v>
      </c>
      <c r="AA21" s="23">
        <f>MIN(Parameters!$D$10+IF(Parameters!$K$10=0,Parameters!$E$10*($A21-2024),Parameters!$E$10*((1+Parameters!$K$10)^($A21-2024)-1)/Parameters!$K$10),Parameters!$G$10)</f>
        <v>2.4510928999999999</v>
      </c>
      <c r="AB21" s="23">
        <f t="shared" si="12"/>
        <v>0.23093958587786645</v>
      </c>
      <c r="AC21" s="23">
        <f t="shared" si="13"/>
        <v>0.25302289999999994</v>
      </c>
      <c r="AD21" s="23">
        <f>Parameters!$D$11+(Parameters!$G$11-Parameters!$D$11)*((1/(1+EXP(-Parameters!$I$11*($A21-Parameters!$J$11))))-(1/(1+EXP(-Parameters!$I$11*(2024-Parameters!$J$11)))))/(1-(1/(1+EXP(-Parameters!$I$11*(2024-Parameters!$J$11)))))</f>
        <v>5.8303372381016958</v>
      </c>
      <c r="AE21" s="23">
        <f>MIN(Parameters!$D$11+IF(Parameters!$K$11=0,Parameters!$E$11*($A21-2024),Parameters!$E$11*((1+Parameters!$K$11)^($A21-2024)-1)/Parameters!$K$11),Parameters!$G$11)</f>
        <v>5.4122748000000014</v>
      </c>
      <c r="AF21" s="23">
        <f t="shared" si="14"/>
        <v>0.55873118863017446</v>
      </c>
      <c r="AG21" s="23">
        <f t="shared" si="15"/>
        <v>0.38539480000000115</v>
      </c>
      <c r="AH21" s="23">
        <f>Parameters!$D$12+(Parameters!$G$12-Parameters!$D$12)*((1/(1+EXP(-Parameters!$I$12*($A21-Parameters!$J$12))))-(1/(1+EXP(-Parameters!$I$12*(2024-Parameters!$J$12)))))/(1-(1/(1+EXP(-Parameters!$I$12*(2024-Parameters!$J$12)))))</f>
        <v>3.0954212387186937</v>
      </c>
      <c r="AI21" s="23">
        <f>MIN(Parameters!$D$12+IF(Parameters!$K$12=0,Parameters!$E$12*($A21-2024),Parameters!$E$12*((1+Parameters!$K$12)^($A21-2024)-1)/Parameters!$K$12),Parameters!$G$12)</f>
        <v>2.7297400000000018</v>
      </c>
      <c r="AJ21" s="23">
        <f t="shared" si="16"/>
        <v>0.65727804934666301</v>
      </c>
      <c r="AK21" s="23">
        <f t="shared" si="17"/>
        <v>0.48884000000000105</v>
      </c>
      <c r="AL21" s="23">
        <f>Parameters!$D$13+(Parameters!$G$13-Parameters!$D$13)*((1/(1+EXP(-Parameters!$I$13*($A21-Parameters!$J$13))))-(1/(1+EXP(-Parameters!$I$13*(2024-Parameters!$J$13)))))/(1-(1/(1+EXP(-Parameters!$I$13*(2024-Parameters!$J$13)))))</f>
        <v>0.62796658092674607</v>
      </c>
      <c r="AM21" s="23">
        <f>MIN(Parameters!$D$13+IF(Parameters!$K$13=0,Parameters!$E$13*($A21-2024),Parameters!$E$13*((1+Parameters!$K$13)^($A21-2024)-1)/Parameters!$K$13),Parameters!$G$13)</f>
        <v>5.035000000000002E-2</v>
      </c>
      <c r="AN21" s="23">
        <f t="shared" si="18"/>
        <v>0.23016859608095991</v>
      </c>
      <c r="AO21" s="23">
        <f t="shared" si="19"/>
        <v>6.0500000000000137E-3</v>
      </c>
      <c r="AP21" s="23">
        <f>Parameters!$D$14+(Parameters!$G$14-Parameters!$D$14)*((1/(1+EXP(-Parameters!$I$14*($A21-Parameters!$J$14))))-(1/(1+EXP(-Parameters!$I$14*(2024-Parameters!$J$14)))))/(1-(1/(1+EXP(-Parameters!$I$14*(2024-Parameters!$J$14)))))</f>
        <v>0.96996753884145792</v>
      </c>
      <c r="AQ21" s="23">
        <f>MIN(Parameters!$D$14+IF(Parameters!$K$14=0,Parameters!$E$14*($A21-2024),Parameters!$E$14*((1+Parameters!$K$14)^($A21-2024)-1)/Parameters!$K$14),Parameters!$G$14)</f>
        <v>0.74285000000000023</v>
      </c>
      <c r="AR21" s="23">
        <f t="shared" si="20"/>
        <v>0.16820183125282018</v>
      </c>
      <c r="AS21" s="23">
        <f t="shared" si="21"/>
        <v>7.8650000000000109E-2</v>
      </c>
      <c r="AT21" s="23">
        <f>Parameters!$D$15+(Parameters!$G$15-Parameters!$D$15)*((1/(1+EXP(-Parameters!$I$15*($A21-Parameters!$J$15))))-(1/(1+EXP(-Parameters!$I$15*(2024-Parameters!$J$15)))))/(1-(1/(1+EXP(-Parameters!$I$15*(2024-Parameters!$J$15)))))</f>
        <v>1.5047971860678131</v>
      </c>
      <c r="AU21" s="23">
        <f>MIN(Parameters!$D$15+IF(Parameters!$K$15=0,Parameters!$E$15*($A21-2024),Parameters!$E$15*((1+Parameters!$K$15)^($A21-2024)-1)/Parameters!$K$15),Parameters!$G$15)</f>
        <v>1.9525608000000005</v>
      </c>
      <c r="AV21" s="23">
        <f t="shared" si="22"/>
        <v>0.13102004153949531</v>
      </c>
      <c r="AW21" s="23">
        <f t="shared" si="23"/>
        <v>0.28810080000000005</v>
      </c>
    </row>
    <row r="22" spans="1:49" x14ac:dyDescent="0.3">
      <c r="A22" s="21">
        <v>2028</v>
      </c>
      <c r="B22" s="23">
        <f>Parameters!$D$4+(Parameters!$G$4-Parameters!$D$4)*((1/(1+EXP(-Parameters!$I$4*($A22-Parameters!$J$4))))-(1/(1+EXP(-Parameters!$I$4*(2024-Parameters!$J$4)))))/(1-(1/(1+EXP(-Parameters!$I$4*(2024-Parameters!$J$4)))))</f>
        <v>26.058756929591233</v>
      </c>
      <c r="C22" s="23">
        <f>MIN(Parameters!$D$4+IF(Parameters!$K$4=0,Parameters!$E$4*($A22-2024),Parameters!$E$4*((1+Parameters!$K$4)^($A22-2024)-1)/Parameters!$K$4),Parameters!$G$4)</f>
        <v>33.398525440000022</v>
      </c>
      <c r="D22" s="23">
        <f t="shared" si="0"/>
        <v>2.7932094677533001</v>
      </c>
      <c r="E22" s="23">
        <f t="shared" si="1"/>
        <v>4.5735014400000011</v>
      </c>
      <c r="F22" s="23">
        <f>Parameters!$D$5+(Parameters!$G$5-Parameters!$D$5)*((1/(1+EXP(-Parameters!$I$5*($A22-Parameters!$J$5))))-(1/(1+EXP(-Parameters!$I$5*(2024-Parameters!$J$5)))))/(1-(1/(1+EXP(-Parameters!$I$5*(2024-Parameters!$J$5)))))</f>
        <v>44.896524212964692</v>
      </c>
      <c r="G22" s="23">
        <f>MIN(Parameters!$D$5+IF(Parameters!$K$5=0,Parameters!$E$5*($A22-2024),Parameters!$E$5*((1+Parameters!$K$5)^($A22-2024)-1)/Parameters!$K$5),Parameters!$G$5)</f>
        <v>48.895690000000002</v>
      </c>
      <c r="H22" s="23">
        <f t="shared" si="2"/>
        <v>3.6080743756326683</v>
      </c>
      <c r="I22" s="23">
        <f t="shared" si="3"/>
        <v>4.5378899999999902</v>
      </c>
      <c r="J22" s="23">
        <f>Parameters!$D$6+(Parameters!$G$6-Parameters!$D$6)*((1/(1+EXP(-Parameters!$I$6*($A22-Parameters!$J$6))))-(1/(1+EXP(-Parameters!$I$6*(2024-Parameters!$J$6)))))/(1-(1/(1+EXP(-Parameters!$I$6*(2024-Parameters!$J$6)))))</f>
        <v>10.524484768498471</v>
      </c>
      <c r="K22" s="23">
        <f>MIN(Parameters!$D$6+IF(Parameters!$K$6=0,Parameters!$E$6*($A22-2024),Parameters!$E$6*((1+Parameters!$K$6)^($A22-2024)-1)/Parameters!$K$6),Parameters!$G$6)</f>
        <v>8.5113446400000008</v>
      </c>
      <c r="L22" s="23">
        <f t="shared" si="4"/>
        <v>0.9257144280462235</v>
      </c>
      <c r="M22" s="23">
        <f t="shared" si="5"/>
        <v>0.27713664000000016</v>
      </c>
      <c r="N22" s="23">
        <f>Parameters!$D$7+(Parameters!$G$7-Parameters!$D$7)*((1/(1+EXP(-Parameters!$I$7*($A22-Parameters!$J$7))))-(1/(1+EXP(-Parameters!$I$7*(2024-Parameters!$J$7)))))/(1-(1/(1+EXP(-Parameters!$I$7*(2024-Parameters!$J$7)))))</f>
        <v>10.261464347527173</v>
      </c>
      <c r="O22" s="23">
        <f>MIN(Parameters!$D$7+IF(Parameters!$K$7=0,Parameters!$E$7*($A22-2024),Parameters!$E$7*((1+Parameters!$K$7)^($A22-2024)-1)/Parameters!$K$7),Parameters!$G$7)</f>
        <v>7.3179999999999996</v>
      </c>
      <c r="P22" s="23">
        <f t="shared" si="6"/>
        <v>0.91681442074076358</v>
      </c>
      <c r="Q22" s="23">
        <f t="shared" si="7"/>
        <v>0</v>
      </c>
      <c r="R22" s="23">
        <f>Parameters!$D$8+(Parameters!$G$8-Parameters!$D$8)*((1/(1+EXP(-Parameters!$I$8*($A22-Parameters!$J$8))))-(1/(1+EXP(-Parameters!$I$8*(2024-Parameters!$J$8)))))/(1-(1/(1+EXP(-Parameters!$I$8*(2024-Parameters!$J$8)))))</f>
        <v>11.841696752598466</v>
      </c>
      <c r="S22" s="23">
        <f>MIN(Parameters!$D$8+IF(Parameters!$K$8=0,Parameters!$E$8*($A22-2024),Parameters!$E$8*((1+Parameters!$K$8)^($A22-2024)-1)/Parameters!$K$8),Parameters!$G$8)</f>
        <v>12.980777680000006</v>
      </c>
      <c r="T22" s="23">
        <f t="shared" si="8"/>
        <v>1.2525903368581961</v>
      </c>
      <c r="U22" s="23">
        <f t="shared" si="9"/>
        <v>1.4649496800000001</v>
      </c>
      <c r="V22" s="23">
        <f>Parameters!$D$9+(Parameters!$G$9-Parameters!$D$9)*((1/(1+EXP(-Parameters!$I$9*($A22-Parameters!$J$9))))-(1/(1+EXP(-Parameters!$I$9*(2024-Parameters!$J$9)))))/(1-(1/(1+EXP(-Parameters!$I$9*(2024-Parameters!$J$9)))))</f>
        <v>7.6571954031309488</v>
      </c>
      <c r="W22" s="23">
        <f>MIN(Parameters!$D$9+IF(Parameters!$K$9=0,Parameters!$E$9*($A22-2024),Parameters!$E$9*((1+Parameters!$K$9)^($A22-2024)-1)/Parameters!$K$9),Parameters!$G$9)</f>
        <v>7.0180480160000025</v>
      </c>
      <c r="X22" s="23">
        <f t="shared" si="10"/>
        <v>0.84338119092473463</v>
      </c>
      <c r="Y22" s="23">
        <f t="shared" si="11"/>
        <v>0.62647441599999976</v>
      </c>
      <c r="Z22" s="23">
        <f>Parameters!$D$10+(Parameters!$G$10-Parameters!$D$10)*((1/(1+EXP(-Parameters!$I$10*($A22-Parameters!$J$10))))-(1/(1+EXP(-Parameters!$I$10*(2024-Parameters!$J$10)))))/(1-(1/(1+EXP(-Parameters!$I$10*(2024-Parameters!$J$10)))))</f>
        <v>2.610505061683166</v>
      </c>
      <c r="AA22" s="23">
        <f>MIN(Parameters!$D$10+IF(Parameters!$K$10=0,Parameters!$E$10*($A22-2024),Parameters!$E$10*((1+Parameters!$K$10)^($A22-2024)-1)/Parameters!$K$10),Parameters!$G$10)</f>
        <v>2.7218274029999998</v>
      </c>
      <c r="AB22" s="23">
        <f t="shared" si="12"/>
        <v>0.26267574969220586</v>
      </c>
      <c r="AC22" s="23">
        <f t="shared" si="13"/>
        <v>0.2707345029999999</v>
      </c>
      <c r="AD22" s="23">
        <f>Parameters!$D$11+(Parameters!$G$11-Parameters!$D$11)*((1/(1+EXP(-Parameters!$I$11*($A22-Parameters!$J$11))))-(1/(1+EXP(-Parameters!$I$11*(2024-Parameters!$J$11)))))/(1-(1/(1+EXP(-Parameters!$I$11*(2024-Parameters!$J$11)))))</f>
        <v>6.4469515198352427</v>
      </c>
      <c r="AE22" s="23">
        <f>MIN(Parameters!$D$11+IF(Parameters!$K$11=0,Parameters!$E$11*($A22-2024),Parameters!$E$11*((1+Parameters!$K$11)^($A22-2024)-1)/Parameters!$K$11),Parameters!$G$11)</f>
        <v>5.8207932880000017</v>
      </c>
      <c r="AF22" s="23">
        <f t="shared" si="14"/>
        <v>0.61661428173354693</v>
      </c>
      <c r="AG22" s="23">
        <f t="shared" si="15"/>
        <v>0.40851848800000035</v>
      </c>
      <c r="AH22" s="23">
        <f>Parameters!$D$12+(Parameters!$G$12-Parameters!$D$12)*((1/(1+EXP(-Parameters!$I$12*($A22-Parameters!$J$12))))-(1/(1+EXP(-Parameters!$I$12*(2024-Parameters!$J$12)))))/(1-(1/(1+EXP(-Parameters!$I$12*(2024-Parameters!$J$12)))))</f>
        <v>3.8537631920512023</v>
      </c>
      <c r="AI22" s="23">
        <f>MIN(Parameters!$D$12+IF(Parameters!$K$12=0,Parameters!$E$12*($A22-2024),Parameters!$E$12*((1+Parameters!$K$12)^($A22-2024)-1)/Parameters!$K$12),Parameters!$G$12)</f>
        <v>3.2674640000000017</v>
      </c>
      <c r="AJ22" s="23">
        <f t="shared" si="16"/>
        <v>0.75834195333250864</v>
      </c>
      <c r="AK22" s="23">
        <f t="shared" si="17"/>
        <v>0.53772399999999987</v>
      </c>
      <c r="AL22" s="23">
        <f>Parameters!$D$13+(Parameters!$G$13-Parameters!$D$13)*((1/(1+EXP(-Parameters!$I$13*($A22-Parameters!$J$13))))-(1/(1+EXP(-Parameters!$I$13*(2024-Parameters!$J$13)))))/(1-(1/(1+EXP(-Parameters!$I$13*(2024-Parameters!$J$13)))))</f>
        <v>0.89325121809901775</v>
      </c>
      <c r="AM22" s="23">
        <f>MIN(Parameters!$D$13+IF(Parameters!$K$13=0,Parameters!$E$13*($A22-2024),Parameters!$E$13*((1+Parameters!$K$13)^($A22-2024)-1)/Parameters!$K$13),Parameters!$G$13)</f>
        <v>5.7005000000000014E-2</v>
      </c>
      <c r="AN22" s="23">
        <f t="shared" si="18"/>
        <v>0.26528463717227169</v>
      </c>
      <c r="AO22" s="23">
        <f t="shared" si="19"/>
        <v>6.6549999999999943E-3</v>
      </c>
      <c r="AP22" s="23">
        <f>Parameters!$D$14+(Parameters!$G$14-Parameters!$D$14)*((1/(1+EXP(-Parameters!$I$14*($A22-Parameters!$J$14))))-(1/(1+EXP(-Parameters!$I$14*(2024-Parameters!$J$14)))))/(1-(1/(1+EXP(-Parameters!$I$14*(2024-Parameters!$J$14)))))</f>
        <v>1.1612839905272359</v>
      </c>
      <c r="AQ22" s="23">
        <f>MIN(Parameters!$D$14+IF(Parameters!$K$14=0,Parameters!$E$14*($A22-2024),Parameters!$E$14*((1+Parameters!$K$14)^($A22-2024)-1)/Parameters!$K$14),Parameters!$G$14)</f>
        <v>0.82936500000000013</v>
      </c>
      <c r="AR22" s="23">
        <f t="shared" si="20"/>
        <v>0.19131645168577793</v>
      </c>
      <c r="AS22" s="23">
        <f t="shared" si="21"/>
        <v>8.6514999999999898E-2</v>
      </c>
      <c r="AT22" s="23">
        <f>Parameters!$D$15+(Parameters!$G$15-Parameters!$D$15)*((1/(1+EXP(-Parameters!$I$15*($A22-Parameters!$J$15))))-(1/(1+EXP(-Parameters!$I$15*(2024-Parameters!$J$15)))))/(1-(1/(1+EXP(-Parameters!$I$15*(2024-Parameters!$J$15)))))</f>
        <v>1.649390562007043</v>
      </c>
      <c r="AU22" s="23">
        <f>MIN(Parameters!$D$15+IF(Parameters!$K$15=0,Parameters!$E$15*($A22-2024),Parameters!$E$15*((1+Parameters!$K$15)^($A22-2024)-1)/Parameters!$K$15),Parameters!$G$15)</f>
        <v>2.2637096640000012</v>
      </c>
      <c r="AV22" s="23">
        <f t="shared" si="22"/>
        <v>0.14459337593922994</v>
      </c>
      <c r="AW22" s="23">
        <f t="shared" si="23"/>
        <v>0.31114886400000064</v>
      </c>
    </row>
    <row r="23" spans="1:49" x14ac:dyDescent="0.3">
      <c r="A23" s="21">
        <v>2029</v>
      </c>
      <c r="B23" s="23">
        <f>Parameters!$D$4+(Parameters!$G$4-Parameters!$D$4)*((1/(1+EXP(-Parameters!$I$4*($A23-Parameters!$J$4))))-(1/(1+EXP(-Parameters!$I$4*(2024-Parameters!$J$4)))))/(1-(1/(1+EXP(-Parameters!$I$4*(2024-Parameters!$J$4)))))</f>
        <v>29.146542687926424</v>
      </c>
      <c r="C23" s="23">
        <f>MIN(Parameters!$D$4+IF(Parameters!$K$4=0,Parameters!$E$4*($A23-2024),Parameters!$E$4*((1+Parameters!$K$4)^($A23-2024)-1)/Parameters!$K$4),Parameters!$G$4)</f>
        <v>38.24643696640004</v>
      </c>
      <c r="D23" s="23">
        <f t="shared" si="0"/>
        <v>3.0877857583351904</v>
      </c>
      <c r="E23" s="23">
        <f t="shared" si="1"/>
        <v>4.8479115264000185</v>
      </c>
      <c r="F23" s="23">
        <f>Parameters!$D$5+(Parameters!$G$5-Parameters!$D$5)*((1/(1+EXP(-Parameters!$I$5*($A23-Parameters!$J$5))))-(1/(1+EXP(-Parameters!$I$5*(2024-Parameters!$J$5)))))/(1-(1/(1+EXP(-Parameters!$I$5*(2024-Parameters!$J$5)))))</f>
        <v>48.730319714491912</v>
      </c>
      <c r="G23" s="23">
        <f>MIN(Parameters!$D$5+IF(Parameters!$K$5=0,Parameters!$E$5*($A23-2024),Parameters!$E$5*((1+Parameters!$K$5)^($A23-2024)-1)/Parameters!$K$5),Parameters!$G$5)</f>
        <v>53.660474500000007</v>
      </c>
      <c r="H23" s="23">
        <f t="shared" si="2"/>
        <v>3.83379550152722</v>
      </c>
      <c r="I23" s="23">
        <f t="shared" si="3"/>
        <v>4.7647845000000046</v>
      </c>
      <c r="J23" s="23">
        <f>Parameters!$D$6+(Parameters!$G$6-Parameters!$D$6)*((1/(1+EXP(-Parameters!$I$6*($A23-Parameters!$J$6))))-(1/(1+EXP(-Parameters!$I$6*(2024-Parameters!$J$6)))))/(1-(1/(1+EXP(-Parameters!$I$6*(2024-Parameters!$J$6)))))</f>
        <v>11.581417131945157</v>
      </c>
      <c r="K23" s="23">
        <f>MIN(Parameters!$D$6+IF(Parameters!$K$6=0,Parameters!$E$6*($A23-2024),Parameters!$E$6*((1+Parameters!$K$6)^($A23-2024)-1)/Parameters!$K$6),Parameters!$G$6)</f>
        <v>8.8106522112000007</v>
      </c>
      <c r="L23" s="23">
        <f t="shared" si="4"/>
        <v>1.0569323634466858</v>
      </c>
      <c r="M23" s="23">
        <f t="shared" si="5"/>
        <v>0.29930757119999996</v>
      </c>
      <c r="N23" s="23">
        <f>Parameters!$D$7+(Parameters!$G$7-Parameters!$D$7)*((1/(1+EXP(-Parameters!$I$7*($A23-Parameters!$J$7))))-(1/(1+EXP(-Parameters!$I$7*(2024-Parameters!$J$7)))))/(1-(1/(1+EXP(-Parameters!$I$7*(2024-Parameters!$J$7)))))</f>
        <v>11.319249312899217</v>
      </c>
      <c r="O23" s="23">
        <f>MIN(Parameters!$D$7+IF(Parameters!$K$7=0,Parameters!$E$7*($A23-2024),Parameters!$E$7*((1+Parameters!$K$7)^($A23-2024)-1)/Parameters!$K$7),Parameters!$G$7)</f>
        <v>7.3179999999999996</v>
      </c>
      <c r="P23" s="23">
        <f t="shared" si="6"/>
        <v>1.0577849653720435</v>
      </c>
      <c r="Q23" s="23">
        <f t="shared" si="7"/>
        <v>0</v>
      </c>
      <c r="R23" s="23">
        <f>Parameters!$D$8+(Parameters!$G$8-Parameters!$D$8)*((1/(1+EXP(-Parameters!$I$8*($A23-Parameters!$J$8))))-(1/(1+EXP(-Parameters!$I$8*(2024-Parameters!$J$8)))))/(1-(1/(1+EXP(-Parameters!$I$8*(2024-Parameters!$J$8)))))</f>
        <v>13.226387248542544</v>
      </c>
      <c r="S23" s="23">
        <f>MIN(Parameters!$D$8+IF(Parameters!$K$8=0,Parameters!$E$8*($A23-2024),Parameters!$E$8*((1+Parameters!$K$8)^($A23-2024)-1)/Parameters!$K$8),Parameters!$G$8)</f>
        <v>14.53362434080001</v>
      </c>
      <c r="T23" s="23">
        <f t="shared" si="8"/>
        <v>1.3846904959440778</v>
      </c>
      <c r="U23" s="23">
        <f t="shared" si="9"/>
        <v>1.5528466608000038</v>
      </c>
      <c r="V23" s="23">
        <f>Parameters!$D$9+(Parameters!$G$9-Parameters!$D$9)*((1/(1+EXP(-Parameters!$I$9*($A23-Parameters!$J$9))))-(1/(1+EXP(-Parameters!$I$9*(2024-Parameters!$J$9)))))/(1-(1/(1+EXP(-Parameters!$I$9*(2024-Parameters!$J$9)))))</f>
        <v>8.5718687307127492</v>
      </c>
      <c r="W23" s="23">
        <f>MIN(Parameters!$D$9+IF(Parameters!$K$9=0,Parameters!$E$9*($A23-2024),Parameters!$E$9*((1+Parameters!$K$9)^($A23-2024)-1)/Parameters!$K$9),Parameters!$G$9)</f>
        <v>7.6821108969600047</v>
      </c>
      <c r="X23" s="23">
        <f t="shared" si="10"/>
        <v>0.91467332758180042</v>
      </c>
      <c r="Y23" s="23">
        <f t="shared" si="11"/>
        <v>0.66406288096000221</v>
      </c>
      <c r="Z23" s="23">
        <f>Parameters!$D$10+(Parameters!$G$10-Parameters!$D$10)*((1/(1+EXP(-Parameters!$I$10*($A23-Parameters!$J$10))))-(1/(1+EXP(-Parameters!$I$10*(2024-Parameters!$J$10)))))/(1-(1/(1+EXP(-Parameters!$I$10*(2024-Parameters!$J$10)))))</f>
        <v>2.9067739059832522</v>
      </c>
      <c r="AA23" s="23">
        <f>MIN(Parameters!$D$10+IF(Parameters!$K$10=0,Parameters!$E$10*($A23-2024),Parameters!$E$10*((1+Parameters!$K$10)^($A23-2024)-1)/Parameters!$K$10),Parameters!$G$10)</f>
        <v>3.0115133212100003</v>
      </c>
      <c r="AB23" s="23">
        <f t="shared" si="12"/>
        <v>0.29626884430008626</v>
      </c>
      <c r="AC23" s="23">
        <f t="shared" si="13"/>
        <v>0.28968591821000045</v>
      </c>
      <c r="AD23" s="23">
        <f>Parameters!$D$11+(Parameters!$G$11-Parameters!$D$11)*((1/(1+EXP(-Parameters!$I$11*($A23-Parameters!$J$11))))-(1/(1+EXP(-Parameters!$I$11*(2024-Parameters!$J$11)))))/(1-(1/(1+EXP(-Parameters!$I$11*(2024-Parameters!$J$11)))))</f>
        <v>7.1218056017309852</v>
      </c>
      <c r="AE23" s="23">
        <f>MIN(Parameters!$D$11+IF(Parameters!$K$11=0,Parameters!$E$11*($A23-2024),Parameters!$E$11*((1+Parameters!$K$11)^($A23-2024)-1)/Parameters!$K$11),Parameters!$G$11)</f>
        <v>6.2538228852800026</v>
      </c>
      <c r="AF23" s="23">
        <f t="shared" si="14"/>
        <v>0.67485408189574247</v>
      </c>
      <c r="AG23" s="23">
        <f t="shared" si="15"/>
        <v>0.4330295972800009</v>
      </c>
      <c r="AH23" s="23">
        <f>Parameters!$D$12+(Parameters!$G$12-Parameters!$D$12)*((1/(1+EXP(-Parameters!$I$12*($A23-Parameters!$J$12))))-(1/(1+EXP(-Parameters!$I$12*(2024-Parameters!$J$12)))))/(1-(1/(1+EXP(-Parameters!$I$12*(2024-Parameters!$J$12)))))</f>
        <v>4.7195984094282872</v>
      </c>
      <c r="AI23" s="23">
        <f>MIN(Parameters!$D$12+IF(Parameters!$K$12=0,Parameters!$E$12*($A23-2024),Parameters!$E$12*((1+Parameters!$K$12)^($A23-2024)-1)/Parameters!$K$12),Parameters!$G$12)</f>
        <v>3.8589604000000022</v>
      </c>
      <c r="AJ23" s="23">
        <f t="shared" si="16"/>
        <v>0.86583521737708491</v>
      </c>
      <c r="AK23" s="23">
        <f t="shared" si="17"/>
        <v>0.59149640000000048</v>
      </c>
      <c r="AL23" s="23">
        <f>Parameters!$D$13+(Parameters!$G$13-Parameters!$D$13)*((1/(1+EXP(-Parameters!$I$13*($A23-Parameters!$J$13))))-(1/(1+EXP(-Parameters!$I$13*(2024-Parameters!$J$13)))))/(1-(1/(1+EXP(-Parameters!$I$13*(2024-Parameters!$J$13)))))</f>
        <v>1.1944295615490215</v>
      </c>
      <c r="AM23" s="23">
        <f>MIN(Parameters!$D$13+IF(Parameters!$K$13=0,Parameters!$E$13*($A23-2024),Parameters!$E$13*((1+Parameters!$K$13)^($A23-2024)-1)/Parameters!$K$13),Parameters!$G$13)</f>
        <v>6.4325500000000022E-2</v>
      </c>
      <c r="AN23" s="23">
        <f t="shared" si="18"/>
        <v>0.30117834345000372</v>
      </c>
      <c r="AO23" s="23">
        <f t="shared" si="19"/>
        <v>7.3205000000000076E-3</v>
      </c>
      <c r="AP23" s="23">
        <f>Parameters!$D$14+(Parameters!$G$14-Parameters!$D$14)*((1/(1+EXP(-Parameters!$I$14*($A23-Parameters!$J$14))))-(1/(1+EXP(-Parameters!$I$14*(2024-Parameters!$J$14)))))/(1-(1/(1+EXP(-Parameters!$I$14*(2024-Parameters!$J$14)))))</f>
        <v>1.3770675339375262</v>
      </c>
      <c r="AQ23" s="23">
        <f>MIN(Parameters!$D$14+IF(Parameters!$K$14=0,Parameters!$E$14*($A23-2024),Parameters!$E$14*((1+Parameters!$K$14)^($A23-2024)-1)/Parameters!$K$14),Parameters!$G$14)</f>
        <v>0.92453150000000028</v>
      </c>
      <c r="AR23" s="23">
        <f t="shared" si="20"/>
        <v>0.21578354341029038</v>
      </c>
      <c r="AS23" s="23">
        <f t="shared" si="21"/>
        <v>9.5166500000000154E-2</v>
      </c>
      <c r="AT23" s="23">
        <f>Parameters!$D$15+(Parameters!$G$15-Parameters!$D$15)*((1/(1+EXP(-Parameters!$I$15*($A23-Parameters!$J$15))))-(1/(1+EXP(-Parameters!$I$15*(2024-Parameters!$J$15)))))/(1-(1/(1+EXP(-Parameters!$I$15*(2024-Parameters!$J$15)))))</f>
        <v>1.8076409186049154</v>
      </c>
      <c r="AU23" s="23">
        <f>MIN(Parameters!$D$15+IF(Parameters!$K$15=0,Parameters!$E$15*($A23-2024),Parameters!$E$15*((1+Parameters!$K$15)^($A23-2024)-1)/Parameters!$K$15),Parameters!$G$15)</f>
        <v>2.5997504371200009</v>
      </c>
      <c r="AV23" s="23">
        <f t="shared" si="22"/>
        <v>0.15825035659787234</v>
      </c>
      <c r="AW23" s="23">
        <f t="shared" si="23"/>
        <v>0.33604077311999969</v>
      </c>
    </row>
    <row r="24" spans="1:49" x14ac:dyDescent="0.3">
      <c r="A24" s="21">
        <v>2030</v>
      </c>
      <c r="B24" s="23">
        <f>Parameters!$D$4+(Parameters!$G$4-Parameters!$D$4)*((1/(1+EXP(-Parameters!$I$4*($A24-Parameters!$J$4))))-(1/(1+EXP(-Parameters!$I$4*(2024-Parameters!$J$4)))))/(1-(1/(1+EXP(-Parameters!$I$4*(2024-Parameters!$J$4)))))</f>
        <v>32.520246164535664</v>
      </c>
      <c r="C24" s="23">
        <f>MIN(Parameters!$D$4+IF(Parameters!$K$4=0,Parameters!$E$4*($A24-2024),Parameters!$E$4*((1+Parameters!$K$4)^($A24-2024)-1)/Parameters!$K$4),Parameters!$G$4)</f>
        <v>43.385223184384039</v>
      </c>
      <c r="D24" s="23">
        <f t="shared" si="0"/>
        <v>3.37370347660924</v>
      </c>
      <c r="E24" s="23">
        <f t="shared" si="1"/>
        <v>5.1387862179839985</v>
      </c>
      <c r="F24" s="23">
        <f>Parameters!$D$5+(Parameters!$G$5-Parameters!$D$5)*((1/(1+EXP(-Parameters!$I$5*($A24-Parameters!$J$5))))-(1/(1+EXP(-Parameters!$I$5*(2024-Parameters!$J$5)))))/(1-(1/(1+EXP(-Parameters!$I$5*(2024-Parameters!$J$5)))))</f>
        <v>52.758364513130537</v>
      </c>
      <c r="G24" s="23">
        <f>MIN(Parameters!$D$5+IF(Parameters!$K$5=0,Parameters!$E$5*($A24-2024),Parameters!$E$5*((1+Parameters!$K$5)^($A24-2024)-1)/Parameters!$K$5),Parameters!$G$5)</f>
        <v>58.663498224999998</v>
      </c>
      <c r="H24" s="23">
        <f t="shared" si="2"/>
        <v>4.028044798638625</v>
      </c>
      <c r="I24" s="23">
        <f t="shared" si="3"/>
        <v>5.0030237249999914</v>
      </c>
      <c r="J24" s="23">
        <f>Parameters!$D$6+(Parameters!$G$6-Parameters!$D$6)*((1/(1+EXP(-Parameters!$I$6*($A24-Parameters!$J$6))))-(1/(1+EXP(-Parameters!$I$6*(2024-Parameters!$J$6)))))/(1-(1/(1+EXP(-Parameters!$I$6*(2024-Parameters!$J$6)))))</f>
        <v>12.773842060995488</v>
      </c>
      <c r="K24" s="23">
        <f>MIN(Parameters!$D$6+IF(Parameters!$K$6=0,Parameters!$E$6*($A24-2024),Parameters!$E$6*((1+Parameters!$K$6)^($A24-2024)-1)/Parameters!$K$6),Parameters!$G$6)</f>
        <v>9.1339043880960009</v>
      </c>
      <c r="L24" s="23">
        <f t="shared" si="4"/>
        <v>1.1924249290503308</v>
      </c>
      <c r="M24" s="23">
        <f t="shared" si="5"/>
        <v>0.32325217689600017</v>
      </c>
      <c r="N24" s="23">
        <f>Parameters!$D$7+(Parameters!$G$7-Parameters!$D$7)*((1/(1+EXP(-Parameters!$I$7*($A24-Parameters!$J$7))))-(1/(1+EXP(-Parameters!$I$7*(2024-Parameters!$J$7)))))/(1-(1/(1+EXP(-Parameters!$I$7*(2024-Parameters!$J$7)))))</f>
        <v>12.526972914905363</v>
      </c>
      <c r="O24" s="23">
        <f>MIN(Parameters!$D$7+IF(Parameters!$K$7=0,Parameters!$E$7*($A24-2024),Parameters!$E$7*((1+Parameters!$K$7)^($A24-2024)-1)/Parameters!$K$7),Parameters!$G$7)</f>
        <v>7.3179999999999996</v>
      </c>
      <c r="P24" s="23">
        <f t="shared" si="6"/>
        <v>1.2077236020061459</v>
      </c>
      <c r="Q24" s="23">
        <f t="shared" si="7"/>
        <v>0</v>
      </c>
      <c r="R24" s="23">
        <f>Parameters!$D$8+(Parameters!$G$8-Parameters!$D$8)*((1/(1+EXP(-Parameters!$I$8*($A24-Parameters!$J$8))))-(1/(1+EXP(-Parameters!$I$8*(2024-Parameters!$J$8)))))/(1-(1/(1+EXP(-Parameters!$I$8*(2024-Parameters!$J$8)))))</f>
        <v>14.739295042609518</v>
      </c>
      <c r="S24" s="23">
        <f>MIN(Parameters!$D$8+IF(Parameters!$K$8=0,Parameters!$E$8*($A24-2024),Parameters!$E$8*((1+Parameters!$K$8)^($A24-2024)-1)/Parameters!$K$8),Parameters!$G$8)</f>
        <v>16.17964180124801</v>
      </c>
      <c r="T24" s="23">
        <f t="shared" si="8"/>
        <v>1.5129077940669742</v>
      </c>
      <c r="U24" s="23">
        <f t="shared" si="9"/>
        <v>1.6460174604480002</v>
      </c>
      <c r="V24" s="23">
        <f>Parameters!$D$9+(Parameters!$G$9-Parameters!$D$9)*((1/(1+EXP(-Parameters!$I$9*($A24-Parameters!$J$9))))-(1/(1+EXP(-Parameters!$I$9*(2024-Parameters!$J$9)))))/(1-(1/(1+EXP(-Parameters!$I$9*(2024-Parameters!$J$9)))))</f>
        <v>9.554117094397979</v>
      </c>
      <c r="W24" s="23">
        <f>MIN(Parameters!$D$9+IF(Parameters!$K$9=0,Parameters!$E$9*($A24-2024),Parameters!$E$9*((1+Parameters!$K$9)^($A24-2024)-1)/Parameters!$K$9),Parameters!$G$9)</f>
        <v>8.3860175507776056</v>
      </c>
      <c r="X24" s="23">
        <f t="shared" si="10"/>
        <v>0.98224836368522972</v>
      </c>
      <c r="Y24" s="23">
        <f t="shared" si="11"/>
        <v>0.70390665381760087</v>
      </c>
      <c r="Z24" s="23">
        <f>Parameters!$D$10+(Parameters!$G$10-Parameters!$D$10)*((1/(1+EXP(-Parameters!$I$10*($A24-Parameters!$J$10))))-(1/(1+EXP(-Parameters!$I$10*(2024-Parameters!$J$10)))))/(1-(1/(1+EXP(-Parameters!$I$10*(2024-Parameters!$J$10)))))</f>
        <v>3.2377762703462118</v>
      </c>
      <c r="AA24" s="23">
        <f>MIN(Parameters!$D$10+IF(Parameters!$K$10=0,Parameters!$E$10*($A24-2024),Parameters!$E$10*((1+Parameters!$K$10)^($A24-2024)-1)/Parameters!$K$10),Parameters!$G$10)</f>
        <v>3.3214772536946997</v>
      </c>
      <c r="AB24" s="23">
        <f t="shared" si="12"/>
        <v>0.3310023643629596</v>
      </c>
      <c r="AC24" s="23">
        <f t="shared" si="13"/>
        <v>0.30996393248469944</v>
      </c>
      <c r="AD24" s="23">
        <f>Parameters!$D$11+(Parameters!$G$11-Parameters!$D$11)*((1/(1+EXP(-Parameters!$I$11*($A24-Parameters!$J$11))))-(1/(1+EXP(-Parameters!$I$11*(2024-Parameters!$J$11)))))/(1-(1/(1+EXP(-Parameters!$I$11*(2024-Parameters!$J$11)))))</f>
        <v>7.8537059990387865</v>
      </c>
      <c r="AE24" s="23">
        <f>MIN(Parameters!$D$11+IF(Parameters!$K$11=0,Parameters!$E$11*($A24-2024),Parameters!$E$11*((1+Parameters!$K$11)^($A24-2024)-1)/Parameters!$K$11),Parameters!$G$11)</f>
        <v>6.7128342583968035</v>
      </c>
      <c r="AF24" s="23">
        <f t="shared" si="14"/>
        <v>0.73190039730780132</v>
      </c>
      <c r="AG24" s="23">
        <f t="shared" si="15"/>
        <v>0.45901137311680085</v>
      </c>
      <c r="AH24" s="23">
        <f>Parameters!$D$12+(Parameters!$G$12-Parameters!$D$12)*((1/(1+EXP(-Parameters!$I$12*($A24-Parameters!$J$12))))-(1/(1+EXP(-Parameters!$I$12*(2024-Parameters!$J$12)))))/(1-(1/(1+EXP(-Parameters!$I$12*(2024-Parameters!$J$12)))))</f>
        <v>5.6964286526458583</v>
      </c>
      <c r="AI24" s="23">
        <f>MIN(Parameters!$D$12+IF(Parameters!$K$12=0,Parameters!$E$12*($A24-2024),Parameters!$E$12*((1+Parameters!$K$12)^($A24-2024)-1)/Parameters!$K$12),Parameters!$G$12)</f>
        <v>4.5096064400000042</v>
      </c>
      <c r="AJ24" s="23">
        <f t="shared" si="16"/>
        <v>0.97683024321757106</v>
      </c>
      <c r="AK24" s="23">
        <f t="shared" si="17"/>
        <v>0.65064604000000203</v>
      </c>
      <c r="AL24" s="23">
        <f>Parameters!$D$13+(Parameters!$G$13-Parameters!$D$13)*((1/(1+EXP(-Parameters!$I$13*($A24-Parameters!$J$13))))-(1/(1+EXP(-Parameters!$I$13*(2024-Parameters!$J$13)))))/(1-(1/(1+EXP(-Parameters!$I$13*(2024-Parameters!$J$13)))))</f>
        <v>1.5305552548790866</v>
      </c>
      <c r="AM24" s="23">
        <f>MIN(Parameters!$D$13+IF(Parameters!$K$13=0,Parameters!$E$13*($A24-2024),Parameters!$E$13*((1+Parameters!$K$13)^($A24-2024)-1)/Parameters!$K$13),Parameters!$G$13)</f>
        <v>7.2378050000000027E-2</v>
      </c>
      <c r="AN24" s="23">
        <f t="shared" si="18"/>
        <v>0.33612569333006515</v>
      </c>
      <c r="AO24" s="23">
        <f t="shared" si="19"/>
        <v>8.0525500000000055E-3</v>
      </c>
      <c r="AP24" s="23">
        <f>Parameters!$D$14+(Parameters!$G$14-Parameters!$D$14)*((1/(1+EXP(-Parameters!$I$14*($A24-Parameters!$J$14))))-(1/(1+EXP(-Parameters!$I$14*(2024-Parameters!$J$14)))))/(1-(1/(1+EXP(-Parameters!$I$14*(2024-Parameters!$J$14)))))</f>
        <v>1.6181487830582686</v>
      </c>
      <c r="AQ24" s="23">
        <f>MIN(Parameters!$D$14+IF(Parameters!$K$14=0,Parameters!$E$14*($A24-2024),Parameters!$E$14*((1+Parameters!$K$14)^($A24-2024)-1)/Parameters!$K$14),Parameters!$G$14)</f>
        <v>1.0292146500000006</v>
      </c>
      <c r="AR24" s="23">
        <f t="shared" si="20"/>
        <v>0.24108124912074236</v>
      </c>
      <c r="AS24" s="23">
        <f t="shared" si="21"/>
        <v>0.10468315000000028</v>
      </c>
      <c r="AT24" s="23">
        <f>Parameters!$D$15+(Parameters!$G$15-Parameters!$D$15)*((1/(1+EXP(-Parameters!$I$15*($A24-Parameters!$J$15))))-(1/(1+EXP(-Parameters!$I$15*(2024-Parameters!$J$15)))))/(1-(1/(1+EXP(-Parameters!$I$15*(2024-Parameters!$J$15)))))</f>
        <v>1.9792683888614819</v>
      </c>
      <c r="AU24" s="23">
        <f>MIN(Parameters!$D$15+IF(Parameters!$K$15=0,Parameters!$E$15*($A24-2024),Parameters!$E$15*((1+Parameters!$K$15)^($A24-2024)-1)/Parameters!$K$15),Parameters!$G$15)</f>
        <v>2.9626744720896019</v>
      </c>
      <c r="AV24" s="23">
        <f t="shared" si="22"/>
        <v>0.17162747025656655</v>
      </c>
      <c r="AW24" s="23">
        <f t="shared" si="23"/>
        <v>0.36292403496960102</v>
      </c>
    </row>
    <row r="25" spans="1:49" x14ac:dyDescent="0.3">
      <c r="A25" s="21">
        <v>2031</v>
      </c>
      <c r="B25" s="23">
        <f>Parameters!$D$4+(Parameters!$G$4-Parameters!$D$4)*((1/(1+EXP(-Parameters!$I$4*($A25-Parameters!$J$4))))-(1/(1+EXP(-Parameters!$I$4*(2024-Parameters!$J$4)))))/(1-(1/(1+EXP(-Parameters!$I$4*(2024-Parameters!$J$4)))))</f>
        <v>36.159522199316655</v>
      </c>
      <c r="C25" s="23">
        <f>MIN(Parameters!$D$4+IF(Parameters!$K$4=0,Parameters!$E$4*($A25-2024),Parameters!$E$4*((1+Parameters!$K$4)^($A25-2024)-1)/Parameters!$K$4),Parameters!$G$4)</f>
        <v>48.832336575447094</v>
      </c>
      <c r="D25" s="23">
        <f t="shared" si="0"/>
        <v>3.6392760347809912</v>
      </c>
      <c r="E25" s="23">
        <f t="shared" si="1"/>
        <v>5.4471133910630556</v>
      </c>
      <c r="F25" s="23">
        <f>Parameters!$D$5+(Parameters!$G$5-Parameters!$D$5)*((1/(1+EXP(-Parameters!$I$5*($A25-Parameters!$J$5))))-(1/(1+EXP(-Parameters!$I$5*(2024-Parameters!$J$5)))))/(1-(1/(1+EXP(-Parameters!$I$5*(2024-Parameters!$J$5)))))</f>
        <v>56.940762109071684</v>
      </c>
      <c r="G25" s="23">
        <f>MIN(Parameters!$D$5+IF(Parameters!$K$5=0,Parameters!$E$5*($A25-2024),Parameters!$E$5*((1+Parameters!$K$5)^($A25-2024)-1)/Parameters!$K$5),Parameters!$G$5)</f>
        <v>63.916673136250012</v>
      </c>
      <c r="H25" s="23">
        <f t="shared" si="2"/>
        <v>4.182397595941147</v>
      </c>
      <c r="I25" s="23">
        <f t="shared" si="3"/>
        <v>5.2531749112500137</v>
      </c>
      <c r="J25" s="23">
        <f>Parameters!$D$6+(Parameters!$G$6-Parameters!$D$6)*((1/(1+EXP(-Parameters!$I$6*($A25-Parameters!$J$6))))-(1/(1+EXP(-Parameters!$I$6*(2024-Parameters!$J$6)))))/(1-(1/(1+EXP(-Parameters!$I$6*(2024-Parameters!$J$6)))))</f>
        <v>14.101139284247818</v>
      </c>
      <c r="K25" s="23">
        <f>MIN(Parameters!$D$6+IF(Parameters!$K$6=0,Parameters!$E$6*($A25-2024),Parameters!$E$6*((1+Parameters!$K$6)^($A25-2024)-1)/Parameters!$K$6),Parameters!$G$6)</f>
        <v>9.4830167391436806</v>
      </c>
      <c r="L25" s="23">
        <f t="shared" si="4"/>
        <v>1.3272972232523301</v>
      </c>
      <c r="M25" s="23">
        <f t="shared" si="5"/>
        <v>0.34911235104767968</v>
      </c>
      <c r="N25" s="23">
        <f>Parameters!$D$7+(Parameters!$G$7-Parameters!$D$7)*((1/(1+EXP(-Parameters!$I$7*($A25-Parameters!$J$7))))-(1/(1+EXP(-Parameters!$I$7*(2024-Parameters!$J$7)))))/(1-(1/(1+EXP(-Parameters!$I$7*(2024-Parameters!$J$7)))))</f>
        <v>13.889519639975186</v>
      </c>
      <c r="O25" s="23">
        <f>MIN(Parameters!$D$7+IF(Parameters!$K$7=0,Parameters!$E$7*($A25-2024),Parameters!$E$7*((1+Parameters!$K$7)^($A25-2024)-1)/Parameters!$K$7),Parameters!$G$7)</f>
        <v>7.3179999999999996</v>
      </c>
      <c r="P25" s="23">
        <f t="shared" si="6"/>
        <v>1.3625467250698229</v>
      </c>
      <c r="Q25" s="23">
        <f t="shared" si="7"/>
        <v>0</v>
      </c>
      <c r="R25" s="23">
        <f>Parameters!$D$8+(Parameters!$G$8-Parameters!$D$8)*((1/(1+EXP(-Parameters!$I$8*($A25-Parameters!$J$8))))-(1/(1+EXP(-Parameters!$I$8*(2024-Parameters!$J$8)))))/(1-(1/(1+EXP(-Parameters!$I$8*(2024-Parameters!$J$8)))))</f>
        <v>16.371296525832648</v>
      </c>
      <c r="S25" s="23">
        <f>MIN(Parameters!$D$8+IF(Parameters!$K$8=0,Parameters!$E$8*($A25-2024),Parameters!$E$8*((1+Parameters!$K$8)^($A25-2024)-1)/Parameters!$K$8),Parameters!$G$8)</f>
        <v>17.924420309322898</v>
      </c>
      <c r="T25" s="23">
        <f t="shared" si="8"/>
        <v>1.6320014832231298</v>
      </c>
      <c r="U25" s="23">
        <f t="shared" si="9"/>
        <v>1.7447785080748872</v>
      </c>
      <c r="V25" s="23">
        <f>Parameters!$D$9+(Parameters!$G$9-Parameters!$D$9)*((1/(1+EXP(-Parameters!$I$9*($A25-Parameters!$J$9))))-(1/(1+EXP(-Parameters!$I$9*(2024-Parameters!$J$9)))))/(1-(1/(1+EXP(-Parameters!$I$9*(2024-Parameters!$J$9)))))</f>
        <v>10.597814913797444</v>
      </c>
      <c r="W25" s="23">
        <f>MIN(Parameters!$D$9+IF(Parameters!$K$9=0,Parameters!$E$9*($A25-2024),Parameters!$E$9*((1+Parameters!$K$9)^($A25-2024)-1)/Parameters!$K$9),Parameters!$G$9)</f>
        <v>9.1321586038242621</v>
      </c>
      <c r="X25" s="23">
        <f t="shared" si="10"/>
        <v>1.0436978193994655</v>
      </c>
      <c r="Y25" s="23">
        <f t="shared" si="11"/>
        <v>0.74614105304665657</v>
      </c>
      <c r="Z25" s="23">
        <f>Parameters!$D$10+(Parameters!$G$10-Parameters!$D$10)*((1/(1+EXP(-Parameters!$I$10*($A25-Parameters!$J$10))))-(1/(1+EXP(-Parameters!$I$10*(2024-Parameters!$J$10)))))/(1-(1/(1+EXP(-Parameters!$I$10*(2024-Parameters!$J$10)))))</f>
        <v>3.6036866678493791</v>
      </c>
      <c r="AA25" s="23">
        <f>MIN(Parameters!$D$10+IF(Parameters!$K$10=0,Parameters!$E$10*($A25-2024),Parameters!$E$10*((1+Parameters!$K$10)^($A25-2024)-1)/Parameters!$K$10),Parameters!$G$10)</f>
        <v>3.6531386614533292</v>
      </c>
      <c r="AB25" s="23">
        <f t="shared" si="12"/>
        <v>0.36591039750316723</v>
      </c>
      <c r="AC25" s="23">
        <f t="shared" si="13"/>
        <v>0.33166140775862951</v>
      </c>
      <c r="AD25" s="23">
        <f>Parameters!$D$11+(Parameters!$G$11-Parameters!$D$11)*((1/(1+EXP(-Parameters!$I$11*($A25-Parameters!$J$11))))-(1/(1+EXP(-Parameters!$I$11*(2024-Parameters!$J$11)))))/(1-(1/(1+EXP(-Parameters!$I$11*(2024-Parameters!$J$11)))))</f>
        <v>8.6396783740470262</v>
      </c>
      <c r="AE25" s="23">
        <f>MIN(Parameters!$D$11+IF(Parameters!$K$11=0,Parameters!$E$11*($A25-2024),Parameters!$E$11*((1+Parameters!$K$11)^($A25-2024)-1)/Parameters!$K$11),Parameters!$G$11)</f>
        <v>7.1993863139006127</v>
      </c>
      <c r="AF25" s="23">
        <f t="shared" si="14"/>
        <v>0.78597237500823969</v>
      </c>
      <c r="AG25" s="23">
        <f t="shared" si="15"/>
        <v>0.4865520555038092</v>
      </c>
      <c r="AH25" s="23">
        <f>Parameters!$D$12+(Parameters!$G$12-Parameters!$D$12)*((1/(1+EXP(-Parameters!$I$12*($A25-Parameters!$J$12))))-(1/(1+EXP(-Parameters!$I$12*(2024-Parameters!$J$12)))))/(1-(1/(1+EXP(-Parameters!$I$12*(2024-Parameters!$J$12)))))</f>
        <v>6.7837457975869393</v>
      </c>
      <c r="AI25" s="23">
        <f>MIN(Parameters!$D$12+IF(Parameters!$K$12=0,Parameters!$E$12*($A25-2024),Parameters!$E$12*((1+Parameters!$K$12)^($A25-2024)-1)/Parameters!$K$12),Parameters!$G$12)</f>
        <v>5.2253170840000056</v>
      </c>
      <c r="AJ25" s="23">
        <f t="shared" si="16"/>
        <v>1.087317144941081</v>
      </c>
      <c r="AK25" s="23">
        <f t="shared" si="17"/>
        <v>0.71571064400000139</v>
      </c>
      <c r="AL25" s="23">
        <f>Parameters!$D$13+(Parameters!$G$13-Parameters!$D$13)*((1/(1+EXP(-Parameters!$I$13*($A25-Parameters!$J$13))))-(1/(1+EXP(-Parameters!$I$13*(2024-Parameters!$J$13)))))/(1-(1/(1+EXP(-Parameters!$I$13*(2024-Parameters!$J$13)))))</f>
        <v>1.8985923763077677</v>
      </c>
      <c r="AM25" s="23">
        <f>MIN(Parameters!$D$13+IF(Parameters!$K$13=0,Parameters!$E$13*($A25-2024),Parameters!$E$13*((1+Parameters!$K$13)^($A25-2024)-1)/Parameters!$K$13),Parameters!$G$13)</f>
        <v>8.1235855000000051E-2</v>
      </c>
      <c r="AN25" s="23">
        <f t="shared" si="18"/>
        <v>0.36803712142868106</v>
      </c>
      <c r="AO25" s="23">
        <f t="shared" si="19"/>
        <v>8.8578050000000241E-3</v>
      </c>
      <c r="AP25" s="23">
        <f>Parameters!$D$14+(Parameters!$G$14-Parameters!$D$14)*((1/(1+EXP(-Parameters!$I$14*($A25-Parameters!$J$14))))-(1/(1+EXP(-Parameters!$I$14*(2024-Parameters!$J$14)))))/(1-(1/(1+EXP(-Parameters!$I$14*(2024-Parameters!$J$14)))))</f>
        <v>1.8846548422101601</v>
      </c>
      <c r="AQ25" s="23">
        <f>MIN(Parameters!$D$14+IF(Parameters!$K$14=0,Parameters!$E$14*($A25-2024),Parameters!$E$14*((1+Parameters!$K$14)^($A25-2024)-1)/Parameters!$K$14),Parameters!$G$14)</f>
        <v>1.1443661150000008</v>
      </c>
      <c r="AR25" s="23">
        <f t="shared" si="20"/>
        <v>0.26650605915189152</v>
      </c>
      <c r="AS25" s="23">
        <f t="shared" si="21"/>
        <v>0.11515146500000029</v>
      </c>
      <c r="AT25" s="23">
        <f>Parameters!$D$15+(Parameters!$G$15-Parameters!$D$15)*((1/(1+EXP(-Parameters!$I$15*($A25-Parameters!$J$15))))-(1/(1+EXP(-Parameters!$I$15*(2024-Parameters!$J$15)))))/(1-(1/(1+EXP(-Parameters!$I$15*(2024-Parameters!$J$15)))))</f>
        <v>2.1635755034776247</v>
      </c>
      <c r="AU25" s="23">
        <f>MIN(Parameters!$D$15+IF(Parameters!$K$15=0,Parameters!$E$15*($A25-2024),Parameters!$E$15*((1+Parameters!$K$15)^($A25-2024)-1)/Parameters!$K$15),Parameters!$G$15)</f>
        <v>3.3546324298567702</v>
      </c>
      <c r="AV25" s="23">
        <f t="shared" si="22"/>
        <v>0.1843071146161428</v>
      </c>
      <c r="AW25" s="23">
        <f t="shared" si="23"/>
        <v>0.39195795776716835</v>
      </c>
    </row>
    <row r="26" spans="1:49" x14ac:dyDescent="0.3">
      <c r="A26" s="21">
        <v>2032</v>
      </c>
      <c r="B26" s="23">
        <f>Parameters!$D$4+(Parameters!$G$4-Parameters!$D$4)*((1/(1+EXP(-Parameters!$I$4*($A26-Parameters!$J$4))))-(1/(1+EXP(-Parameters!$I$4*(2024-Parameters!$J$4)))))/(1-(1/(1+EXP(-Parameters!$I$4*(2024-Parameters!$J$4)))))</f>
        <v>40.031540550201868</v>
      </c>
      <c r="C26" s="23">
        <f>MIN(Parameters!$D$4+IF(Parameters!$K$4=0,Parameters!$E$4*($A26-2024),Parameters!$E$4*((1+Parameters!$K$4)^($A26-2024)-1)/Parameters!$K$4),Parameters!$G$4)</f>
        <v>54.60627676997391</v>
      </c>
      <c r="D26" s="23">
        <f t="shared" si="0"/>
        <v>3.8720183508852131</v>
      </c>
      <c r="E26" s="23">
        <f t="shared" si="1"/>
        <v>5.7739401945268156</v>
      </c>
      <c r="F26" s="23">
        <f>Parameters!$D$5+(Parameters!$G$5-Parameters!$D$5)*((1/(1+EXP(-Parameters!$I$5*($A26-Parameters!$J$5))))-(1/(1+EXP(-Parameters!$I$5*(2024-Parameters!$J$5)))))/(1-(1/(1+EXP(-Parameters!$I$5*(2024-Parameters!$J$5)))))</f>
        <v>61.230457693145951</v>
      </c>
      <c r="G26" s="23">
        <f>MIN(Parameters!$D$5+IF(Parameters!$K$5=0,Parameters!$E$5*($A26-2024),Parameters!$E$5*((1+Parameters!$K$5)^($A26-2024)-1)/Parameters!$K$5),Parameters!$G$5)</f>
        <v>69.432506793062501</v>
      </c>
      <c r="H26" s="23">
        <f t="shared" si="2"/>
        <v>4.2896955840742663</v>
      </c>
      <c r="I26" s="23">
        <f t="shared" si="3"/>
        <v>5.5158336568124895</v>
      </c>
      <c r="J26" s="23">
        <f>Parameters!$D$6+(Parameters!$G$6-Parameters!$D$6)*((1/(1+EXP(-Parameters!$I$6*($A26-Parameters!$J$6))))-(1/(1+EXP(-Parameters!$I$6*(2024-Parameters!$J$6)))))/(1-(1/(1+EXP(-Parameters!$I$6*(2024-Parameters!$J$6)))))</f>
        <v>15.556605850060951</v>
      </c>
      <c r="K26" s="23">
        <f>MIN(Parameters!$D$6+IF(Parameters!$K$6=0,Parameters!$E$6*($A26-2024),Parameters!$E$6*((1+Parameters!$K$6)^($A26-2024)-1)/Parameters!$K$6),Parameters!$G$6)</f>
        <v>9.8600580782751752</v>
      </c>
      <c r="L26" s="23">
        <f t="shared" si="4"/>
        <v>1.4554665658131327</v>
      </c>
      <c r="M26" s="23">
        <f t="shared" si="5"/>
        <v>0.37704133913149462</v>
      </c>
      <c r="N26" s="23">
        <f>Parameters!$D$7+(Parameters!$G$7-Parameters!$D$7)*((1/(1+EXP(-Parameters!$I$7*($A26-Parameters!$J$7))))-(1/(1+EXP(-Parameters!$I$7*(2024-Parameters!$J$7)))))/(1-(1/(1+EXP(-Parameters!$I$7*(2024-Parameters!$J$7)))))</f>
        <v>15.406180723350094</v>
      </c>
      <c r="O26" s="23">
        <f>MIN(Parameters!$D$7+IF(Parameters!$K$7=0,Parameters!$E$7*($A26-2024),Parameters!$E$7*((1+Parameters!$K$7)^($A26-2024)-1)/Parameters!$K$7),Parameters!$G$7)</f>
        <v>7.3179999999999996</v>
      </c>
      <c r="P26" s="23">
        <f t="shared" si="6"/>
        <v>1.5166610833749079</v>
      </c>
      <c r="Q26" s="23">
        <f t="shared" si="7"/>
        <v>0</v>
      </c>
      <c r="R26" s="23">
        <f>Parameters!$D$8+(Parameters!$G$8-Parameters!$D$8)*((1/(1+EXP(-Parameters!$I$8*($A26-Parameters!$J$8))))-(1/(1+EXP(-Parameters!$I$8*(2024-Parameters!$J$8)))))/(1-(1/(1+EXP(-Parameters!$I$8*(2024-Parameters!$J$8)))))</f>
        <v>18.107669263519782</v>
      </c>
      <c r="S26" s="23">
        <f>MIN(Parameters!$D$8+IF(Parameters!$K$8=0,Parameters!$E$8*($A26-2024),Parameters!$E$8*((1+Parameters!$K$8)^($A26-2024)-1)/Parameters!$K$8),Parameters!$G$8)</f>
        <v>19.773885527882268</v>
      </c>
      <c r="T26" s="23">
        <f t="shared" si="8"/>
        <v>1.7363727376871338</v>
      </c>
      <c r="U26" s="23">
        <f t="shared" si="9"/>
        <v>1.8494652185593701</v>
      </c>
      <c r="V26" s="23">
        <f>Parameters!$D$9+(Parameters!$G$9-Parameters!$D$9)*((1/(1+EXP(-Parameters!$I$9*($A26-Parameters!$J$9))))-(1/(1+EXP(-Parameters!$I$9*(2024-Parameters!$J$9)))))/(1-(1/(1+EXP(-Parameters!$I$9*(2024-Parameters!$J$9)))))</f>
        <v>11.694394418653083</v>
      </c>
      <c r="W26" s="23">
        <f>MIN(Parameters!$D$9+IF(Parameters!$K$9=0,Parameters!$E$9*($A26-2024),Parameters!$E$9*((1+Parameters!$K$9)^($A26-2024)-1)/Parameters!$K$9),Parameters!$G$9)</f>
        <v>9.923068120053717</v>
      </c>
      <c r="X26" s="23">
        <f t="shared" si="10"/>
        <v>1.0965795048556384</v>
      </c>
      <c r="Y26" s="23">
        <f t="shared" si="11"/>
        <v>0.79090951622945482</v>
      </c>
      <c r="Z26" s="23">
        <f>Parameters!$D$10+(Parameters!$G$10-Parameters!$D$10)*((1/(1+EXP(-Parameters!$I$10*($A26-Parameters!$J$10))))-(1/(1+EXP(-Parameters!$I$10*(2024-Parameters!$J$10)))))/(1-(1/(1+EXP(-Parameters!$I$10*(2024-Parameters!$J$10)))))</f>
        <v>4.0034790358436814</v>
      </c>
      <c r="AA26" s="23">
        <f>MIN(Parameters!$D$10+IF(Parameters!$K$10=0,Parameters!$E$10*($A26-2024),Parameters!$E$10*((1+Parameters!$K$10)^($A26-2024)-1)/Parameters!$K$10),Parameters!$G$10)</f>
        <v>4.0080163677550624</v>
      </c>
      <c r="AB26" s="23">
        <f t="shared" si="12"/>
        <v>0.39979236799430229</v>
      </c>
      <c r="AC26" s="23">
        <f t="shared" si="13"/>
        <v>0.35487770630173321</v>
      </c>
      <c r="AD26" s="23">
        <f>Parameters!$D$11+(Parameters!$G$11-Parameters!$D$11)*((1/(1+EXP(-Parameters!$I$11*($A26-Parameters!$J$11))))-(1/(1+EXP(-Parameters!$I$11*(2024-Parameters!$J$11)))))/(1-(1/(1+EXP(-Parameters!$I$11*(2024-Parameters!$J$11)))))</f>
        <v>9.474821179301113</v>
      </c>
      <c r="AE26" s="23">
        <f>MIN(Parameters!$D$11+IF(Parameters!$K$11=0,Parameters!$E$11*($A26-2024),Parameters!$E$11*((1+Parameters!$K$11)^($A26-2024)-1)/Parameters!$K$11),Parameters!$G$11)</f>
        <v>7.715131492734649</v>
      </c>
      <c r="AF26" s="23">
        <f t="shared" si="14"/>
        <v>0.8351428052540868</v>
      </c>
      <c r="AG26" s="23">
        <f t="shared" si="15"/>
        <v>0.51574517883403637</v>
      </c>
      <c r="AH26" s="23">
        <f>Parameters!$D$12+(Parameters!$G$12-Parameters!$D$12)*((1/(1+EXP(-Parameters!$I$12*($A26-Parameters!$J$12))))-(1/(1+EXP(-Parameters!$I$12*(2024-Parameters!$J$12)))))/(1-(1/(1+EXP(-Parameters!$I$12*(2024-Parameters!$J$12)))))</f>
        <v>7.9760588102061813</v>
      </c>
      <c r="AI26" s="23">
        <f>MIN(Parameters!$D$12+IF(Parameters!$K$12=0,Parameters!$E$12*($A26-2024),Parameters!$E$12*((1+Parameters!$K$12)^($A26-2024)-1)/Parameters!$K$12),Parameters!$G$12)</f>
        <v>6.0125987924000048</v>
      </c>
      <c r="AJ26" s="23">
        <f t="shared" si="16"/>
        <v>1.1923130126192421</v>
      </c>
      <c r="AK26" s="23">
        <f t="shared" si="17"/>
        <v>0.78728170839999922</v>
      </c>
      <c r="AL26" s="23">
        <f>Parameters!$D$13+(Parameters!$G$13-Parameters!$D$13)*((1/(1+EXP(-Parameters!$I$13*($A26-Parameters!$J$13))))-(1/(1+EXP(-Parameters!$I$13*(2024-Parameters!$J$13)))))/(1-(1/(1+EXP(-Parameters!$I$13*(2024-Parameters!$J$13)))))</f>
        <v>2.2932448073835192</v>
      </c>
      <c r="AM26" s="23">
        <f>MIN(Parameters!$D$13+IF(Parameters!$K$13=0,Parameters!$E$13*($A26-2024),Parameters!$E$13*((1+Parameters!$K$13)^($A26-2024)-1)/Parameters!$K$13),Parameters!$G$13)</f>
        <v>9.097944050000005E-2</v>
      </c>
      <c r="AN26" s="23">
        <f t="shared" si="18"/>
        <v>0.39465243107575154</v>
      </c>
      <c r="AO26" s="23">
        <f t="shared" si="19"/>
        <v>9.7435854999999988E-3</v>
      </c>
      <c r="AP26" s="23">
        <f>Parameters!$D$14+(Parameters!$G$14-Parameters!$D$14)*((1/(1+EXP(-Parameters!$I$14*($A26-Parameters!$J$14))))-(1/(1+EXP(-Parameters!$I$14*(2024-Parameters!$J$14)))))/(1-(1/(1+EXP(-Parameters!$I$14*(2024-Parameters!$J$14)))))</f>
        <v>2.1758383920633508</v>
      </c>
      <c r="AQ26" s="23">
        <f>MIN(Parameters!$D$14+IF(Parameters!$K$14=0,Parameters!$E$14*($A26-2024),Parameters!$E$14*((1+Parameters!$K$14)^($A26-2024)-1)/Parameters!$K$14),Parameters!$G$14)</f>
        <v>1.2710327265000005</v>
      </c>
      <c r="AR26" s="23">
        <f t="shared" si="20"/>
        <v>0.29118354985319073</v>
      </c>
      <c r="AS26" s="23">
        <f t="shared" si="21"/>
        <v>0.12666661149999969</v>
      </c>
      <c r="AT26" s="23">
        <f>Parameters!$D$15+(Parameters!$G$15-Parameters!$D$15)*((1/(1+EXP(-Parameters!$I$15*($A26-Parameters!$J$15))))-(1/(1+EXP(-Parameters!$I$15*(2024-Parameters!$J$15)))))/(1-(1/(1+EXP(-Parameters!$I$15*(2024-Parameters!$J$15)))))</f>
        <v>2.359412870824281</v>
      </c>
      <c r="AU26" s="23">
        <f>MIN(Parameters!$D$15+IF(Parameters!$K$15=0,Parameters!$E$15*($A26-2024),Parameters!$E$15*((1+Parameters!$K$15)^($A26-2024)-1)/Parameters!$K$15),Parameters!$G$15)</f>
        <v>3.7779470242453117</v>
      </c>
      <c r="AV26" s="23">
        <f t="shared" si="22"/>
        <v>0.19583736734665624</v>
      </c>
      <c r="AW26" s="23">
        <f t="shared" si="23"/>
        <v>0.42331459438854147</v>
      </c>
    </row>
    <row r="27" spans="1:49" x14ac:dyDescent="0.3">
      <c r="A27" s="21">
        <v>2033</v>
      </c>
      <c r="B27" s="23">
        <f>Parameters!$D$4+(Parameters!$G$4-Parameters!$D$4)*((1/(1+EXP(-Parameters!$I$4*($A27-Parameters!$J$4))))-(1/(1+EXP(-Parameters!$I$4*(2024-Parameters!$J$4)))))/(1-(1/(1+EXP(-Parameters!$I$4*(2024-Parameters!$J$4)))))</f>
        <v>44.091242285629193</v>
      </c>
      <c r="C27" s="23">
        <f>MIN(Parameters!$D$4+IF(Parameters!$K$4=0,Parameters!$E$4*($A27-2024),Parameters!$E$4*((1+Parameters!$K$4)^($A27-2024)-1)/Parameters!$K$4),Parameters!$G$4)</f>
        <v>60.726653376172344</v>
      </c>
      <c r="D27" s="23">
        <f t="shared" si="0"/>
        <v>4.0597017354273248</v>
      </c>
      <c r="E27" s="23">
        <f t="shared" si="1"/>
        <v>6.1203766061984339</v>
      </c>
      <c r="F27" s="23">
        <f>Parameters!$D$5+(Parameters!$G$5-Parameters!$D$5)*((1/(1+EXP(-Parameters!$I$5*($A27-Parameters!$J$5))))-(1/(1+EXP(-Parameters!$I$5*(2024-Parameters!$J$5)))))/(1-(1/(1+EXP(-Parameters!$I$5*(2024-Parameters!$J$5)))))</f>
        <v>65.575178617986637</v>
      </c>
      <c r="G27" s="23">
        <f>MIN(Parameters!$D$5+IF(Parameters!$K$5=0,Parameters!$E$5*($A27-2024),Parameters!$E$5*((1+Parameters!$K$5)^($A27-2024)-1)/Parameters!$K$5),Parameters!$G$5)</f>
        <v>75.224132132715638</v>
      </c>
      <c r="H27" s="23">
        <f t="shared" si="2"/>
        <v>4.3447209248406864</v>
      </c>
      <c r="I27" s="23">
        <f t="shared" si="3"/>
        <v>5.7916253396531374</v>
      </c>
      <c r="J27" s="23">
        <f>Parameters!$D$6+(Parameters!$G$6-Parameters!$D$6)*((1/(1+EXP(-Parameters!$I$6*($A27-Parameters!$J$6))))-(1/(1+EXP(-Parameters!$I$6*(2024-Parameters!$J$6)))))/(1-(1/(1+EXP(-Parameters!$I$6*(2024-Parameters!$J$6)))))</f>
        <v>17.126644520709544</v>
      </c>
      <c r="K27" s="23">
        <f>MIN(Parameters!$D$6+IF(Parameters!$K$6=0,Parameters!$E$6*($A27-2024),Parameters!$E$6*((1+Parameters!$K$6)^($A27-2024)-1)/Parameters!$K$6),Parameters!$G$6)</f>
        <v>10.26726272453719</v>
      </c>
      <c r="L27" s="23">
        <f t="shared" si="4"/>
        <v>1.5700386706485929</v>
      </c>
      <c r="M27" s="23">
        <f t="shared" si="5"/>
        <v>0.40720464626201469</v>
      </c>
      <c r="N27" s="23">
        <f>Parameters!$D$7+(Parameters!$G$7-Parameters!$D$7)*((1/(1+EXP(-Parameters!$I$7*($A27-Parameters!$J$7))))-(1/(1+EXP(-Parameters!$I$7*(2024-Parameters!$J$7)))))/(1-(1/(1+EXP(-Parameters!$I$7*(2024-Parameters!$J$7)))))</f>
        <v>17.069296911533712</v>
      </c>
      <c r="O27" s="23">
        <f>MIN(Parameters!$D$7+IF(Parameters!$K$7=0,Parameters!$E$7*($A27-2024),Parameters!$E$7*((1+Parameters!$K$7)^($A27-2024)-1)/Parameters!$K$7),Parameters!$G$7)</f>
        <v>7.3179999999999996</v>
      </c>
      <c r="P27" s="23">
        <f t="shared" si="6"/>
        <v>1.6631161881836185</v>
      </c>
      <c r="Q27" s="23">
        <f t="shared" si="7"/>
        <v>0</v>
      </c>
      <c r="R27" s="23">
        <f>Parameters!$D$8+(Parameters!$G$8-Parameters!$D$8)*((1/(1+EXP(-Parameters!$I$8*($A27-Parameters!$J$8))))-(1/(1+EXP(-Parameters!$I$8*(2024-Parameters!$J$8)))))/(1-(1/(1+EXP(-Parameters!$I$8*(2024-Parameters!$J$8)))))</f>
        <v>19.928206972212607</v>
      </c>
      <c r="S27" s="23">
        <f>MIN(Parameters!$D$8+IF(Parameters!$K$8=0,Parameters!$E$8*($A27-2024),Parameters!$E$8*((1+Parameters!$K$8)^($A27-2024)-1)/Parameters!$K$8),Parameters!$G$8)</f>
        <v>21.734318659555203</v>
      </c>
      <c r="T27" s="23">
        <f t="shared" si="8"/>
        <v>1.8205377086928252</v>
      </c>
      <c r="U27" s="23">
        <f t="shared" si="9"/>
        <v>1.9604331316729358</v>
      </c>
      <c r="V27" s="23">
        <f>Parameters!$D$9+(Parameters!$G$9-Parameters!$D$9)*((1/(1+EXP(-Parameters!$I$9*($A27-Parameters!$J$9))))-(1/(1+EXP(-Parameters!$I$9*(2024-Parameters!$J$9)))))/(1-(1/(1+EXP(-Parameters!$I$9*(2024-Parameters!$J$9)))))</f>
        <v>12.832994338499212</v>
      </c>
      <c r="W27" s="23">
        <f>MIN(Parameters!$D$9+IF(Parameters!$K$9=0,Parameters!$E$9*($A27-2024),Parameters!$E$9*((1+Parameters!$K$9)^($A27-2024)-1)/Parameters!$K$9),Parameters!$G$9)</f>
        <v>10.761432207256941</v>
      </c>
      <c r="X27" s="23">
        <f t="shared" si="10"/>
        <v>1.1385999198461292</v>
      </c>
      <c r="Y27" s="23">
        <f t="shared" si="11"/>
        <v>0.83836408720322453</v>
      </c>
      <c r="Z27" s="23">
        <f>Parameters!$D$10+(Parameters!$G$10-Parameters!$D$10)*((1/(1+EXP(-Parameters!$I$10*($A27-Parameters!$J$10))))-(1/(1+EXP(-Parameters!$I$10*(2024-Parameters!$J$10)))))/(1-(1/(1+EXP(-Parameters!$I$10*(2024-Parameters!$J$10)))))</f>
        <v>4.43474242156136</v>
      </c>
      <c r="AA27" s="23">
        <f>MIN(Parameters!$D$10+IF(Parameters!$K$10=0,Parameters!$E$10*($A27-2024),Parameters!$E$10*((1+Parameters!$K$10)^($A27-2024)-1)/Parameters!$K$10),Parameters!$G$10)</f>
        <v>4.3877355134979172</v>
      </c>
      <c r="AB27" s="23">
        <f t="shared" si="12"/>
        <v>0.43126338571767864</v>
      </c>
      <c r="AC27" s="23">
        <f t="shared" si="13"/>
        <v>0.37971914574285481</v>
      </c>
      <c r="AD27" s="23">
        <f>Parameters!$D$11+(Parameters!$G$11-Parameters!$D$11)*((1/(1+EXP(-Parameters!$I$11*($A27-Parameters!$J$11))))-(1/(1+EXP(-Parameters!$I$11*(2024-Parameters!$J$11)))))/(1-(1/(1+EXP(-Parameters!$I$11*(2024-Parameters!$J$11)))))</f>
        <v>10.352278683616124</v>
      </c>
      <c r="AE27" s="23">
        <f>MIN(Parameters!$D$11+IF(Parameters!$K$11=0,Parameters!$E$11*($A27-2024),Parameters!$E$11*((1+Parameters!$K$11)^($A27-2024)-1)/Parameters!$K$11),Parameters!$G$11)</f>
        <v>8.2618213822987272</v>
      </c>
      <c r="AF27" s="23">
        <f t="shared" si="14"/>
        <v>0.87745750431501079</v>
      </c>
      <c r="AG27" s="23">
        <f t="shared" si="15"/>
        <v>0.54668988956407816</v>
      </c>
      <c r="AH27" s="23">
        <f>Parameters!$D$12+(Parameters!$G$12-Parameters!$D$12)*((1/(1+EXP(-Parameters!$I$12*($A27-Parameters!$J$12))))-(1/(1+EXP(-Parameters!$I$12*(2024-Parameters!$J$12)))))/(1-(1/(1+EXP(-Parameters!$I$12*(2024-Parameters!$J$12)))))</f>
        <v>9.2622288819205423</v>
      </c>
      <c r="AI27" s="23">
        <f>MIN(Parameters!$D$12+IF(Parameters!$K$12=0,Parameters!$E$12*($A27-2024),Parameters!$E$12*((1+Parameters!$K$12)^($A27-2024)-1)/Parameters!$K$12),Parameters!$G$12)</f>
        <v>6.8786086716400066</v>
      </c>
      <c r="AJ27" s="23">
        <f t="shared" si="16"/>
        <v>1.2861700717143609</v>
      </c>
      <c r="AK27" s="23">
        <f t="shared" si="17"/>
        <v>0.86600987924000172</v>
      </c>
      <c r="AL27" s="23">
        <f>Parameters!$D$13+(Parameters!$G$13-Parameters!$D$13)*((1/(1+EXP(-Parameters!$I$13*($A27-Parameters!$J$13))))-(1/(1+EXP(-Parameters!$I$13*(2024-Parameters!$J$13)))))/(1-(1/(1+EXP(-Parameters!$I$13*(2024-Parameters!$J$13)))))</f>
        <v>2.7070755819408832</v>
      </c>
      <c r="AM27" s="23">
        <f>MIN(Parameters!$D$13+IF(Parameters!$K$13=0,Parameters!$E$13*($A27-2024),Parameters!$E$13*((1+Parameters!$K$13)^($A27-2024)-1)/Parameters!$K$13),Parameters!$G$13)</f>
        <v>0.10169738455000006</v>
      </c>
      <c r="AN27" s="23">
        <f t="shared" si="18"/>
        <v>0.41383077455736395</v>
      </c>
      <c r="AO27" s="23">
        <f t="shared" si="19"/>
        <v>1.0717944050000011E-2</v>
      </c>
      <c r="AP27" s="23">
        <f>Parameters!$D$14+(Parameters!$G$14-Parameters!$D$14)*((1/(1+EXP(-Parameters!$I$14*($A27-Parameters!$J$14))))-(1/(1+EXP(-Parameters!$I$14*(2024-Parameters!$J$14)))))/(1-(1/(1+EXP(-Parameters!$I$14*(2024-Parameters!$J$14)))))</f>
        <v>2.4899434466570121</v>
      </c>
      <c r="AQ27" s="23">
        <f>MIN(Parameters!$D$14+IF(Parameters!$K$14=0,Parameters!$E$14*($A27-2024),Parameters!$E$14*((1+Parameters!$K$14)^($A27-2024)-1)/Parameters!$K$14),Parameters!$G$14)</f>
        <v>1.4103659991500008</v>
      </c>
      <c r="AR27" s="23">
        <f t="shared" si="20"/>
        <v>0.31410505459366123</v>
      </c>
      <c r="AS27" s="23">
        <f t="shared" si="21"/>
        <v>0.13933327265000028</v>
      </c>
      <c r="AT27" s="23">
        <f>Parameters!$D$15+(Parameters!$G$15-Parameters!$D$15)*((1/(1+EXP(-Parameters!$I$15*($A27-Parameters!$J$15))))-(1/(1+EXP(-Parameters!$I$15*(2024-Parameters!$J$15)))))/(1-(1/(1+EXP(-Parameters!$I$15*(2024-Parameters!$J$15)))))</f>
        <v>2.5651728516593408</v>
      </c>
      <c r="AU27" s="23">
        <f>MIN(Parameters!$D$15+IF(Parameters!$K$15=0,Parameters!$E$15*($A27-2024),Parameters!$E$15*((1+Parameters!$K$15)^($A27-2024)-1)/Parameters!$K$15),Parameters!$G$15)</f>
        <v>4.2351267861849369</v>
      </c>
      <c r="AV27" s="23">
        <f t="shared" si="22"/>
        <v>0.20575998083505986</v>
      </c>
      <c r="AW27" s="23">
        <f t="shared" si="23"/>
        <v>0.45717976193962517</v>
      </c>
    </row>
    <row r="28" spans="1:49" x14ac:dyDescent="0.3">
      <c r="A28" s="21">
        <v>2034</v>
      </c>
      <c r="B28" s="23">
        <f>Parameters!$D$4+(Parameters!$G$4-Parameters!$D$4)*((1/(1+EXP(-Parameters!$I$4*($A28-Parameters!$J$4))))-(1/(1+EXP(-Parameters!$I$4*(2024-Parameters!$J$4)))))/(1-(1/(1+EXP(-Parameters!$I$4*(2024-Parameters!$J$4)))))</f>
        <v>48.282833883768291</v>
      </c>
      <c r="C28" s="23">
        <f>MIN(Parameters!$D$4+IF(Parameters!$K$4=0,Parameters!$E$4*($A28-2024),Parameters!$E$4*((1+Parameters!$K$4)^($A28-2024)-1)/Parameters!$K$4),Parameters!$G$4)</f>
        <v>67.214252578742702</v>
      </c>
      <c r="D28" s="23">
        <f t="shared" si="0"/>
        <v>4.1915915981390981</v>
      </c>
      <c r="E28" s="23">
        <f t="shared" si="1"/>
        <v>6.4875992025703582</v>
      </c>
      <c r="F28" s="23">
        <f>Parameters!$D$5+(Parameters!$G$5-Parameters!$D$5)*((1/(1+EXP(-Parameters!$I$5*($A28-Parameters!$J$5))))-(1/(1+EXP(-Parameters!$I$5*(2024-Parameters!$J$5)))))/(1-(1/(1+EXP(-Parameters!$I$5*(2024-Parameters!$J$5)))))</f>
        <v>69.919899542827324</v>
      </c>
      <c r="G28" s="23">
        <f>MIN(Parameters!$D$5+IF(Parameters!$K$5=0,Parameters!$E$5*($A28-2024),Parameters!$E$5*((1+Parameters!$K$5)^($A28-2024)-1)/Parameters!$K$5),Parameters!$G$5)</f>
        <v>81.305338739351413</v>
      </c>
      <c r="H28" s="23">
        <f t="shared" si="2"/>
        <v>4.3447209248406864</v>
      </c>
      <c r="I28" s="23">
        <f t="shared" si="3"/>
        <v>6.0812066066357744</v>
      </c>
      <c r="J28" s="23">
        <f>Parameters!$D$6+(Parameters!$G$6-Parameters!$D$6)*((1/(1+EXP(-Parameters!$I$6*($A28-Parameters!$J$6))))-(1/(1+EXP(-Parameters!$I$6*(2024-Parameters!$J$6)))))/(1-(1/(1+EXP(-Parameters!$I$6*(2024-Parameters!$J$6)))))</f>
        <v>18.790580160417818</v>
      </c>
      <c r="K28" s="23">
        <f>MIN(Parameters!$D$6+IF(Parameters!$K$6=0,Parameters!$E$6*($A28-2024),Parameters!$E$6*((1+Parameters!$K$6)^($A28-2024)-1)/Parameters!$K$6),Parameters!$G$6)</f>
        <v>10.707043742500165</v>
      </c>
      <c r="L28" s="23">
        <f t="shared" si="4"/>
        <v>1.6639356397082743</v>
      </c>
      <c r="M28" s="23">
        <f t="shared" si="5"/>
        <v>0.43978101796297508</v>
      </c>
      <c r="N28" s="23">
        <f>Parameters!$D$7+(Parameters!$G$7-Parameters!$D$7)*((1/(1+EXP(-Parameters!$I$7*($A28-Parameters!$J$7))))-(1/(1+EXP(-Parameters!$I$7*(2024-Parameters!$J$7)))))/(1-(1/(1+EXP(-Parameters!$I$7*(2024-Parameters!$J$7)))))</f>
        <v>18.863331065640963</v>
      </c>
      <c r="O28" s="23">
        <f>MIN(Parameters!$D$7+IF(Parameters!$K$7=0,Parameters!$E$7*($A28-2024),Parameters!$E$7*((1+Parameters!$K$7)^($A28-2024)-1)/Parameters!$K$7),Parameters!$G$7)</f>
        <v>7.3179999999999996</v>
      </c>
      <c r="P28" s="23">
        <f t="shared" si="6"/>
        <v>1.7940341541072513</v>
      </c>
      <c r="Q28" s="23">
        <f t="shared" si="7"/>
        <v>0</v>
      </c>
      <c r="R28" s="23">
        <f>Parameters!$D$8+(Parameters!$G$8-Parameters!$D$8)*((1/(1+EXP(-Parameters!$I$8*($A28-Parameters!$J$8))))-(1/(1+EXP(-Parameters!$I$8*(2024-Parameters!$J$8)))))/(1-(1/(1+EXP(-Parameters!$I$8*(2024-Parameters!$J$8)))))</f>
        <v>21.807889535406879</v>
      </c>
      <c r="S28" s="23">
        <f>MIN(Parameters!$D$8+IF(Parameters!$K$8=0,Parameters!$E$8*($A28-2024),Parameters!$E$8*((1+Parameters!$K$8)^($A28-2024)-1)/Parameters!$K$8),Parameters!$G$8)</f>
        <v>23.812377779128518</v>
      </c>
      <c r="T28" s="23">
        <f t="shared" si="8"/>
        <v>1.8796825631942724</v>
      </c>
      <c r="U28" s="23">
        <f t="shared" si="9"/>
        <v>2.0780591195733145</v>
      </c>
      <c r="V28" s="23">
        <f>Parameters!$D$9+(Parameters!$G$9-Parameters!$D$9)*((1/(1+EXP(-Parameters!$I$9*($A28-Parameters!$J$9))))-(1/(1+EXP(-Parameters!$I$9*(2024-Parameters!$J$9)))))/(1-(1/(1+EXP(-Parameters!$I$9*(2024-Parameters!$J$9)))))</f>
        <v>14.000804652117221</v>
      </c>
      <c r="W28" s="23">
        <f>MIN(Parameters!$D$9+IF(Parameters!$K$9=0,Parameters!$E$9*($A28-2024),Parameters!$E$9*((1+Parameters!$K$9)^($A28-2024)-1)/Parameters!$K$9),Parameters!$G$9)</f>
        <v>11.650098139692359</v>
      </c>
      <c r="X28" s="23">
        <f t="shared" si="10"/>
        <v>1.1678103136180091</v>
      </c>
      <c r="Y28" s="23">
        <f t="shared" si="11"/>
        <v>0.88866593243541736</v>
      </c>
      <c r="Z28" s="23">
        <f>Parameters!$D$10+(Parameters!$G$10-Parameters!$D$10)*((1/(1+EXP(-Parameters!$I$10*($A28-Parameters!$J$10))))-(1/(1+EXP(-Parameters!$I$10*(2024-Parameters!$J$10)))))/(1-(1/(1+EXP(-Parameters!$I$10*(2024-Parameters!$J$10)))))</f>
        <v>4.8935863585435211</v>
      </c>
      <c r="AA28" s="23">
        <f>MIN(Parameters!$D$10+IF(Parameters!$K$10=0,Parameters!$E$10*($A28-2024),Parameters!$E$10*((1+Parameters!$K$10)^($A28-2024)-1)/Parameters!$K$10),Parameters!$G$10)</f>
        <v>4.7940349994427711</v>
      </c>
      <c r="AB28" s="23">
        <f t="shared" si="12"/>
        <v>0.45884393698216108</v>
      </c>
      <c r="AC28" s="23">
        <f t="shared" si="13"/>
        <v>0.40629948594485388</v>
      </c>
      <c r="AD28" s="23">
        <f>Parameters!$D$11+(Parameters!$G$11-Parameters!$D$11)*((1/(1+EXP(-Parameters!$I$11*($A28-Parameters!$J$11))))-(1/(1+EXP(-Parameters!$I$11*(2024-Parameters!$J$11)))))/(1-(1/(1+EXP(-Parameters!$I$11*(2024-Parameters!$J$11)))))</f>
        <v>11.263359950097556</v>
      </c>
      <c r="AE28" s="23">
        <f>MIN(Parameters!$D$11+IF(Parameters!$K$11=0,Parameters!$E$11*($A28-2024),Parameters!$E$11*((1+Parameters!$K$11)^($A28-2024)-1)/Parameters!$K$11),Parameters!$G$11)</f>
        <v>8.8413126652366518</v>
      </c>
      <c r="AF28" s="23">
        <f t="shared" si="14"/>
        <v>0.91108126648143184</v>
      </c>
      <c r="AG28" s="23">
        <f t="shared" si="15"/>
        <v>0.57949128293792462</v>
      </c>
      <c r="AH28" s="23">
        <f>Parameters!$D$12+(Parameters!$G$12-Parameters!$D$12)*((1/(1+EXP(-Parameters!$I$12*($A28-Parameters!$J$12))))-(1/(1+EXP(-Parameters!$I$12*(2024-Parameters!$J$12)))))/(1-(1/(1+EXP(-Parameters!$I$12*(2024-Parameters!$J$12)))))</f>
        <v>10.625319015342273</v>
      </c>
      <c r="AI28" s="23">
        <f>MIN(Parameters!$D$12+IF(Parameters!$K$12=0,Parameters!$E$12*($A28-2024),Parameters!$E$12*((1+Parameters!$K$12)^($A28-2024)-1)/Parameters!$K$12),Parameters!$G$12)</f>
        <v>7.8312195388040076</v>
      </c>
      <c r="AJ28" s="23">
        <f t="shared" si="16"/>
        <v>1.3630901334217302</v>
      </c>
      <c r="AK28" s="23">
        <f t="shared" si="17"/>
        <v>0.95261086716400101</v>
      </c>
      <c r="AL28" s="23">
        <f>Parameters!$D$13+(Parameters!$G$13-Parameters!$D$13)*((1/(1+EXP(-Parameters!$I$13*($A28-Parameters!$J$13))))-(1/(1+EXP(-Parameters!$I$13*(2024-Parameters!$J$13)))))/(1-(1/(1+EXP(-Parameters!$I$13*(2024-Parameters!$J$13)))))</f>
        <v>3.1309615191081543</v>
      </c>
      <c r="AM28" s="23">
        <f>MIN(Parameters!$D$13+IF(Parameters!$K$13=0,Parameters!$E$13*($A28-2024),Parameters!$E$13*((1+Parameters!$K$13)^($A28-2024)-1)/Parameters!$K$13),Parameters!$G$13)</f>
        <v>0.11348712300500009</v>
      </c>
      <c r="AN28" s="23">
        <f t="shared" si="18"/>
        <v>0.42388593716727119</v>
      </c>
      <c r="AO28" s="23">
        <f t="shared" si="19"/>
        <v>1.1789738455000032E-2</v>
      </c>
      <c r="AP28" s="23">
        <f>Parameters!$D$14+(Parameters!$G$14-Parameters!$D$14)*((1/(1+EXP(-Parameters!$I$14*($A28-Parameters!$J$14))))-(1/(1+EXP(-Parameters!$I$14*(2024-Parameters!$J$14)))))/(1-(1/(1+EXP(-Parameters!$I$14*(2024-Parameters!$J$14)))))</f>
        <v>2.8241364355561482</v>
      </c>
      <c r="AQ28" s="23">
        <f>MIN(Parameters!$D$14+IF(Parameters!$K$14=0,Parameters!$E$14*($A28-2024),Parameters!$E$14*((1+Parameters!$K$14)^($A28-2024)-1)/Parameters!$K$14),Parameters!$G$14)</f>
        <v>1.5636325990650008</v>
      </c>
      <c r="AR28" s="23">
        <f t="shared" si="20"/>
        <v>0.33419298889913618</v>
      </c>
      <c r="AS28" s="23">
        <f t="shared" si="21"/>
        <v>0.15326659991500002</v>
      </c>
      <c r="AT28" s="23">
        <f>Parameters!$D$15+(Parameters!$G$15-Parameters!$D$15)*((1/(1+EXP(-Parameters!$I$15*($A28-Parameters!$J$15))))-(1/(1+EXP(-Parameters!$I$15*(2024-Parameters!$J$15)))))/(1-(1/(1+EXP(-Parameters!$I$15*(2024-Parameters!$J$15)))))</f>
        <v>2.7788174589577253</v>
      </c>
      <c r="AU28" s="23">
        <f>MIN(Parameters!$D$15+IF(Parameters!$K$15=0,Parameters!$E$15*($A28-2024),Parameters!$E$15*((1+Parameters!$K$15)^($A28-2024)-1)/Parameters!$K$15),Parameters!$G$15)</f>
        <v>4.7288809290797325</v>
      </c>
      <c r="AV28" s="23">
        <f t="shared" si="22"/>
        <v>0.21364460729838441</v>
      </c>
      <c r="AW28" s="23">
        <f t="shared" si="23"/>
        <v>0.49375414289479558</v>
      </c>
    </row>
    <row r="29" spans="1:49" x14ac:dyDescent="0.3">
      <c r="A29" s="21">
        <v>2035</v>
      </c>
      <c r="B29" s="23">
        <f>Parameters!$D$4+(Parameters!$G$4-Parameters!$D$4)*((1/(1+EXP(-Parameters!$I$4*($A29-Parameters!$J$4))))-(1/(1+EXP(-Parameters!$I$4*(2024-Parameters!$J$4)))))/(1-(1/(1+EXP(-Parameters!$I$4*(2024-Parameters!$J$4)))))</f>
        <v>52.542512804135775</v>
      </c>
      <c r="C29" s="23">
        <f>MIN(Parameters!$D$4+IF(Parameters!$K$4=0,Parameters!$E$4*($A29-2024),Parameters!$E$4*((1+Parameters!$K$4)^($A29-2024)-1)/Parameters!$K$4),Parameters!$G$4)</f>
        <v>74.091107733467283</v>
      </c>
      <c r="D29" s="23">
        <f t="shared" si="0"/>
        <v>4.2596789203674845</v>
      </c>
      <c r="E29" s="23">
        <f t="shared" si="1"/>
        <v>6.8768551547245806</v>
      </c>
      <c r="F29" s="23">
        <f>Parameters!$D$5+(Parameters!$G$5-Parameters!$D$5)*((1/(1+EXP(-Parameters!$I$5*($A29-Parameters!$J$5))))-(1/(1+EXP(-Parameters!$I$5*(2024-Parameters!$J$5)))))/(1-(1/(1+EXP(-Parameters!$I$5*(2024-Parameters!$J$5)))))</f>
        <v>74.209595126901604</v>
      </c>
      <c r="G29" s="23">
        <f>MIN(Parameters!$D$5+IF(Parameters!$K$5=0,Parameters!$E$5*($A29-2024),Parameters!$E$5*((1+Parameters!$K$5)^($A29-2024)-1)/Parameters!$K$5),Parameters!$G$5)</f>
        <v>87.690605676318995</v>
      </c>
      <c r="H29" s="23">
        <f t="shared" si="2"/>
        <v>4.2896955840742805</v>
      </c>
      <c r="I29" s="23">
        <f t="shared" si="3"/>
        <v>6.3852669369675823</v>
      </c>
      <c r="J29" s="23">
        <f>Parameters!$D$6+(Parameters!$G$6-Parameters!$D$6)*((1/(1+EXP(-Parameters!$I$6*($A29-Parameters!$J$6))))-(1/(1+EXP(-Parameters!$I$6*(2024-Parameters!$J$6)))))/(1-(1/(1+EXP(-Parameters!$I$6*(2024-Parameters!$J$6)))))</f>
        <v>20.521295379821886</v>
      </c>
      <c r="K29" s="23">
        <f>MIN(Parameters!$D$6+IF(Parameters!$K$6=0,Parameters!$E$6*($A29-2024),Parameters!$E$6*((1+Parameters!$K$6)^($A29-2024)-1)/Parameters!$K$6),Parameters!$G$6)</f>
        <v>11.182007241900179</v>
      </c>
      <c r="L29" s="23">
        <f t="shared" si="4"/>
        <v>1.7307152194040683</v>
      </c>
      <c r="M29" s="23">
        <f t="shared" si="5"/>
        <v>0.47496349940001359</v>
      </c>
      <c r="N29" s="23">
        <f>Parameters!$D$7+(Parameters!$G$7-Parameters!$D$7)*((1/(1+EXP(-Parameters!$I$7*($A29-Parameters!$J$7))))-(1/(1+EXP(-Parameters!$I$7*(2024-Parameters!$J$7)))))/(1-(1/(1+EXP(-Parameters!$I$7*(2024-Parameters!$J$7)))))</f>
        <v>20.764658353738753</v>
      </c>
      <c r="O29" s="23">
        <f>MIN(Parameters!$D$7+IF(Parameters!$K$7=0,Parameters!$E$7*($A29-2024),Parameters!$E$7*((1+Parameters!$K$7)^($A29-2024)-1)/Parameters!$K$7),Parameters!$G$7)</f>
        <v>7.3179999999999996</v>
      </c>
      <c r="P29" s="23">
        <f t="shared" si="6"/>
        <v>1.9013272880977894</v>
      </c>
      <c r="Q29" s="23">
        <f t="shared" si="7"/>
        <v>0</v>
      </c>
      <c r="R29" s="23">
        <f>Parameters!$D$8+(Parameters!$G$8-Parameters!$D$8)*((1/(1+EXP(-Parameters!$I$8*($A29-Parameters!$J$8))))-(1/(1+EXP(-Parameters!$I$8*(2024-Parameters!$J$8)))))/(1-(1/(1+EXP(-Parameters!$I$8*(2024-Parameters!$J$8)))))</f>
        <v>23.718105262286308</v>
      </c>
      <c r="S29" s="23">
        <f>MIN(Parameters!$D$8+IF(Parameters!$K$8=0,Parameters!$E$8*($A29-2024),Parameters!$E$8*((1+Parameters!$K$8)^($A29-2024)-1)/Parameters!$K$8),Parameters!$G$8)</f>
        <v>26.015120445876235</v>
      </c>
      <c r="T29" s="23">
        <f t="shared" si="8"/>
        <v>1.9102157268794286</v>
      </c>
      <c r="U29" s="23">
        <f t="shared" si="9"/>
        <v>2.2027426667477172</v>
      </c>
      <c r="V29" s="23">
        <f>Parameters!$D$9+(Parameters!$G$9-Parameters!$D$9)*((1/(1+EXP(-Parameters!$I$9*($A29-Parameters!$J$9))))-(1/(1+EXP(-Parameters!$I$9*(2024-Parameters!$J$9)))))/(1-(1/(1+EXP(-Parameters!$I$9*(2024-Parameters!$J$9)))))</f>
        <v>15.183594853980907</v>
      </c>
      <c r="W29" s="23">
        <f>MIN(Parameters!$D$9+IF(Parameters!$K$9=0,Parameters!$E$9*($A29-2024),Parameters!$E$9*((1+Parameters!$K$9)^($A29-2024)-1)/Parameters!$K$9),Parameters!$G$9)</f>
        <v>12.592084028073902</v>
      </c>
      <c r="X29" s="23">
        <f t="shared" si="10"/>
        <v>1.1827902018636856</v>
      </c>
      <c r="Y29" s="23">
        <f t="shared" si="11"/>
        <v>0.94198588838154329</v>
      </c>
      <c r="Z29" s="23">
        <f>Parameters!$D$10+(Parameters!$G$10-Parameters!$D$10)*((1/(1+EXP(-Parameters!$I$10*($A29-Parameters!$J$10))))-(1/(1+EXP(-Parameters!$I$10*(2024-Parameters!$J$10)))))/(1-(1/(1+EXP(-Parameters!$I$10*(2024-Parameters!$J$10)))))</f>
        <v>5.3746712497943401</v>
      </c>
      <c r="AA29" s="23">
        <f>MIN(Parameters!$D$10+IF(Parameters!$K$10=0,Parameters!$E$10*($A29-2024),Parameters!$E$10*((1+Parameters!$K$10)^($A29-2024)-1)/Parameters!$K$10),Parameters!$G$10)</f>
        <v>5.2287754494037655</v>
      </c>
      <c r="AB29" s="23">
        <f t="shared" si="12"/>
        <v>0.48108489125081899</v>
      </c>
      <c r="AC29" s="23">
        <f t="shared" si="13"/>
        <v>0.43474044996099437</v>
      </c>
      <c r="AD29" s="23">
        <f>Parameters!$D$11+(Parameters!$G$11-Parameters!$D$11)*((1/(1+EXP(-Parameters!$I$11*($A29-Parameters!$J$11))))-(1/(1+EXP(-Parameters!$I$11*(2024-Parameters!$J$11)))))/(1-(1/(1+EXP(-Parameters!$I$11*(2024-Parameters!$J$11)))))</f>
        <v>12.19781469666469</v>
      </c>
      <c r="AE29" s="23">
        <f>MIN(Parameters!$D$11+IF(Parameters!$K$11=0,Parameters!$E$11*($A29-2024),Parameters!$E$11*((1+Parameters!$K$11)^($A29-2024)-1)/Parameters!$K$11),Parameters!$G$11)</f>
        <v>9.4555734251508525</v>
      </c>
      <c r="AF29" s="23">
        <f t="shared" si="14"/>
        <v>0.93445474656713401</v>
      </c>
      <c r="AG29" s="23">
        <f t="shared" si="15"/>
        <v>0.6142607599142007</v>
      </c>
      <c r="AH29" s="23">
        <f>Parameters!$D$12+(Parameters!$G$12-Parameters!$D$12)*((1/(1+EXP(-Parameters!$I$12*($A29-Parameters!$J$12))))-(1/(1+EXP(-Parameters!$I$12*(2024-Parameters!$J$12)))))/(1-(1/(1+EXP(-Parameters!$I$12*(2024-Parameters!$J$12)))))</f>
        <v>12.043114741952301</v>
      </c>
      <c r="AI29" s="23">
        <f>MIN(Parameters!$D$12+IF(Parameters!$K$12=0,Parameters!$E$12*($A29-2024),Parameters!$E$12*((1+Parameters!$K$12)^($A29-2024)-1)/Parameters!$K$12),Parameters!$G$12)</f>
        <v>8.8790914926844096</v>
      </c>
      <c r="AJ29" s="23">
        <f t="shared" si="16"/>
        <v>1.417795726610029</v>
      </c>
      <c r="AK29" s="23">
        <f t="shared" si="17"/>
        <v>1.047871953880402</v>
      </c>
      <c r="AL29" s="23">
        <f>Parameters!$D$13+(Parameters!$G$13-Parameters!$D$13)*((1/(1+EXP(-Parameters!$I$13*($A29-Parameters!$J$13))))-(1/(1+EXP(-Parameters!$I$13*(2024-Parameters!$J$13)))))/(1-(1/(1+EXP(-Parameters!$I$13*(2024-Parameters!$J$13)))))</f>
        <v>3.5548474562754255</v>
      </c>
      <c r="AM29" s="23">
        <f>MIN(Parameters!$D$13+IF(Parameters!$K$13=0,Parameters!$E$13*($A29-2024),Parameters!$E$13*((1+Parameters!$K$13)^($A29-2024)-1)/Parameters!$K$13),Parameters!$G$13)</f>
        <v>0.12645583530550011</v>
      </c>
      <c r="AN29" s="23">
        <f t="shared" si="18"/>
        <v>0.42388593716727119</v>
      </c>
      <c r="AO29" s="23">
        <f t="shared" si="19"/>
        <v>1.2968712300500021E-2</v>
      </c>
      <c r="AP29" s="23">
        <f>Parameters!$D$14+(Parameters!$G$14-Parameters!$D$14)*((1/(1+EXP(-Parameters!$I$14*($A29-Parameters!$J$14))))-(1/(1+EXP(-Parameters!$I$14*(2024-Parameters!$J$14)))))/(1-(1/(1+EXP(-Parameters!$I$14*(2024-Parameters!$J$14)))))</f>
        <v>3.1745283330251524</v>
      </c>
      <c r="AQ29" s="23">
        <f>MIN(Parameters!$D$14+IF(Parameters!$K$14=0,Parameters!$E$14*($A29-2024),Parameters!$E$14*((1+Parameters!$K$14)^($A29-2024)-1)/Parameters!$K$14),Parameters!$G$14)</f>
        <v>1.7322258589715016</v>
      </c>
      <c r="AR29" s="23">
        <f t="shared" si="20"/>
        <v>0.35039189746900412</v>
      </c>
      <c r="AS29" s="23">
        <f t="shared" si="21"/>
        <v>0.16859325990650076</v>
      </c>
      <c r="AT29" s="23">
        <f>Parameters!$D$15+(Parameters!$G$15-Parameters!$D$15)*((1/(1+EXP(-Parameters!$I$15*($A29-Parameters!$J$15))))-(1/(1+EXP(-Parameters!$I$15*(2024-Parameters!$J$15)))))/(1-(1/(1+EXP(-Parameters!$I$15*(2024-Parameters!$J$15)))))</f>
        <v>2.9979430460082148</v>
      </c>
      <c r="AU29" s="23">
        <f>MIN(Parameters!$D$15+IF(Parameters!$K$15=0,Parameters!$E$15*($A29-2024),Parameters!$E$15*((1+Parameters!$K$15)^($A29-2024)-1)/Parameters!$K$15),Parameters!$G$15)</f>
        <v>5.262135403406111</v>
      </c>
      <c r="AV29" s="23">
        <f t="shared" si="22"/>
        <v>0.21912558705048957</v>
      </c>
      <c r="AW29" s="23">
        <f t="shared" si="23"/>
        <v>0.53325447432637851</v>
      </c>
    </row>
    <row r="30" spans="1:49" x14ac:dyDescent="0.3">
      <c r="A30" s="21">
        <v>2036</v>
      </c>
      <c r="B30" s="23">
        <f>Parameters!$D$4+(Parameters!$G$4-Parameters!$D$4)*((1/(1+EXP(-Parameters!$I$4*($A30-Parameters!$J$4))))-(1/(1+EXP(-Parameters!$I$4*(2024-Parameters!$J$4)))))/(1-(1/(1+EXP(-Parameters!$I$4*(2024-Parameters!$J$4)))))</f>
        <v>56.802191724503274</v>
      </c>
      <c r="C30" s="23">
        <f>MIN(Parameters!$D$4+IF(Parameters!$K$4=0,Parameters!$E$4*($A30-2024),Parameters!$E$4*((1+Parameters!$K$4)^($A30-2024)-1)/Parameters!$K$4),Parameters!$G$4)</f>
        <v>81.380574197475312</v>
      </c>
      <c r="D30" s="23">
        <f t="shared" si="0"/>
        <v>4.2596789203674987</v>
      </c>
      <c r="E30" s="23">
        <f t="shared" si="1"/>
        <v>7.2894664640080293</v>
      </c>
      <c r="F30" s="23">
        <f>Parameters!$D$5+(Parameters!$G$5-Parameters!$D$5)*((1/(1+EXP(-Parameters!$I$5*($A30-Parameters!$J$5))))-(1/(1+EXP(-Parameters!$I$5*(2024-Parameters!$J$5)))))/(1-(1/(1+EXP(-Parameters!$I$5*(2024-Parameters!$J$5)))))</f>
        <v>78.391992722842744</v>
      </c>
      <c r="G30" s="23">
        <f>MIN(Parameters!$D$5+IF(Parameters!$K$5=0,Parameters!$E$5*($A30-2024),Parameters!$E$5*((1+Parameters!$K$5)^($A30-2024)-1)/Parameters!$K$5),Parameters!$G$5)</f>
        <v>94.395135960134922</v>
      </c>
      <c r="H30" s="23">
        <f t="shared" si="2"/>
        <v>4.1823975959411399</v>
      </c>
      <c r="I30" s="23">
        <f t="shared" si="3"/>
        <v>6.7045302838159273</v>
      </c>
      <c r="J30" s="23">
        <f>Parameters!$D$6+(Parameters!$G$6-Parameters!$D$6)*((1/(1+EXP(-Parameters!$I$6*($A30-Parameters!$J$6))))-(1/(1+EXP(-Parameters!$I$6*(2024-Parameters!$J$6)))))/(1-(1/(1+EXP(-Parameters!$I$6*(2024-Parameters!$J$6)))))</f>
        <v>22.28674043857994</v>
      </c>
      <c r="K30" s="23">
        <f>MIN(Parameters!$D$6+IF(Parameters!$K$6=0,Parameters!$E$6*($A30-2024),Parameters!$E$6*((1+Parameters!$K$6)^($A30-2024)-1)/Parameters!$K$6),Parameters!$G$6)</f>
        <v>11.694967821252193</v>
      </c>
      <c r="L30" s="23">
        <f t="shared" si="4"/>
        <v>1.7654450587580541</v>
      </c>
      <c r="M30" s="23">
        <f t="shared" si="5"/>
        <v>0.51296057935201489</v>
      </c>
      <c r="N30" s="23">
        <f>Parameters!$D$7+(Parameters!$G$7-Parameters!$D$7)*((1/(1+EXP(-Parameters!$I$7*($A30-Parameters!$J$7))))-(1/(1+EXP(-Parameters!$I$7*(2024-Parameters!$J$7)))))/(1-(1/(1+EXP(-Parameters!$I$7*(2024-Parameters!$J$7)))))</f>
        <v>22.742292581920822</v>
      </c>
      <c r="O30" s="23">
        <f>MIN(Parameters!$D$7+IF(Parameters!$K$7=0,Parameters!$E$7*($A30-2024),Parameters!$E$7*((1+Parameters!$K$7)^($A30-2024)-1)/Parameters!$K$7),Parameters!$G$7)</f>
        <v>7.3179999999999996</v>
      </c>
      <c r="P30" s="23">
        <f t="shared" si="6"/>
        <v>1.9776342281820689</v>
      </c>
      <c r="Q30" s="23">
        <f t="shared" si="7"/>
        <v>0</v>
      </c>
      <c r="R30" s="23">
        <f>Parameters!$D$8+(Parameters!$G$8-Parameters!$D$8)*((1/(1+EXP(-Parameters!$I$8*($A30-Parameters!$J$8))))-(1/(1+EXP(-Parameters!$I$8*(2024-Parameters!$J$8)))))/(1-(1/(1+EXP(-Parameters!$I$8*(2024-Parameters!$J$8)))))</f>
        <v>25.628320989165736</v>
      </c>
      <c r="S30" s="23">
        <f>MIN(Parameters!$D$8+IF(Parameters!$K$8=0,Parameters!$E$8*($A30-2024),Parameters!$E$8*((1+Parameters!$K$8)^($A30-2024)-1)/Parameters!$K$8),Parameters!$G$8)</f>
        <v>28.350027672628812</v>
      </c>
      <c r="T30" s="23">
        <f t="shared" si="8"/>
        <v>1.9102157268794286</v>
      </c>
      <c r="U30" s="23">
        <f t="shared" si="9"/>
        <v>2.334907226752577</v>
      </c>
      <c r="V30" s="23">
        <f>Parameters!$D$9+(Parameters!$G$9-Parameters!$D$9)*((1/(1+EXP(-Parameters!$I$9*($A30-Parameters!$J$9))))-(1/(1+EXP(-Parameters!$I$9*(2024-Parameters!$J$9)))))/(1-(1/(1+EXP(-Parameters!$I$9*(2024-Parameters!$J$9)))))</f>
        <v>16.366385055844589</v>
      </c>
      <c r="W30" s="23">
        <f>MIN(Parameters!$D$9+IF(Parameters!$K$9=0,Parameters!$E$9*($A30-2024),Parameters!$E$9*((1+Parameters!$K$9)^($A30-2024)-1)/Parameters!$K$9),Parameters!$G$9)</f>
        <v>13.590589069758337</v>
      </c>
      <c r="X30" s="23">
        <f t="shared" si="10"/>
        <v>1.182790201863682</v>
      </c>
      <c r="Y30" s="23">
        <f t="shared" si="11"/>
        <v>0.99850504168443521</v>
      </c>
      <c r="Z30" s="23">
        <f>Parameters!$D$10+(Parameters!$G$10-Parameters!$D$10)*((1/(1+EXP(-Parameters!$I$10*($A30-Parameters!$J$10))))-(1/(1+EXP(-Parameters!$I$10*(2024-Parameters!$J$10)))))/(1-(1/(1+EXP(-Parameters!$I$10*(2024-Parameters!$J$10)))))</f>
        <v>5.8713854223064077</v>
      </c>
      <c r="AA30" s="23">
        <f>MIN(Parameters!$D$10+IF(Parameters!$K$10=0,Parameters!$E$10*($A30-2024),Parameters!$E$10*((1+Parameters!$K$10)^($A30-2024)-1)/Parameters!$K$10),Parameters!$G$10)</f>
        <v>5.6939477308620283</v>
      </c>
      <c r="AB30" s="23">
        <f t="shared" si="12"/>
        <v>0.49671417251206762</v>
      </c>
      <c r="AC30" s="23">
        <f t="shared" si="13"/>
        <v>0.46517228145826284</v>
      </c>
      <c r="AD30" s="23">
        <f>Parameters!$D$11+(Parameters!$G$11-Parameters!$D$11)*((1/(1+EXP(-Parameters!$I$11*($A30-Parameters!$J$11))))-(1/(1+EXP(-Parameters!$I$11*(2024-Parameters!$J$11)))))/(1-(1/(1+EXP(-Parameters!$I$11*(2024-Parameters!$J$11)))))</f>
        <v>13.144256002616499</v>
      </c>
      <c r="AE30" s="23">
        <f>MIN(Parameters!$D$11+IF(Parameters!$K$11=0,Parameters!$E$11*($A30-2024),Parameters!$E$11*((1+Parameters!$K$11)^($A30-2024)-1)/Parameters!$K$11),Parameters!$G$11)</f>
        <v>10.106689830659905</v>
      </c>
      <c r="AF30" s="23">
        <f t="shared" si="14"/>
        <v>0.94644130595180975</v>
      </c>
      <c r="AG30" s="23">
        <f t="shared" si="15"/>
        <v>0.65111640550905214</v>
      </c>
      <c r="AH30" s="23">
        <f>Parameters!$D$12+(Parameters!$G$12-Parameters!$D$12)*((1/(1+EXP(-Parameters!$I$12*($A30-Parameters!$J$12))))-(1/(1+EXP(-Parameters!$I$12*(2024-Parameters!$J$12)))))/(1-(1/(1+EXP(-Parameters!$I$12*(2024-Parameters!$J$12)))))</f>
        <v>13.48936102892598</v>
      </c>
      <c r="AI30" s="23">
        <f>MIN(Parameters!$D$12+IF(Parameters!$K$12=0,Parameters!$E$12*($A30-2024),Parameters!$E$12*((1+Parameters!$K$12)^($A30-2024)-1)/Parameters!$K$12),Parameters!$G$12)</f>
        <v>10.031750641952851</v>
      </c>
      <c r="AJ30" s="23">
        <f t="shared" si="16"/>
        <v>1.446246286973679</v>
      </c>
      <c r="AK30" s="23">
        <f t="shared" si="17"/>
        <v>1.152659149268441</v>
      </c>
      <c r="AL30" s="23">
        <f>Parameters!$D$13+(Parameters!$G$13-Parameters!$D$13)*((1/(1+EXP(-Parameters!$I$13*($A30-Parameters!$J$13))))-(1/(1+EXP(-Parameters!$I$13*(2024-Parameters!$J$13)))))/(1-(1/(1+EXP(-Parameters!$I$13*(2024-Parameters!$J$13)))))</f>
        <v>3.9686782308327895</v>
      </c>
      <c r="AM30" s="23">
        <f>MIN(Parameters!$D$13+IF(Parameters!$K$13=0,Parameters!$E$13*($A30-2024),Parameters!$E$13*((1+Parameters!$K$13)^($A30-2024)-1)/Parameters!$K$13),Parameters!$G$13)</f>
        <v>0.14072141883605011</v>
      </c>
      <c r="AN30" s="23">
        <f t="shared" si="18"/>
        <v>0.41383077455736395</v>
      </c>
      <c r="AO30" s="23">
        <f t="shared" si="19"/>
        <v>1.4265583530549991E-2</v>
      </c>
      <c r="AP30" s="23">
        <f>Parameters!$D$14+(Parameters!$G$14-Parameters!$D$14)*((1/(1+EXP(-Parameters!$I$14*($A30-Parameters!$J$14))))-(1/(1+EXP(-Parameters!$I$14*(2024-Parameters!$J$14)))))/(1-(1/(1+EXP(-Parameters!$I$14*(2024-Parameters!$J$14)))))</f>
        <v>3.5363036133789669</v>
      </c>
      <c r="AQ30" s="23">
        <f>MIN(Parameters!$D$14+IF(Parameters!$K$14=0,Parameters!$E$14*($A30-2024),Parameters!$E$14*((1+Parameters!$K$14)^($A30-2024)-1)/Parameters!$K$14),Parameters!$G$14)</f>
        <v>1.9176784448686517</v>
      </c>
      <c r="AR30" s="23">
        <f t="shared" si="20"/>
        <v>0.36177528035381457</v>
      </c>
      <c r="AS30" s="23">
        <f t="shared" si="21"/>
        <v>0.18545258589715008</v>
      </c>
      <c r="AT30" s="23">
        <f>Parameters!$D$15+(Parameters!$G$15-Parameters!$D$15)*((1/(1+EXP(-Parameters!$I$15*($A30-Parameters!$J$15))))-(1/(1+EXP(-Parameters!$I$15*(2024-Parameters!$J$15)))))/(1-(1/(1+EXP(-Parameters!$I$15*(2024-Parameters!$J$15)))))</f>
        <v>3.2198794292706463</v>
      </c>
      <c r="AU30" s="23">
        <f>MIN(Parameters!$D$15+IF(Parameters!$K$15=0,Parameters!$E$15*($A30-2024),Parameters!$E$15*((1+Parameters!$K$15)^($A30-2024)-1)/Parameters!$K$15),Parameters!$G$15)</f>
        <v>5.8380502356785993</v>
      </c>
      <c r="AV30" s="23">
        <f t="shared" si="22"/>
        <v>0.22193638326243148</v>
      </c>
      <c r="AW30" s="23">
        <f t="shared" si="23"/>
        <v>0.5759148322724883</v>
      </c>
    </row>
    <row r="31" spans="1:49" x14ac:dyDescent="0.3">
      <c r="A31" s="21">
        <v>2037</v>
      </c>
      <c r="B31" s="23">
        <f>Parameters!$D$4+(Parameters!$G$4-Parameters!$D$4)*((1/(1+EXP(-Parameters!$I$4*($A31-Parameters!$J$4))))-(1/(1+EXP(-Parameters!$I$4*(2024-Parameters!$J$4)))))/(1-(1/(1+EXP(-Parameters!$I$4*(2024-Parameters!$J$4)))))</f>
        <v>60.993783322642365</v>
      </c>
      <c r="C31" s="23">
        <f>MIN(Parameters!$D$4+IF(Parameters!$K$4=0,Parameters!$E$4*($A31-2024),Parameters!$E$4*((1+Parameters!$K$4)^($A31-2024)-1)/Parameters!$K$4),Parameters!$G$4)</f>
        <v>89.107408649323844</v>
      </c>
      <c r="D31" s="23">
        <f t="shared" si="0"/>
        <v>4.191591598139091</v>
      </c>
      <c r="E31" s="23">
        <f t="shared" si="1"/>
        <v>7.7268344518485321</v>
      </c>
      <c r="F31" s="23">
        <f>Parameters!$D$5+(Parameters!$G$5-Parameters!$D$5)*((1/(1+EXP(-Parameters!$I$5*($A31-Parameters!$J$5))))-(1/(1+EXP(-Parameters!$I$5*(2024-Parameters!$J$5)))))/(1-(1/(1+EXP(-Parameters!$I$5*(2024-Parameters!$J$5)))))</f>
        <v>82.420037521481362</v>
      </c>
      <c r="G31" s="23">
        <f>MIN(Parameters!$D$5+IF(Parameters!$K$5=0,Parameters!$E$5*($A31-2024),Parameters!$E$5*((1+Parameters!$K$5)^($A31-2024)-1)/Parameters!$K$5),Parameters!$G$5)</f>
        <v>101.4348927581417</v>
      </c>
      <c r="H31" s="23">
        <f t="shared" si="2"/>
        <v>4.0280447986386179</v>
      </c>
      <c r="I31" s="23">
        <f t="shared" si="3"/>
        <v>7.0397567980067777</v>
      </c>
      <c r="J31" s="23">
        <f>Parameters!$D$6+(Parameters!$G$6-Parameters!$D$6)*((1/(1+EXP(-Parameters!$I$6*($A31-Parameters!$J$6))))-(1/(1+EXP(-Parameters!$I$6*(2024-Parameters!$J$6)))))/(1-(1/(1+EXP(-Parameters!$I$6*(2024-Parameters!$J$6)))))</f>
        <v>24.052185497338005</v>
      </c>
      <c r="K31" s="23">
        <f>MIN(Parameters!$D$6+IF(Parameters!$K$6=0,Parameters!$E$6*($A31-2024),Parameters!$E$6*((1+Parameters!$K$6)^($A31-2024)-1)/Parameters!$K$6),Parameters!$G$6)</f>
        <v>12.24896524695237</v>
      </c>
      <c r="L31" s="23">
        <f t="shared" si="4"/>
        <v>1.7654450587580648</v>
      </c>
      <c r="M31" s="23">
        <f t="shared" si="5"/>
        <v>0.55399742570017629</v>
      </c>
      <c r="N31" s="23">
        <f>Parameters!$D$7+(Parameters!$G$7-Parameters!$D$7)*((1/(1+EXP(-Parameters!$I$7*($A31-Parameters!$J$7))))-(1/(1+EXP(-Parameters!$I$7*(2024-Parameters!$J$7)))))/(1-(1/(1+EXP(-Parameters!$I$7*(2024-Parameters!$J$7)))))</f>
        <v>24.759611512863735</v>
      </c>
      <c r="O31" s="23">
        <f>MIN(Parameters!$D$7+IF(Parameters!$K$7=0,Parameters!$E$7*($A31-2024),Parameters!$E$7*((1+Parameters!$K$7)^($A31-2024)-1)/Parameters!$K$7),Parameters!$G$7)</f>
        <v>7.3179999999999996</v>
      </c>
      <c r="P31" s="23">
        <f t="shared" si="6"/>
        <v>2.0173189309429134</v>
      </c>
      <c r="Q31" s="23">
        <f t="shared" si="7"/>
        <v>0</v>
      </c>
      <c r="R31" s="23">
        <f>Parameters!$D$8+(Parameters!$G$8-Parameters!$D$8)*((1/(1+EXP(-Parameters!$I$8*($A31-Parameters!$J$8))))-(1/(1+EXP(-Parameters!$I$8*(2024-Parameters!$J$8)))))/(1-(1/(1+EXP(-Parameters!$I$8*(2024-Parameters!$J$8)))))</f>
        <v>27.508003552360002</v>
      </c>
      <c r="S31" s="23">
        <f>MIN(Parameters!$D$8+IF(Parameters!$K$8=0,Parameters!$E$8*($A31-2024),Parameters!$E$8*((1+Parameters!$K$8)^($A31-2024)-1)/Parameters!$K$8),Parameters!$G$8)</f>
        <v>30.825029332986546</v>
      </c>
      <c r="T31" s="23">
        <f t="shared" si="8"/>
        <v>1.8796825631942653</v>
      </c>
      <c r="U31" s="23">
        <f t="shared" si="9"/>
        <v>2.4750016603577336</v>
      </c>
      <c r="V31" s="23">
        <f>Parameters!$D$9+(Parameters!$G$9-Parameters!$D$9)*((1/(1+EXP(-Parameters!$I$9*($A31-Parameters!$J$9))))-(1/(1+EXP(-Parameters!$I$9*(2024-Parameters!$J$9)))))/(1-(1/(1+EXP(-Parameters!$I$9*(2024-Parameters!$J$9)))))</f>
        <v>17.534195369462605</v>
      </c>
      <c r="W31" s="23">
        <f>MIN(Parameters!$D$9+IF(Parameters!$K$9=0,Parameters!$E$9*($A31-2024),Parameters!$E$9*((1+Parameters!$K$9)^($A31-2024)-1)/Parameters!$K$9),Parameters!$G$9)</f>
        <v>14.649004413943839</v>
      </c>
      <c r="X31" s="23">
        <f t="shared" si="10"/>
        <v>1.1678103136180162</v>
      </c>
      <c r="Y31" s="23">
        <f t="shared" si="11"/>
        <v>1.0584153441855015</v>
      </c>
      <c r="Z31" s="23">
        <f>Parameters!$D$10+(Parameters!$G$10-Parameters!$D$10)*((1/(1+EXP(-Parameters!$I$10*($A31-Parameters!$J$10))))-(1/(1+EXP(-Parameters!$I$10*(2024-Parameters!$J$10)))))/(1-(1/(1+EXP(-Parameters!$I$10*(2024-Parameters!$J$10)))))</f>
        <v>6.3761681141690394</v>
      </c>
      <c r="AA31" s="23">
        <f>MIN(Parameters!$D$10+IF(Parameters!$K$10=0,Parameters!$E$10*($A31-2024),Parameters!$E$10*((1+Parameters!$K$10)^($A31-2024)-1)/Parameters!$K$10),Parameters!$G$10)</f>
        <v>6.1916820720223704</v>
      </c>
      <c r="AB31" s="23">
        <f t="shared" si="12"/>
        <v>0.50478269186263169</v>
      </c>
      <c r="AC31" s="23">
        <f t="shared" si="13"/>
        <v>0.4977343411603421</v>
      </c>
      <c r="AD31" s="23">
        <f>Parameters!$D$11+(Parameters!$G$11-Parameters!$D$11)*((1/(1+EXP(-Parameters!$I$11*($A31-Parameters!$J$11))))-(1/(1+EXP(-Parameters!$I$11*(2024-Parameters!$J$11)))))/(1-(1/(1+EXP(-Parameters!$I$11*(2024-Parameters!$J$11)))))</f>
        <v>14.090697308568306</v>
      </c>
      <c r="AE31" s="23">
        <f>MIN(Parameters!$D$11+IF(Parameters!$K$11=0,Parameters!$E$11*($A31-2024),Parameters!$E$11*((1+Parameters!$K$11)^($A31-2024)-1)/Parameters!$K$11),Parameters!$G$11)</f>
        <v>10.796873220499499</v>
      </c>
      <c r="AF31" s="23">
        <f t="shared" si="14"/>
        <v>0.9464413059518062</v>
      </c>
      <c r="AG31" s="23">
        <f t="shared" si="15"/>
        <v>0.6901833898395946</v>
      </c>
      <c r="AH31" s="23">
        <f>Parameters!$D$12+(Parameters!$G$12-Parameters!$D$12)*((1/(1+EXP(-Parameters!$I$12*($A31-Parameters!$J$12))))-(1/(1+EXP(-Parameters!$I$12*(2024-Parameters!$J$12)))))/(1-(1/(1+EXP(-Parameters!$I$12*(2024-Parameters!$J$12)))))</f>
        <v>14.935607315899661</v>
      </c>
      <c r="AI31" s="23">
        <f>MIN(Parameters!$D$12+IF(Parameters!$K$12=0,Parameters!$E$12*($A31-2024),Parameters!$E$12*((1+Parameters!$K$12)^($A31-2024)-1)/Parameters!$K$12),Parameters!$G$12)</f>
        <v>11.299675706148136</v>
      </c>
      <c r="AJ31" s="23">
        <f t="shared" si="16"/>
        <v>1.4462462869736807</v>
      </c>
      <c r="AK31" s="23">
        <f t="shared" si="17"/>
        <v>1.2679250641952855</v>
      </c>
      <c r="AL31" s="23">
        <f>Parameters!$D$13+(Parameters!$G$13-Parameters!$D$13)*((1/(1+EXP(-Parameters!$I$13*($A31-Parameters!$J$13))))-(1/(1+EXP(-Parameters!$I$13*(2024-Parameters!$J$13)))))/(1-(1/(1+EXP(-Parameters!$I$13*(2024-Parameters!$J$13)))))</f>
        <v>4.3633306619085426</v>
      </c>
      <c r="AM31" s="23">
        <f>MIN(Parameters!$D$13+IF(Parameters!$K$13=0,Parameters!$E$13*($A31-2024),Parameters!$E$13*((1+Parameters!$K$13)^($A31-2024)-1)/Parameters!$K$13),Parameters!$G$13)</f>
        <v>0.15641356071965512</v>
      </c>
      <c r="AN31" s="23">
        <f t="shared" si="18"/>
        <v>0.3946524310757531</v>
      </c>
      <c r="AO31" s="23">
        <f t="shared" si="19"/>
        <v>1.5692141883605015E-2</v>
      </c>
      <c r="AP31" s="23">
        <f>Parameters!$D$14+(Parameters!$G$14-Parameters!$D$14)*((1/(1+EXP(-Parameters!$I$14*($A31-Parameters!$J$14))))-(1/(1+EXP(-Parameters!$I$14*(2024-Parameters!$J$14)))))/(1-(1/(1+EXP(-Parameters!$I$14*(2024-Parameters!$J$14)))))</f>
        <v>3.9039554944251433</v>
      </c>
      <c r="AQ31" s="23">
        <f>MIN(Parameters!$D$14+IF(Parameters!$K$14=0,Parameters!$E$14*($A31-2024),Parameters!$E$14*((1+Parameters!$K$14)^($A31-2024)-1)/Parameters!$K$14),Parameters!$G$14)</f>
        <v>2.1216762893555168</v>
      </c>
      <c r="AR31" s="23">
        <f t="shared" si="20"/>
        <v>0.36765188104617641</v>
      </c>
      <c r="AS31" s="23">
        <f t="shared" si="21"/>
        <v>0.20399784448686509</v>
      </c>
      <c r="AT31" s="23">
        <f>Parameters!$D$15+(Parameters!$G$15-Parameters!$D$15)*((1/(1+EXP(-Parameters!$I$15*($A31-Parameters!$J$15))))-(1/(1+EXP(-Parameters!$I$15*(2024-Parameters!$J$15)))))/(1-(1/(1+EXP(-Parameters!$I$15*(2024-Parameters!$J$15)))))</f>
        <v>3.4418158125330778</v>
      </c>
      <c r="AU31" s="23">
        <f>MIN(Parameters!$D$15+IF(Parameters!$K$15=0,Parameters!$E$15*($A31-2024),Parameters!$E$15*((1+Parameters!$K$15)^($A31-2024)-1)/Parameters!$K$15),Parameters!$G$15)</f>
        <v>6</v>
      </c>
      <c r="AV31" s="23">
        <f t="shared" si="22"/>
        <v>0.22193638326243148</v>
      </c>
      <c r="AW31" s="23">
        <f t="shared" si="23"/>
        <v>0.16194976432140074</v>
      </c>
    </row>
    <row r="32" spans="1:49" x14ac:dyDescent="0.3">
      <c r="A32" s="21">
        <v>2038</v>
      </c>
      <c r="B32" s="23">
        <f>Parameters!$D$4+(Parameters!$G$4-Parameters!$D$4)*((1/(1+EXP(-Parameters!$I$4*($A32-Parameters!$J$4))))-(1/(1+EXP(-Parameters!$I$4*(2024-Parameters!$J$4)))))/(1-(1/(1+EXP(-Parameters!$I$4*(2024-Parameters!$J$4)))))</f>
        <v>65.053485058069683</v>
      </c>
      <c r="C32" s="23">
        <f>MIN(Parameters!$D$4+IF(Parameters!$K$4=0,Parameters!$E$4*($A32-2024),Parameters!$E$4*((1+Parameters!$K$4)^($A32-2024)-1)/Parameters!$K$4),Parameters!$G$4)</f>
        <v>97.297853168283268</v>
      </c>
      <c r="D32" s="23">
        <f t="shared" si="0"/>
        <v>4.0597017354273177</v>
      </c>
      <c r="E32" s="23">
        <f t="shared" si="1"/>
        <v>8.1904445189594242</v>
      </c>
      <c r="F32" s="23">
        <f>Parameters!$D$5+(Parameters!$G$5-Parameters!$D$5)*((1/(1+EXP(-Parameters!$I$5*($A32-Parameters!$J$5))))-(1/(1+EXP(-Parameters!$I$5*(2024-Parameters!$J$5)))))/(1-(1/(1+EXP(-Parameters!$I$5*(2024-Parameters!$J$5)))))</f>
        <v>86.25383302300861</v>
      </c>
      <c r="G32" s="23">
        <f>MIN(Parameters!$D$5+IF(Parameters!$K$5=0,Parameters!$E$5*($A32-2024),Parameters!$E$5*((1+Parameters!$K$5)^($A32-2024)-1)/Parameters!$K$5),Parameters!$G$5)</f>
        <v>108.82663739604874</v>
      </c>
      <c r="H32" s="23">
        <f t="shared" si="2"/>
        <v>3.8337955015272485</v>
      </c>
      <c r="I32" s="23">
        <f t="shared" si="3"/>
        <v>7.3917446379070384</v>
      </c>
      <c r="J32" s="23">
        <f>Parameters!$D$6+(Parameters!$G$6-Parameters!$D$6)*((1/(1+EXP(-Parameters!$I$6*($A32-Parameters!$J$6))))-(1/(1+EXP(-Parameters!$I$6*(2024-Parameters!$J$6)))))/(1-(1/(1+EXP(-Parameters!$I$6*(2024-Parameters!$J$6)))))</f>
        <v>25.78290071674207</v>
      </c>
      <c r="K32" s="23">
        <f>MIN(Parameters!$D$6+IF(Parameters!$K$6=0,Parameters!$E$6*($A32-2024),Parameters!$E$6*((1+Parameters!$K$6)^($A32-2024)-1)/Parameters!$K$6),Parameters!$G$6)</f>
        <v>12.84728246670856</v>
      </c>
      <c r="L32" s="23">
        <f t="shared" si="4"/>
        <v>1.7307152194040647</v>
      </c>
      <c r="M32" s="23">
        <f t="shared" si="5"/>
        <v>0.5983172197561899</v>
      </c>
      <c r="N32" s="23">
        <f>Parameters!$D$7+(Parameters!$G$7-Parameters!$D$7)*((1/(1+EXP(-Parameters!$I$7*($A32-Parameters!$J$7))))-(1/(1+EXP(-Parameters!$I$7*(2024-Parameters!$J$7)))))/(1-(1/(1+EXP(-Parameters!$I$7*(2024-Parameters!$J$7)))))</f>
        <v>26.776930443806656</v>
      </c>
      <c r="O32" s="23">
        <f>MIN(Parameters!$D$7+IF(Parameters!$K$7=0,Parameters!$E$7*($A32-2024),Parameters!$E$7*((1+Parameters!$K$7)^($A32-2024)-1)/Parameters!$K$7),Parameters!$G$7)</f>
        <v>7.3179999999999996</v>
      </c>
      <c r="P32" s="23">
        <f t="shared" si="6"/>
        <v>2.0173189309429205</v>
      </c>
      <c r="Q32" s="23">
        <f t="shared" si="7"/>
        <v>0</v>
      </c>
      <c r="R32" s="23">
        <f>Parameters!$D$8+(Parameters!$G$8-Parameters!$D$8)*((1/(1+EXP(-Parameters!$I$8*($A32-Parameters!$J$8))))-(1/(1+EXP(-Parameters!$I$8*(2024-Parameters!$J$8)))))/(1-(1/(1+EXP(-Parameters!$I$8*(2024-Parameters!$J$8)))))</f>
        <v>29.328541261052827</v>
      </c>
      <c r="S32" s="23">
        <f>MIN(Parameters!$D$8+IF(Parameters!$K$8=0,Parameters!$E$8*($A32-2024),Parameters!$E$8*((1+Parameters!$K$8)^($A32-2024)-1)/Parameters!$K$8),Parameters!$G$8)</f>
        <v>33.448531092965737</v>
      </c>
      <c r="T32" s="23">
        <f t="shared" si="8"/>
        <v>1.8205377086928252</v>
      </c>
      <c r="U32" s="23">
        <f t="shared" si="9"/>
        <v>2.6235017599791917</v>
      </c>
      <c r="V32" s="23">
        <f>Parameters!$D$9+(Parameters!$G$9-Parameters!$D$9)*((1/(1+EXP(-Parameters!$I$9*($A32-Parameters!$J$9))))-(1/(1+EXP(-Parameters!$I$9*(2024-Parameters!$J$9)))))/(1-(1/(1+EXP(-Parameters!$I$9*(2024-Parameters!$J$9)))))</f>
        <v>18.672795289308731</v>
      </c>
      <c r="W32" s="23">
        <f>MIN(Parameters!$D$9+IF(Parameters!$K$9=0,Parameters!$E$9*($A32-2024),Parameters!$E$9*((1+Parameters!$K$9)^($A32-2024)-1)/Parameters!$K$9),Parameters!$G$9)</f>
        <v>15.770924678780467</v>
      </c>
      <c r="X32" s="23">
        <f t="shared" si="10"/>
        <v>1.1385999198461256</v>
      </c>
      <c r="Y32" s="23">
        <f t="shared" si="11"/>
        <v>1.1219202648366284</v>
      </c>
      <c r="Z32" s="23">
        <f>Parameters!$D$10+(Parameters!$G$10-Parameters!$D$10)*((1/(1+EXP(-Parameters!$I$10*($A32-Parameters!$J$10))))-(1/(1+EXP(-Parameters!$I$10*(2024-Parameters!$J$10)))))/(1-(1/(1+EXP(-Parameters!$I$10*(2024-Parameters!$J$10)))))</f>
        <v>6.8809508060316711</v>
      </c>
      <c r="AA32" s="23">
        <f>MIN(Parameters!$D$10+IF(Parameters!$K$10=0,Parameters!$E$10*($A32-2024),Parameters!$E$10*((1+Parameters!$K$10)^($A32-2024)-1)/Parameters!$K$10),Parameters!$G$10)</f>
        <v>6.7242578170639353</v>
      </c>
      <c r="AB32" s="23">
        <f t="shared" si="12"/>
        <v>0.50478269186263169</v>
      </c>
      <c r="AC32" s="23">
        <f t="shared" si="13"/>
        <v>0.53257574504156491</v>
      </c>
      <c r="AD32" s="23">
        <f>Parameters!$D$11+(Parameters!$G$11-Parameters!$D$11)*((1/(1+EXP(-Parameters!$I$11*($A32-Parameters!$J$11))))-(1/(1+EXP(-Parameters!$I$11*(2024-Parameters!$J$11)))))/(1-(1/(1+EXP(-Parameters!$I$11*(2024-Parameters!$J$11)))))</f>
        <v>15.025152055135443</v>
      </c>
      <c r="AE32" s="23">
        <f>MIN(Parameters!$D$11+IF(Parameters!$K$11=0,Parameters!$E$11*($A32-2024),Parameters!$E$11*((1+Parameters!$K$11)^($A32-2024)-1)/Parameters!$K$11),Parameters!$G$11)</f>
        <v>11.528467613729472</v>
      </c>
      <c r="AF32" s="23">
        <f t="shared" si="14"/>
        <v>0.93445474656713756</v>
      </c>
      <c r="AG32" s="23">
        <f t="shared" si="15"/>
        <v>0.73159439322997244</v>
      </c>
      <c r="AH32" s="23">
        <f>Parameters!$D$12+(Parameters!$G$12-Parameters!$D$12)*((1/(1+EXP(-Parameters!$I$12*($A32-Parameters!$J$12))))-(1/(1+EXP(-Parameters!$I$12*(2024-Parameters!$J$12)))))/(1-(1/(1+EXP(-Parameters!$I$12*(2024-Parameters!$J$12)))))</f>
        <v>16.353403042509687</v>
      </c>
      <c r="AI32" s="23">
        <f>MIN(Parameters!$D$12+IF(Parameters!$K$12=0,Parameters!$E$12*($A32-2024),Parameters!$E$12*((1+Parameters!$K$12)^($A32-2024)-1)/Parameters!$K$12),Parameters!$G$12)</f>
        <v>12.694393276762952</v>
      </c>
      <c r="AJ32" s="23">
        <f t="shared" si="16"/>
        <v>1.4177957266100254</v>
      </c>
      <c r="AK32" s="23">
        <f t="shared" si="17"/>
        <v>1.3947175706148158</v>
      </c>
      <c r="AL32" s="23">
        <f>Parameters!$D$13+(Parameters!$G$13-Parameters!$D$13)*((1/(1+EXP(-Parameters!$I$13*($A32-Parameters!$J$13))))-(1/(1+EXP(-Parameters!$I$13*(2024-Parameters!$J$13)))))/(1-(1/(1+EXP(-Parameters!$I$13*(2024-Parameters!$J$13)))))</f>
        <v>4.7313677833372232</v>
      </c>
      <c r="AM32" s="23">
        <f>MIN(Parameters!$D$13+IF(Parameters!$K$13=0,Parameters!$E$13*($A32-2024),Parameters!$E$13*((1+Parameters!$K$13)^($A32-2024)-1)/Parameters!$K$13),Parameters!$G$13)</f>
        <v>0.1736749167916207</v>
      </c>
      <c r="AN32" s="23">
        <f t="shared" si="18"/>
        <v>0.36803712142868061</v>
      </c>
      <c r="AO32" s="23">
        <f t="shared" si="19"/>
        <v>1.7261356071965578E-2</v>
      </c>
      <c r="AP32" s="23">
        <f>Parameters!$D$14+(Parameters!$G$14-Parameters!$D$14)*((1/(1+EXP(-Parameters!$I$14*($A32-Parameters!$J$14))))-(1/(1+EXP(-Parameters!$I$14*(2024-Parameters!$J$14)))))/(1-(1/(1+EXP(-Parameters!$I$14*(2024-Parameters!$J$14)))))</f>
        <v>4.2716073754713202</v>
      </c>
      <c r="AQ32" s="23">
        <f>MIN(Parameters!$D$14+IF(Parameters!$K$14=0,Parameters!$E$14*($A32-2024),Parameters!$E$14*((1+Parameters!$K$14)^($A32-2024)-1)/Parameters!$K$14),Parameters!$G$14)</f>
        <v>2.346073918291069</v>
      </c>
      <c r="AR32" s="23">
        <f t="shared" si="20"/>
        <v>0.36765188104617685</v>
      </c>
      <c r="AS32" s="23">
        <f t="shared" si="21"/>
        <v>0.22439762893555226</v>
      </c>
      <c r="AT32" s="23">
        <f>Parameters!$D$15+(Parameters!$G$15-Parameters!$D$15)*((1/(1+EXP(-Parameters!$I$15*($A32-Parameters!$J$15))))-(1/(1+EXP(-Parameters!$I$15*(2024-Parameters!$J$15)))))/(1-(1/(1+EXP(-Parameters!$I$15*(2024-Parameters!$J$15)))))</f>
        <v>3.6609413995835678</v>
      </c>
      <c r="AU32" s="23">
        <f>MIN(Parameters!$D$15+IF(Parameters!$K$15=0,Parameters!$E$15*($A32-2024),Parameters!$E$15*((1+Parameters!$K$15)^($A32-2024)-1)/Parameters!$K$15),Parameters!$G$15)</f>
        <v>6</v>
      </c>
      <c r="AV32" s="23">
        <f t="shared" si="22"/>
        <v>0.21912558705049001</v>
      </c>
      <c r="AW32" s="23">
        <f t="shared" si="23"/>
        <v>0</v>
      </c>
    </row>
    <row r="33" spans="1:49" x14ac:dyDescent="0.3">
      <c r="A33" s="21">
        <v>2039</v>
      </c>
      <c r="B33" s="23">
        <f>Parameters!$D$4+(Parameters!$G$4-Parameters!$D$4)*((1/(1+EXP(-Parameters!$I$4*($A33-Parameters!$J$4))))-(1/(1+EXP(-Parameters!$I$4*(2024-Parameters!$J$4)))))/(1-(1/(1+EXP(-Parameters!$I$4*(2024-Parameters!$J$4)))))</f>
        <v>68.925503408954896</v>
      </c>
      <c r="C33" s="23">
        <f>MIN(Parameters!$D$4+IF(Parameters!$K$4=0,Parameters!$E$4*($A33-2024),Parameters!$E$4*((1+Parameters!$K$4)^($A33-2024)-1)/Parameters!$K$4),Parameters!$G$4)</f>
        <v>100</v>
      </c>
      <c r="D33" s="23">
        <f t="shared" si="0"/>
        <v>3.8720183508852131</v>
      </c>
      <c r="E33" s="23">
        <f t="shared" si="1"/>
        <v>2.7021468317167319</v>
      </c>
      <c r="F33" s="23">
        <f>Parameters!$D$5+(Parameters!$G$5-Parameters!$D$5)*((1/(1+EXP(-Parameters!$I$5*($A33-Parameters!$J$5))))-(1/(1+EXP(-Parameters!$I$5*(2024-Parameters!$J$5)))))/(1-(1/(1+EXP(-Parameters!$I$5*(2024-Parameters!$J$5)))))</f>
        <v>89.86190739864125</v>
      </c>
      <c r="G33" s="23">
        <f>MIN(Parameters!$D$5+IF(Parameters!$K$5=0,Parameters!$E$5*($A33-2024),Parameters!$E$5*((1+Parameters!$K$5)^($A33-2024)-1)/Parameters!$K$5),Parameters!$G$5)</f>
        <v>116.58796926585124</v>
      </c>
      <c r="H33" s="23">
        <f t="shared" si="2"/>
        <v>3.6080743756326399</v>
      </c>
      <c r="I33" s="23">
        <f t="shared" si="3"/>
        <v>7.761331869802504</v>
      </c>
      <c r="J33" s="23">
        <f>Parameters!$D$6+(Parameters!$G$6-Parameters!$D$6)*((1/(1+EXP(-Parameters!$I$6*($A33-Parameters!$J$6))))-(1/(1+EXP(-Parameters!$I$6*(2024-Parameters!$J$6)))))/(1-(1/(1+EXP(-Parameters!$I$6*(2024-Parameters!$J$6)))))</f>
        <v>27.446836356450341</v>
      </c>
      <c r="K33" s="23">
        <f>MIN(Parameters!$D$6+IF(Parameters!$K$6=0,Parameters!$E$6*($A33-2024),Parameters!$E$6*((1+Parameters!$K$6)^($A33-2024)-1)/Parameters!$K$6),Parameters!$G$6)</f>
        <v>13.493465064045246</v>
      </c>
      <c r="L33" s="23">
        <f t="shared" si="4"/>
        <v>1.6639356397082707</v>
      </c>
      <c r="M33" s="23">
        <f t="shared" si="5"/>
        <v>0.64618259733668637</v>
      </c>
      <c r="N33" s="23">
        <f>Parameters!$D$7+(Parameters!$G$7-Parameters!$D$7)*((1/(1+EXP(-Parameters!$I$7*($A33-Parameters!$J$7))))-(1/(1+EXP(-Parameters!$I$7*(2024-Parameters!$J$7)))))/(1-(1/(1+EXP(-Parameters!$I$7*(2024-Parameters!$J$7)))))</f>
        <v>28.754564671988717</v>
      </c>
      <c r="O33" s="23">
        <f>MIN(Parameters!$D$7+IF(Parameters!$K$7=0,Parameters!$E$7*($A33-2024),Parameters!$E$7*((1+Parameters!$K$7)^($A33-2024)-1)/Parameters!$K$7),Parameters!$G$7)</f>
        <v>7.3179999999999996</v>
      </c>
      <c r="P33" s="23">
        <f t="shared" si="6"/>
        <v>1.9776342281820618</v>
      </c>
      <c r="Q33" s="23">
        <f t="shared" si="7"/>
        <v>0</v>
      </c>
      <c r="R33" s="23">
        <f>Parameters!$D$8+(Parameters!$G$8-Parameters!$D$8)*((1/(1+EXP(-Parameters!$I$8*($A33-Parameters!$J$8))))-(1/(1+EXP(-Parameters!$I$8*(2024-Parameters!$J$8)))))/(1-(1/(1+EXP(-Parameters!$I$8*(2024-Parameters!$J$8)))))</f>
        <v>31.064913998739961</v>
      </c>
      <c r="S33" s="23">
        <f>MIN(Parameters!$D$8+IF(Parameters!$K$8=0,Parameters!$E$8*($A33-2024),Parameters!$E$8*((1+Parameters!$K$8)^($A33-2024)-1)/Parameters!$K$8),Parameters!$G$8)</f>
        <v>36.229442958543693</v>
      </c>
      <c r="T33" s="23">
        <f t="shared" si="8"/>
        <v>1.7363727376871338</v>
      </c>
      <c r="U33" s="23">
        <f t="shared" si="9"/>
        <v>2.7809118655779557</v>
      </c>
      <c r="V33" s="23">
        <f>Parameters!$D$9+(Parameters!$G$9-Parameters!$D$9)*((1/(1+EXP(-Parameters!$I$9*($A33-Parameters!$J$9))))-(1/(1+EXP(-Parameters!$I$9*(2024-Parameters!$J$9)))))/(1-(1/(1+EXP(-Parameters!$I$9*(2024-Parameters!$J$9)))))</f>
        <v>19.769374794164371</v>
      </c>
      <c r="W33" s="23">
        <f>MIN(Parameters!$D$9+IF(Parameters!$K$9=0,Parameters!$E$9*($A33-2024),Parameters!$E$9*((1+Parameters!$K$9)^($A33-2024)-1)/Parameters!$K$9),Parameters!$G$9)</f>
        <v>16.960160159507303</v>
      </c>
      <c r="X33" s="23">
        <f t="shared" si="10"/>
        <v>1.0965795048556402</v>
      </c>
      <c r="Y33" s="23">
        <f t="shared" si="11"/>
        <v>1.1892354807268362</v>
      </c>
      <c r="Z33" s="23">
        <f>Parameters!$D$10+(Parameters!$G$10-Parameters!$D$10)*((1/(1+EXP(-Parameters!$I$10*($A33-Parameters!$J$10))))-(1/(1+EXP(-Parameters!$I$10*(2024-Parameters!$J$10)))))/(1-(1/(1+EXP(-Parameters!$I$10*(2024-Parameters!$J$10)))))</f>
        <v>7.3776649785437396</v>
      </c>
      <c r="AA33" s="23">
        <f>MIN(Parameters!$D$10+IF(Parameters!$K$10=0,Parameters!$E$10*($A33-2024),Parameters!$E$10*((1+Parameters!$K$10)^($A33-2024)-1)/Parameters!$K$10),Parameters!$G$10)</f>
        <v>7.2941138642584127</v>
      </c>
      <c r="AB33" s="23">
        <f t="shared" si="12"/>
        <v>0.49671417251206851</v>
      </c>
      <c r="AC33" s="23">
        <f t="shared" si="13"/>
        <v>0.56985604719447736</v>
      </c>
      <c r="AD33" s="23">
        <f>Parameters!$D$11+(Parameters!$G$11-Parameters!$D$11)*((1/(1+EXP(-Parameters!$I$11*($A33-Parameters!$J$11))))-(1/(1+EXP(-Parameters!$I$11*(2024-Parameters!$J$11)))))/(1-(1/(1+EXP(-Parameters!$I$11*(2024-Parameters!$J$11)))))</f>
        <v>15.936233321616875</v>
      </c>
      <c r="AE33" s="23">
        <f>MIN(Parameters!$D$11+IF(Parameters!$K$11=0,Parameters!$E$11*($A33-2024),Parameters!$E$11*((1+Parameters!$K$11)^($A33-2024)-1)/Parameters!$K$11),Parameters!$G$11)</f>
        <v>12.303957670553242</v>
      </c>
      <c r="AF33" s="23">
        <f t="shared" si="14"/>
        <v>0.91108126648143184</v>
      </c>
      <c r="AG33" s="23">
        <f t="shared" si="15"/>
        <v>0.77549005682377015</v>
      </c>
      <c r="AH33" s="23">
        <f>Parameters!$D$12+(Parameters!$G$12-Parameters!$D$12)*((1/(1+EXP(-Parameters!$I$12*($A33-Parameters!$J$12))))-(1/(1+EXP(-Parameters!$I$12*(2024-Parameters!$J$12)))))/(1-(1/(1+EXP(-Parameters!$I$12*(2024-Parameters!$J$12)))))</f>
        <v>17.716493175931419</v>
      </c>
      <c r="AI33" s="23">
        <f>MIN(Parameters!$D$12+IF(Parameters!$K$12=0,Parameters!$E$12*($A33-2024),Parameters!$E$12*((1+Parameters!$K$12)^($A33-2024)-1)/Parameters!$K$12),Parameters!$G$12)</f>
        <v>14.228582604439248</v>
      </c>
      <c r="AJ33" s="23">
        <f t="shared" si="16"/>
        <v>1.363090133421732</v>
      </c>
      <c r="AK33" s="23">
        <f t="shared" si="17"/>
        <v>1.5341893276762963</v>
      </c>
      <c r="AL33" s="23">
        <f>Parameters!$D$13+(Parameters!$G$13-Parameters!$D$13)*((1/(1+EXP(-Parameters!$I$13*($A33-Parameters!$J$13))))-(1/(1+EXP(-Parameters!$I$13*(2024-Parameters!$J$13)))))/(1-(1/(1+EXP(-Parameters!$I$13*(2024-Parameters!$J$13)))))</f>
        <v>5.0674934766672886</v>
      </c>
      <c r="AM33" s="23">
        <f>MIN(Parameters!$D$13+IF(Parameters!$K$13=0,Parameters!$E$13*($A33-2024),Parameters!$E$13*((1+Parameters!$K$13)^($A33-2024)-1)/Parameters!$K$13),Parameters!$G$13)</f>
        <v>0.19266240847078278</v>
      </c>
      <c r="AN33" s="23">
        <f t="shared" si="18"/>
        <v>0.33612569333006537</v>
      </c>
      <c r="AO33" s="23">
        <f t="shared" si="19"/>
        <v>1.8987491679162083E-2</v>
      </c>
      <c r="AP33" s="23">
        <f>Parameters!$D$14+(Parameters!$G$14-Parameters!$D$14)*((1/(1+EXP(-Parameters!$I$14*($A33-Parameters!$J$14))))-(1/(1+EXP(-Parameters!$I$14*(2024-Parameters!$J$14)))))/(1-(1/(1+EXP(-Parameters!$I$14*(2024-Parameters!$J$14)))))</f>
        <v>4.6333826558251348</v>
      </c>
      <c r="AQ33" s="23">
        <f>MIN(Parameters!$D$14+IF(Parameters!$K$14=0,Parameters!$E$14*($A33-2024),Parameters!$E$14*((1+Parameters!$K$14)^($A33-2024)-1)/Parameters!$K$14),Parameters!$G$14)</f>
        <v>2.5929113101201757</v>
      </c>
      <c r="AR33" s="23">
        <f t="shared" si="20"/>
        <v>0.36177528035381457</v>
      </c>
      <c r="AS33" s="23">
        <f t="shared" si="21"/>
        <v>0.24683739182910669</v>
      </c>
      <c r="AT33" s="23">
        <f>Parameters!$D$15+(Parameters!$G$15-Parameters!$D$15)*((1/(1+EXP(-Parameters!$I$15*($A33-Parameters!$J$15))))-(1/(1+EXP(-Parameters!$I$15*(2024-Parameters!$J$15)))))/(1-(1/(1+EXP(-Parameters!$I$15*(2024-Parameters!$J$15)))))</f>
        <v>3.8745860068819522</v>
      </c>
      <c r="AU33" s="23">
        <f>MIN(Parameters!$D$15+IF(Parameters!$K$15=0,Parameters!$E$15*($A33-2024),Parameters!$E$15*((1+Parameters!$K$15)^($A33-2024)-1)/Parameters!$K$15),Parameters!$G$15)</f>
        <v>6</v>
      </c>
      <c r="AV33" s="23">
        <f t="shared" si="22"/>
        <v>0.21364460729838441</v>
      </c>
      <c r="AW33" s="23">
        <f t="shared" si="23"/>
        <v>0</v>
      </c>
    </row>
    <row r="34" spans="1:49" x14ac:dyDescent="0.3">
      <c r="A34" s="21">
        <v>2040</v>
      </c>
      <c r="B34" s="23">
        <f>Parameters!$D$4+(Parameters!$G$4-Parameters!$D$4)*((1/(1+EXP(-Parameters!$I$4*($A34-Parameters!$J$4))))-(1/(1+EXP(-Parameters!$I$4*(2024-Parameters!$J$4)))))/(1-(1/(1+EXP(-Parameters!$I$4*(2024-Parameters!$J$4)))))</f>
        <v>72.564779443735873</v>
      </c>
      <c r="C34" s="23">
        <f>MIN(Parameters!$D$4+IF(Parameters!$K$4=0,Parameters!$E$4*($A34-2024),Parameters!$E$4*((1+Parameters!$K$4)^($A34-2024)-1)/Parameters!$K$4),Parameters!$G$4)</f>
        <v>100</v>
      </c>
      <c r="D34" s="23">
        <f t="shared" si="0"/>
        <v>3.6392760347809769</v>
      </c>
      <c r="E34" s="23">
        <f t="shared" si="1"/>
        <v>0</v>
      </c>
      <c r="F34" s="23">
        <f>Parameters!$D$5+(Parameters!$G$5-Parameters!$D$5)*((1/(1+EXP(-Parameters!$I$5*($A34-Parameters!$J$5))))-(1/(1+EXP(-Parameters!$I$5*(2024-Parameters!$J$5)))))/(1-(1/(1+EXP(-Parameters!$I$5*(2024-Parameters!$J$5)))))</f>
        <v>93.221759669548319</v>
      </c>
      <c r="G34" s="23">
        <f>MIN(Parameters!$D$5+IF(Parameters!$K$5=0,Parameters!$E$5*($A34-2024),Parameters!$E$5*((1+Parameters!$K$5)^($A34-2024)-1)/Parameters!$K$5),Parameters!$G$5)</f>
        <v>120</v>
      </c>
      <c r="H34" s="23">
        <f t="shared" si="2"/>
        <v>3.3598522709070693</v>
      </c>
      <c r="I34" s="23">
        <f t="shared" si="3"/>
        <v>3.4120307341487575</v>
      </c>
      <c r="J34" s="23">
        <f>Parameters!$D$6+(Parameters!$G$6-Parameters!$D$6)*((1/(1+EXP(-Parameters!$I$6*($A34-Parameters!$J$6))))-(1/(1+EXP(-Parameters!$I$6*(2024-Parameters!$J$6)))))/(1-(1/(1+EXP(-Parameters!$I$6*(2024-Parameters!$J$6)))))</f>
        <v>29.016875027098937</v>
      </c>
      <c r="K34" s="23">
        <f>MIN(Parameters!$D$6+IF(Parameters!$K$6=0,Parameters!$E$6*($A34-2024),Parameters!$E$6*((1+Parameters!$K$6)^($A34-2024)-1)/Parameters!$K$6),Parameters!$G$6)</f>
        <v>14.191342269168866</v>
      </c>
      <c r="L34" s="23">
        <f t="shared" si="4"/>
        <v>1.5700386706485965</v>
      </c>
      <c r="M34" s="23">
        <f t="shared" si="5"/>
        <v>0.6978772051236195</v>
      </c>
      <c r="N34" s="23">
        <f>Parameters!$D$7+(Parameters!$G$7-Parameters!$D$7)*((1/(1+EXP(-Parameters!$I$7*($A34-Parameters!$J$7))))-(1/(1+EXP(-Parameters!$I$7*(2024-Parameters!$J$7)))))/(1-(1/(1+EXP(-Parameters!$I$7*(2024-Parameters!$J$7)))))</f>
        <v>30.6558919600865</v>
      </c>
      <c r="O34" s="23">
        <f>MIN(Parameters!$D$7+IF(Parameters!$K$7=0,Parameters!$E$7*($A34-2024),Parameters!$E$7*((1+Parameters!$K$7)^($A34-2024)-1)/Parameters!$K$7),Parameters!$G$7)</f>
        <v>7.3179999999999996</v>
      </c>
      <c r="P34" s="23">
        <f t="shared" si="6"/>
        <v>1.9013272880977823</v>
      </c>
      <c r="Q34" s="23">
        <f t="shared" si="7"/>
        <v>0</v>
      </c>
      <c r="R34" s="23">
        <f>Parameters!$D$8+(Parameters!$G$8-Parameters!$D$8)*((1/(1+EXP(-Parameters!$I$8*($A34-Parameters!$J$8))))-(1/(1+EXP(-Parameters!$I$8*(2024-Parameters!$J$8)))))/(1-(1/(1+EXP(-Parameters!$I$8*(2024-Parameters!$J$8)))))</f>
        <v>32.696915481963082</v>
      </c>
      <c r="S34" s="23">
        <f>MIN(Parameters!$D$8+IF(Parameters!$K$8=0,Parameters!$E$8*($A34-2024),Parameters!$E$8*((1+Parameters!$K$8)^($A34-2024)-1)/Parameters!$K$8),Parameters!$G$8)</f>
        <v>39.177209536056303</v>
      </c>
      <c r="T34" s="23">
        <f t="shared" si="8"/>
        <v>1.6320014832231209</v>
      </c>
      <c r="U34" s="23">
        <f t="shared" si="9"/>
        <v>2.9477665775126098</v>
      </c>
      <c r="V34" s="23">
        <f>Parameters!$D$9+(Parameters!$G$9-Parameters!$D$9)*((1/(1+EXP(-Parameters!$I$9*($A34-Parameters!$J$9))))-(1/(1+EXP(-Parameters!$I$9*(2024-Parameters!$J$9)))))/(1-(1/(1+EXP(-Parameters!$I$9*(2024-Parameters!$J$9)))))</f>
        <v>20.813072613563836</v>
      </c>
      <c r="W34" s="23">
        <f>MIN(Parameters!$D$9+IF(Parameters!$K$9=0,Parameters!$E$9*($A34-2024),Parameters!$E$9*((1+Parameters!$K$9)^($A34-2024)-1)/Parameters!$K$9),Parameters!$G$9)</f>
        <v>18.220749769077738</v>
      </c>
      <c r="X34" s="23">
        <f t="shared" si="10"/>
        <v>1.0436978193994655</v>
      </c>
      <c r="Y34" s="23">
        <f t="shared" si="11"/>
        <v>1.2605896095704345</v>
      </c>
      <c r="Z34" s="23">
        <f>Parameters!$D$10+(Parameters!$G$10-Parameters!$D$10)*((1/(1+EXP(-Parameters!$I$10*($A34-Parameters!$J$10))))-(1/(1+EXP(-Parameters!$I$10*(2024-Parameters!$J$10)))))/(1-(1/(1+EXP(-Parameters!$I$10*(2024-Parameters!$J$10)))))</f>
        <v>7.8587498697945568</v>
      </c>
      <c r="AA34" s="23">
        <f>MIN(Parameters!$D$10+IF(Parameters!$K$10=0,Parameters!$E$10*($A34-2024),Parameters!$E$10*((1+Parameters!$K$10)^($A34-2024)-1)/Parameters!$K$10),Parameters!$G$10)</f>
        <v>7.9038598347565001</v>
      </c>
      <c r="AB34" s="23">
        <f t="shared" si="12"/>
        <v>0.48108489125081721</v>
      </c>
      <c r="AC34" s="23">
        <f t="shared" si="13"/>
        <v>0.60974597049808743</v>
      </c>
      <c r="AD34" s="23">
        <f>Parameters!$D$11+(Parameters!$G$11-Parameters!$D$11)*((1/(1+EXP(-Parameters!$I$11*($A34-Parameters!$J$11))))-(1/(1+EXP(-Parameters!$I$11*(2024-Parameters!$J$11)))))/(1-(1/(1+EXP(-Parameters!$I$11*(2024-Parameters!$J$11)))))</f>
        <v>16.813690825931886</v>
      </c>
      <c r="AE34" s="23">
        <f>MIN(Parameters!$D$11+IF(Parameters!$K$11=0,Parameters!$E$11*($A34-2024),Parameters!$E$11*((1+Parameters!$K$11)^($A34-2024)-1)/Parameters!$K$11),Parameters!$G$11)</f>
        <v>13.125977130786433</v>
      </c>
      <c r="AF34" s="23">
        <f t="shared" si="14"/>
        <v>0.87745750431501079</v>
      </c>
      <c r="AG34" s="23">
        <f t="shared" si="15"/>
        <v>0.82201946023319117</v>
      </c>
      <c r="AH34" s="23">
        <f>Parameters!$D$12+(Parameters!$G$12-Parameters!$D$12)*((1/(1+EXP(-Parameters!$I$12*($A34-Parameters!$J$12))))-(1/(1+EXP(-Parameters!$I$12*(2024-Parameters!$J$12)))))/(1-(1/(1+EXP(-Parameters!$I$12*(2024-Parameters!$J$12)))))</f>
        <v>19.002663247645778</v>
      </c>
      <c r="AI34" s="23">
        <f>MIN(Parameters!$D$12+IF(Parameters!$K$12=0,Parameters!$E$12*($A34-2024),Parameters!$E$12*((1+Parameters!$K$12)^($A34-2024)-1)/Parameters!$K$12),Parameters!$G$12)</f>
        <v>15.916190864883173</v>
      </c>
      <c r="AJ34" s="23">
        <f t="shared" si="16"/>
        <v>1.2861700717143592</v>
      </c>
      <c r="AK34" s="23">
        <f t="shared" si="17"/>
        <v>1.6876082604439251</v>
      </c>
      <c r="AL34" s="23">
        <f>Parameters!$D$13+(Parameters!$G$13-Parameters!$D$13)*((1/(1+EXP(-Parameters!$I$13*($A34-Parameters!$J$13))))-(1/(1+EXP(-Parameters!$I$13*(2024-Parameters!$J$13)))))/(1-(1/(1+EXP(-Parameters!$I$13*(2024-Parameters!$J$13)))))</f>
        <v>5.3686718201172932</v>
      </c>
      <c r="AM34" s="23">
        <f>MIN(Parameters!$D$13+IF(Parameters!$K$13=0,Parameters!$E$13*($A34-2024),Parameters!$E$13*((1+Parameters!$K$13)^($A34-2024)-1)/Parameters!$K$13),Parameters!$G$13)</f>
        <v>0.21354864931786105</v>
      </c>
      <c r="AN34" s="23">
        <f t="shared" si="18"/>
        <v>0.3011783434500046</v>
      </c>
      <c r="AO34" s="23">
        <f t="shared" si="19"/>
        <v>2.0886240847078269E-2</v>
      </c>
      <c r="AP34" s="23">
        <f>Parameters!$D$14+(Parameters!$G$14-Parameters!$D$14)*((1/(1+EXP(-Parameters!$I$14*($A34-Parameters!$J$14))))-(1/(1+EXP(-Parameters!$I$14*(2024-Parameters!$J$14)))))/(1-(1/(1+EXP(-Parameters!$I$14*(2024-Parameters!$J$14)))))</f>
        <v>4.9837745532941371</v>
      </c>
      <c r="AQ34" s="23">
        <f>MIN(Parameters!$D$14+IF(Parameters!$K$14=0,Parameters!$E$14*($A34-2024),Parameters!$E$14*((1+Parameters!$K$14)^($A34-2024)-1)/Parameters!$K$14),Parameters!$G$14)</f>
        <v>2.8644324411321933</v>
      </c>
      <c r="AR34" s="23">
        <f t="shared" si="20"/>
        <v>0.35039189746900234</v>
      </c>
      <c r="AS34" s="23">
        <f t="shared" si="21"/>
        <v>0.27152113101201758</v>
      </c>
      <c r="AT34" s="23">
        <f>Parameters!$D$15+(Parameters!$G$15-Parameters!$D$15)*((1/(1+EXP(-Parameters!$I$15*($A34-Parameters!$J$15))))-(1/(1+EXP(-Parameters!$I$15*(2024-Parameters!$J$15)))))/(1-(1/(1+EXP(-Parameters!$I$15*(2024-Parameters!$J$15)))))</f>
        <v>4.0803459877170116</v>
      </c>
      <c r="AU34" s="23">
        <f>MIN(Parameters!$D$15+IF(Parameters!$K$15=0,Parameters!$E$15*($A34-2024),Parameters!$E$15*((1+Parameters!$K$15)^($A34-2024)-1)/Parameters!$K$15),Parameters!$G$15)</f>
        <v>6</v>
      </c>
      <c r="AV34" s="23">
        <f t="shared" si="22"/>
        <v>0.20575998083505942</v>
      </c>
      <c r="AW34" s="23">
        <f t="shared" si="23"/>
        <v>0</v>
      </c>
    </row>
    <row r="35" spans="1:49" x14ac:dyDescent="0.3">
      <c r="A35" s="21">
        <v>2041</v>
      </c>
      <c r="B35" s="23">
        <f>Parameters!$D$4+(Parameters!$G$4-Parameters!$D$4)*((1/(1+EXP(-Parameters!$I$4*($A35-Parameters!$J$4))))-(1/(1+EXP(-Parameters!$I$4*(2024-Parameters!$J$4)))))/(1-(1/(1+EXP(-Parameters!$I$4*(2024-Parameters!$J$4)))))</f>
        <v>75.938482920345137</v>
      </c>
      <c r="C35" s="23">
        <f>MIN(Parameters!$D$4+IF(Parameters!$K$4=0,Parameters!$E$4*($A35-2024),Parameters!$E$4*((1+Parameters!$K$4)^($A35-2024)-1)/Parameters!$K$4),Parameters!$G$4)</f>
        <v>100</v>
      </c>
      <c r="D35" s="23">
        <f t="shared" si="0"/>
        <v>3.3737034766092648</v>
      </c>
      <c r="E35" s="23">
        <f t="shared" si="1"/>
        <v>0</v>
      </c>
      <c r="F35" s="23">
        <f>Parameters!$D$5+(Parameters!$G$5-Parameters!$D$5)*((1/(1+EXP(-Parameters!$I$5*($A35-Parameters!$J$5))))-(1/(1+EXP(-Parameters!$I$5*(2024-Parameters!$J$5)))))/(1-(1/(1+EXP(-Parameters!$I$5*(2024-Parameters!$J$5)))))</f>
        <v>96.319735880421646</v>
      </c>
      <c r="G35" s="23">
        <f>MIN(Parameters!$D$5+IF(Parameters!$K$5=0,Parameters!$E$5*($A35-2024),Parameters!$E$5*((1+Parameters!$K$5)^($A35-2024)-1)/Parameters!$K$5),Parameters!$G$5)</f>
        <v>120</v>
      </c>
      <c r="H35" s="23">
        <f t="shared" si="2"/>
        <v>3.0979762108733269</v>
      </c>
      <c r="I35" s="23">
        <f t="shared" si="3"/>
        <v>0</v>
      </c>
      <c r="J35" s="23">
        <f>Parameters!$D$6+(Parameters!$G$6-Parameters!$D$6)*((1/(1+EXP(-Parameters!$I$6*($A35-Parameters!$J$6))))-(1/(1+EXP(-Parameters!$I$6*(2024-Parameters!$J$6)))))/(1-(1/(1+EXP(-Parameters!$I$6*(2024-Parameters!$J$6)))))</f>
        <v>30.47234159291207</v>
      </c>
      <c r="K35" s="23">
        <f>MIN(Parameters!$D$6+IF(Parameters!$K$6=0,Parameters!$E$6*($A35-2024),Parameters!$E$6*((1+Parameters!$K$6)^($A35-2024)-1)/Parameters!$K$6),Parameters!$G$6)</f>
        <v>14.945049650702375</v>
      </c>
      <c r="L35" s="23">
        <f t="shared" si="4"/>
        <v>1.4554665658131327</v>
      </c>
      <c r="M35" s="23">
        <f t="shared" si="5"/>
        <v>0.75370738153350914</v>
      </c>
      <c r="N35" s="23">
        <f>Parameters!$D$7+(Parameters!$G$7-Parameters!$D$7)*((1/(1+EXP(-Parameters!$I$7*($A35-Parameters!$J$7))))-(1/(1+EXP(-Parameters!$I$7*(2024-Parameters!$J$7)))))/(1-(1/(1+EXP(-Parameters!$I$7*(2024-Parameters!$J$7)))))</f>
        <v>32.449926114193765</v>
      </c>
      <c r="O35" s="23">
        <f>MIN(Parameters!$D$7+IF(Parameters!$K$7=0,Parameters!$E$7*($A35-2024),Parameters!$E$7*((1+Parameters!$K$7)^($A35-2024)-1)/Parameters!$K$7),Parameters!$G$7)</f>
        <v>7.3179999999999996</v>
      </c>
      <c r="P35" s="23">
        <f t="shared" si="6"/>
        <v>1.7940341541072655</v>
      </c>
      <c r="Q35" s="23">
        <f t="shared" si="7"/>
        <v>0</v>
      </c>
      <c r="R35" s="23">
        <f>Parameters!$D$8+(Parameters!$G$8-Parameters!$D$8)*((1/(1+EXP(-Parameters!$I$8*($A35-Parameters!$J$8))))-(1/(1+EXP(-Parameters!$I$8*(2024-Parameters!$J$8)))))/(1-(1/(1+EXP(-Parameters!$I$8*(2024-Parameters!$J$8)))))</f>
        <v>34.209823276030065</v>
      </c>
      <c r="S35" s="23">
        <f>MIN(Parameters!$D$8+IF(Parameters!$K$8=0,Parameters!$E$8*($A35-2024),Parameters!$E$8*((1+Parameters!$K$8)^($A35-2024)-1)/Parameters!$K$8),Parameters!$G$8)</f>
        <v>42.301842108219688</v>
      </c>
      <c r="T35" s="23">
        <f t="shared" si="8"/>
        <v>1.5129077940669831</v>
      </c>
      <c r="U35" s="23">
        <f t="shared" si="9"/>
        <v>3.1246325721633852</v>
      </c>
      <c r="V35" s="23">
        <f>Parameters!$D$9+(Parameters!$G$9-Parameters!$D$9)*((1/(1+EXP(-Parameters!$I$9*($A35-Parameters!$J$9))))-(1/(1+EXP(-Parameters!$I$9*(2024-Parameters!$J$9)))))/(1-(1/(1+EXP(-Parameters!$I$9*(2024-Parameters!$J$9)))))</f>
        <v>21.795320977249066</v>
      </c>
      <c r="W35" s="23">
        <f>MIN(Parameters!$D$9+IF(Parameters!$K$9=0,Parameters!$E$9*($A35-2024),Parameters!$E$9*((1+Parameters!$K$9)^($A35-2024)-1)/Parameters!$K$9),Parameters!$G$9)</f>
        <v>19.556974755222402</v>
      </c>
      <c r="X35" s="23">
        <f t="shared" si="10"/>
        <v>0.98224836368522972</v>
      </c>
      <c r="Y35" s="23">
        <f t="shared" si="11"/>
        <v>1.3362249861446642</v>
      </c>
      <c r="Z35" s="23">
        <f>Parameters!$D$10+(Parameters!$G$10-Parameters!$D$10)*((1/(1+EXP(-Parameters!$I$10*($A35-Parameters!$J$10))))-(1/(1+EXP(-Parameters!$I$10*(2024-Parameters!$J$10)))))/(1-(1/(1+EXP(-Parameters!$I$10*(2024-Parameters!$J$10)))))</f>
        <v>8.3175938067767188</v>
      </c>
      <c r="AA35" s="23">
        <f>MIN(Parameters!$D$10+IF(Parameters!$K$10=0,Parameters!$E$10*($A35-2024),Parameters!$E$10*((1+Parameters!$K$10)^($A35-2024)-1)/Parameters!$K$10),Parameters!$G$10)</f>
        <v>8.556288023189456</v>
      </c>
      <c r="AB35" s="23">
        <f t="shared" si="12"/>
        <v>0.45884393698216197</v>
      </c>
      <c r="AC35" s="23">
        <f t="shared" si="13"/>
        <v>0.65242818843295591</v>
      </c>
      <c r="AD35" s="23">
        <f>Parameters!$D$11+(Parameters!$G$11-Parameters!$D$11)*((1/(1+EXP(-Parameters!$I$11*($A35-Parameters!$J$11))))-(1/(1+EXP(-Parameters!$I$11*(2024-Parameters!$J$11)))))/(1-(1/(1+EXP(-Parameters!$I$11*(2024-Parameters!$J$11)))))</f>
        <v>17.648833631185973</v>
      </c>
      <c r="AE35" s="23">
        <f>MIN(Parameters!$D$11+IF(Parameters!$K$11=0,Parameters!$E$11*($A35-2024),Parameters!$E$11*((1+Parameters!$K$11)^($A35-2024)-1)/Parameters!$K$11),Parameters!$G$11)</f>
        <v>13.997317758633621</v>
      </c>
      <c r="AF35" s="23">
        <f t="shared" si="14"/>
        <v>0.8351428052540868</v>
      </c>
      <c r="AG35" s="23">
        <f t="shared" si="15"/>
        <v>0.87134062784718758</v>
      </c>
      <c r="AH35" s="23">
        <f>Parameters!$D$12+(Parameters!$G$12-Parameters!$D$12)*((1/(1+EXP(-Parameters!$I$12*($A35-Parameters!$J$12))))-(1/(1+EXP(-Parameters!$I$12*(2024-Parameters!$J$12)))))/(1-(1/(1+EXP(-Parameters!$I$12*(2024-Parameters!$J$12)))))</f>
        <v>20.194976260265022</v>
      </c>
      <c r="AI35" s="23">
        <f>MIN(Parameters!$D$12+IF(Parameters!$K$12=0,Parameters!$E$12*($A35-2024),Parameters!$E$12*((1+Parameters!$K$12)^($A35-2024)-1)/Parameters!$K$12),Parameters!$G$12)</f>
        <v>17.772559951371491</v>
      </c>
      <c r="AJ35" s="23">
        <f t="shared" si="16"/>
        <v>1.1923130126192447</v>
      </c>
      <c r="AK35" s="23">
        <f t="shared" si="17"/>
        <v>1.8563690864883178</v>
      </c>
      <c r="AL35" s="23">
        <f>Parameters!$D$13+(Parameters!$G$13-Parameters!$D$13)*((1/(1+EXP(-Parameters!$I$13*($A35-Parameters!$J$13))))-(1/(1+EXP(-Parameters!$I$13*(2024-Parameters!$J$13)))))/(1-(1/(1+EXP(-Parameters!$I$13*(2024-Parameters!$J$13)))))</f>
        <v>5.633956457289564</v>
      </c>
      <c r="AM35" s="23">
        <f>MIN(Parameters!$D$13+IF(Parameters!$K$13=0,Parameters!$E$13*($A35-2024),Parameters!$E$13*((1+Parameters!$K$13)^($A35-2024)-1)/Parameters!$K$13),Parameters!$G$13)</f>
        <v>0.23652351424964715</v>
      </c>
      <c r="AN35" s="23">
        <f t="shared" si="18"/>
        <v>0.2652846371722708</v>
      </c>
      <c r="AO35" s="23">
        <f t="shared" si="19"/>
        <v>2.2974864931786104E-2</v>
      </c>
      <c r="AP35" s="23">
        <f>Parameters!$D$14+(Parameters!$G$14-Parameters!$D$14)*((1/(1+EXP(-Parameters!$I$14*($A35-Parameters!$J$14))))-(1/(1+EXP(-Parameters!$I$14*(2024-Parameters!$J$14)))))/(1-(1/(1+EXP(-Parameters!$I$14*(2024-Parameters!$J$14)))))</f>
        <v>5.3179675421932746</v>
      </c>
      <c r="AQ35" s="23">
        <f>MIN(Parameters!$D$14+IF(Parameters!$K$14=0,Parameters!$E$14*($A35-2024),Parameters!$E$14*((1+Parameters!$K$14)^($A35-2024)-1)/Parameters!$K$14),Parameters!$G$14)</f>
        <v>3.1631056852454131</v>
      </c>
      <c r="AR35" s="23">
        <f t="shared" si="20"/>
        <v>0.33419298889913751</v>
      </c>
      <c r="AS35" s="23">
        <f t="shared" si="21"/>
        <v>0.29867324411321983</v>
      </c>
      <c r="AT35" s="23">
        <f>Parameters!$D$15+(Parameters!$G$15-Parameters!$D$15)*((1/(1+EXP(-Parameters!$I$15*($A35-Parameters!$J$15))))-(1/(1+EXP(-Parameters!$I$15*(2024-Parameters!$J$15)))))/(1-(1/(1+EXP(-Parameters!$I$15*(2024-Parameters!$J$15)))))</f>
        <v>4.2761833550636679</v>
      </c>
      <c r="AU35" s="23">
        <f>MIN(Parameters!$D$15+IF(Parameters!$K$15=0,Parameters!$E$15*($A35-2024),Parameters!$E$15*((1+Parameters!$K$15)^($A35-2024)-1)/Parameters!$K$15),Parameters!$G$15)</f>
        <v>6</v>
      </c>
      <c r="AV35" s="23">
        <f t="shared" si="22"/>
        <v>0.19583736734665624</v>
      </c>
      <c r="AW35" s="23">
        <f t="shared" si="23"/>
        <v>0</v>
      </c>
    </row>
    <row r="36" spans="1:49" x14ac:dyDescent="0.3">
      <c r="A36" s="21">
        <v>2042</v>
      </c>
      <c r="B36" s="23">
        <f>Parameters!$D$4+(Parameters!$G$4-Parameters!$D$4)*((1/(1+EXP(-Parameters!$I$4*($A36-Parameters!$J$4))))-(1/(1+EXP(-Parameters!$I$4*(2024-Parameters!$J$4)))))/(1-(1/(1+EXP(-Parameters!$I$4*(2024-Parameters!$J$4)))))</f>
        <v>79.02626867868031</v>
      </c>
      <c r="C36" s="23">
        <f>MIN(Parameters!$D$4+IF(Parameters!$K$4=0,Parameters!$E$4*($A36-2024),Parameters!$E$4*((1+Parameters!$K$4)^($A36-2024)-1)/Parameters!$K$4),Parameters!$G$4)</f>
        <v>100</v>
      </c>
      <c r="D36" s="23">
        <f t="shared" si="0"/>
        <v>3.0877857583351727</v>
      </c>
      <c r="E36" s="23">
        <f t="shared" si="1"/>
        <v>0</v>
      </c>
      <c r="F36" s="23">
        <f>Parameters!$D$5+(Parameters!$G$5-Parameters!$D$5)*((1/(1+EXP(-Parameters!$I$5*($A36-Parameters!$J$5))))-(1/(1+EXP(-Parameters!$I$5*(2024-Parameters!$J$5)))))/(1-(1/(1+EXP(-Parameters!$I$5*(2024-Parameters!$J$5)))))</f>
        <v>99.150357235973289</v>
      </c>
      <c r="G36" s="23">
        <f>MIN(Parameters!$D$5+IF(Parameters!$K$5=0,Parameters!$E$5*($A36-2024),Parameters!$E$5*((1+Parameters!$K$5)^($A36-2024)-1)/Parameters!$K$5),Parameters!$G$5)</f>
        <v>120</v>
      </c>
      <c r="H36" s="23">
        <f t="shared" si="2"/>
        <v>2.8306213555516422</v>
      </c>
      <c r="I36" s="23">
        <f t="shared" si="3"/>
        <v>0</v>
      </c>
      <c r="J36" s="23">
        <f>Parameters!$D$6+(Parameters!$G$6-Parameters!$D$6)*((1/(1+EXP(-Parameters!$I$6*($A36-Parameters!$J$6))))-(1/(1+EXP(-Parameters!$I$6*(2024-Parameters!$J$6)))))/(1-(1/(1+EXP(-Parameters!$I$6*(2024-Parameters!$J$6)))))</f>
        <v>31.7996388161644</v>
      </c>
      <c r="K36" s="23">
        <f>MIN(Parameters!$D$6+IF(Parameters!$K$6=0,Parameters!$E$6*($A36-2024),Parameters!$E$6*((1+Parameters!$K$6)^($A36-2024)-1)/Parameters!$K$6),Parameters!$G$6)</f>
        <v>15.759053622758566</v>
      </c>
      <c r="L36" s="23">
        <f t="shared" si="4"/>
        <v>1.3272972232523301</v>
      </c>
      <c r="M36" s="23">
        <f t="shared" si="5"/>
        <v>0.81400397205619157</v>
      </c>
      <c r="N36" s="23">
        <f>Parameters!$D$7+(Parameters!$G$7-Parameters!$D$7)*((1/(1+EXP(-Parameters!$I$7*($A36-Parameters!$J$7))))-(1/(1+EXP(-Parameters!$I$7*(2024-Parameters!$J$7)))))/(1-(1/(1+EXP(-Parameters!$I$7*(2024-Parameters!$J$7)))))</f>
        <v>34.11304230237738</v>
      </c>
      <c r="O36" s="23">
        <f>MIN(Parameters!$D$7+IF(Parameters!$K$7=0,Parameters!$E$7*($A36-2024),Parameters!$E$7*((1+Parameters!$K$7)^($A36-2024)-1)/Parameters!$K$7),Parameters!$G$7)</f>
        <v>7.3179999999999996</v>
      </c>
      <c r="P36" s="23">
        <f t="shared" si="6"/>
        <v>1.663116188183615</v>
      </c>
      <c r="Q36" s="23">
        <f t="shared" si="7"/>
        <v>0</v>
      </c>
      <c r="R36" s="23">
        <f>Parameters!$D$8+(Parameters!$G$8-Parameters!$D$8)*((1/(1+EXP(-Parameters!$I$8*($A36-Parameters!$J$8))))-(1/(1+EXP(-Parameters!$I$8*(2024-Parameters!$J$8)))))/(1-(1/(1+EXP(-Parameters!$I$8*(2024-Parameters!$J$8)))))</f>
        <v>35.594513771974142</v>
      </c>
      <c r="S36" s="23">
        <f>MIN(Parameters!$D$8+IF(Parameters!$K$8=0,Parameters!$E$8*($A36-2024),Parameters!$E$8*((1+Parameters!$K$8)^($A36-2024)-1)/Parameters!$K$8),Parameters!$G$8)</f>
        <v>45</v>
      </c>
      <c r="T36" s="23">
        <f t="shared" si="8"/>
        <v>1.3846904959440778</v>
      </c>
      <c r="U36" s="23">
        <f t="shared" si="9"/>
        <v>2.698157891780312</v>
      </c>
      <c r="V36" s="23">
        <f>Parameters!$D$9+(Parameters!$G$9-Parameters!$D$9)*((1/(1+EXP(-Parameters!$I$9*($A36-Parameters!$J$9))))-(1/(1+EXP(-Parameters!$I$9*(2024-Parameters!$J$9)))))/(1-(1/(1+EXP(-Parameters!$I$9*(2024-Parameters!$J$9)))))</f>
        <v>22.709994304830865</v>
      </c>
      <c r="W36" s="23">
        <f>MIN(Parameters!$D$9+IF(Parameters!$K$9=0,Parameters!$E$9*($A36-2024),Parameters!$E$9*((1+Parameters!$K$9)^($A36-2024)-1)/Parameters!$K$9),Parameters!$G$9)</f>
        <v>20.973373240535746</v>
      </c>
      <c r="X36" s="23">
        <f t="shared" si="10"/>
        <v>0.91467332758179865</v>
      </c>
      <c r="Y36" s="23">
        <f t="shared" si="11"/>
        <v>1.4163984853133442</v>
      </c>
      <c r="Z36" s="23">
        <f>Parameters!$D$10+(Parameters!$G$10-Parameters!$D$10)*((1/(1+EXP(-Parameters!$I$10*($A36-Parameters!$J$10))))-(1/(1+EXP(-Parameters!$I$10*(2024-Parameters!$J$10)))))/(1-(1/(1+EXP(-Parameters!$I$10*(2024-Parameters!$J$10)))))</f>
        <v>8.7488571924943965</v>
      </c>
      <c r="AA36" s="23">
        <f>MIN(Parameters!$D$10+IF(Parameters!$K$10=0,Parameters!$E$10*($A36-2024),Parameters!$E$10*((1+Parameters!$K$10)^($A36-2024)-1)/Parameters!$K$10),Parameters!$G$10)</f>
        <v>9.2543861848127165</v>
      </c>
      <c r="AB36" s="23">
        <f t="shared" si="12"/>
        <v>0.43126338571767775</v>
      </c>
      <c r="AC36" s="23">
        <f t="shared" si="13"/>
        <v>0.69809816162326044</v>
      </c>
      <c r="AD36" s="23">
        <f>Parameters!$D$11+(Parameters!$G$11-Parameters!$D$11)*((1/(1+EXP(-Parameters!$I$11*($A36-Parameters!$J$11))))-(1/(1+EXP(-Parameters!$I$11*(2024-Parameters!$J$11)))))/(1-(1/(1+EXP(-Parameters!$I$11*(2024-Parameters!$J$11)))))</f>
        <v>18.434806006194215</v>
      </c>
      <c r="AE36" s="23">
        <f>MIN(Parameters!$D$11+IF(Parameters!$K$11=0,Parameters!$E$11*($A36-2024),Parameters!$E$11*((1+Parameters!$K$11)^($A36-2024)-1)/Parameters!$K$11),Parameters!$G$11)</f>
        <v>14.920938824151639</v>
      </c>
      <c r="AF36" s="23">
        <f t="shared" si="14"/>
        <v>0.78597237500824235</v>
      </c>
      <c r="AG36" s="23">
        <f t="shared" si="15"/>
        <v>0.92362106551801837</v>
      </c>
      <c r="AH36" s="23">
        <f>Parameters!$D$12+(Parameters!$G$12-Parameters!$D$12)*((1/(1+EXP(-Parameters!$I$12*($A36-Parameters!$J$12))))-(1/(1+EXP(-Parameters!$I$12*(2024-Parameters!$J$12)))))/(1-(1/(1+EXP(-Parameters!$I$12*(2024-Parameters!$J$12)))))</f>
        <v>21.282293405206104</v>
      </c>
      <c r="AI36" s="23">
        <f>MIN(Parameters!$D$12+IF(Parameters!$K$12=0,Parameters!$E$12*($A36-2024),Parameters!$E$12*((1+Parameters!$K$12)^($A36-2024)-1)/Parameters!$K$12),Parameters!$G$12)</f>
        <v>19.814565946508644</v>
      </c>
      <c r="AJ36" s="23">
        <f t="shared" si="16"/>
        <v>1.0873171449410819</v>
      </c>
      <c r="AK36" s="23">
        <f t="shared" si="17"/>
        <v>2.0420059951371528</v>
      </c>
      <c r="AL36" s="23">
        <f>Parameters!$D$13+(Parameters!$G$13-Parameters!$D$13)*((1/(1+EXP(-Parameters!$I$13*($A36-Parameters!$J$13))))-(1/(1+EXP(-Parameters!$I$13*(2024-Parameters!$J$13)))))/(1-(1/(1+EXP(-Parameters!$I$13*(2024-Parameters!$J$13)))))</f>
        <v>5.8641250533705245</v>
      </c>
      <c r="AM36" s="23">
        <f>MIN(Parameters!$D$13+IF(Parameters!$K$13=0,Parameters!$E$13*($A36-2024),Parameters!$E$13*((1+Parameters!$K$13)^($A36-2024)-1)/Parameters!$K$13),Parameters!$G$13)</f>
        <v>0.26179586567461188</v>
      </c>
      <c r="AN36" s="23">
        <f t="shared" si="18"/>
        <v>0.23016859608096052</v>
      </c>
      <c r="AO36" s="23">
        <f t="shared" si="19"/>
        <v>2.5272351424964729E-2</v>
      </c>
      <c r="AP36" s="23">
        <f>Parameters!$D$14+(Parameters!$G$14-Parameters!$D$14)*((1/(1+EXP(-Parameters!$I$14*($A36-Parameters!$J$14))))-(1/(1+EXP(-Parameters!$I$14*(2024-Parameters!$J$14)))))/(1-(1/(1+EXP(-Parameters!$I$14*(2024-Parameters!$J$14)))))</f>
        <v>5.6320725967869354</v>
      </c>
      <c r="AQ36" s="23">
        <f>MIN(Parameters!$D$14+IF(Parameters!$K$14=0,Parameters!$E$14*($A36-2024),Parameters!$E$14*((1+Parameters!$K$14)^($A36-2024)-1)/Parameters!$K$14),Parameters!$G$14)</f>
        <v>3.4916462537699542</v>
      </c>
      <c r="AR36" s="23">
        <f t="shared" si="20"/>
        <v>0.31410505459366078</v>
      </c>
      <c r="AS36" s="23">
        <f t="shared" si="21"/>
        <v>0.32854056852454105</v>
      </c>
      <c r="AT36" s="23">
        <f>Parameters!$D$15+(Parameters!$G$15-Parameters!$D$15)*((1/(1+EXP(-Parameters!$I$15*($A36-Parameters!$J$15))))-(1/(1+EXP(-Parameters!$I$15*(2024-Parameters!$J$15)))))/(1-(1/(1+EXP(-Parameters!$I$15*(2024-Parameters!$J$15)))))</f>
        <v>4.4604904696798116</v>
      </c>
      <c r="AU36" s="23">
        <f>MIN(Parameters!$D$15+IF(Parameters!$K$15=0,Parameters!$E$15*($A36-2024),Parameters!$E$15*((1+Parameters!$K$15)^($A36-2024)-1)/Parameters!$K$15),Parameters!$G$15)</f>
        <v>6</v>
      </c>
      <c r="AV36" s="23">
        <f t="shared" si="22"/>
        <v>0.18430711461614369</v>
      </c>
      <c r="AW36" s="23">
        <f t="shared" si="23"/>
        <v>0</v>
      </c>
    </row>
    <row r="37" spans="1:49" x14ac:dyDescent="0.3">
      <c r="A37" s="21">
        <v>2043</v>
      </c>
      <c r="B37" s="23">
        <f>Parameters!$D$4+(Parameters!$G$4-Parameters!$D$4)*((1/(1+EXP(-Parameters!$I$4*($A37-Parameters!$J$4))))-(1/(1+EXP(-Parameters!$I$4*(2024-Parameters!$J$4)))))/(1-(1/(1+EXP(-Parameters!$I$4*(2024-Parameters!$J$4)))))</f>
        <v>81.819478146433624</v>
      </c>
      <c r="C37" s="23">
        <f>MIN(Parameters!$D$4+IF(Parameters!$K$4=0,Parameters!$E$4*($A37-2024),Parameters!$E$4*((1+Parameters!$K$4)^($A37-2024)-1)/Parameters!$K$4),Parameters!$G$4)</f>
        <v>100</v>
      </c>
      <c r="D37" s="23">
        <f t="shared" si="0"/>
        <v>2.7932094677533144</v>
      </c>
      <c r="E37" s="23">
        <f t="shared" si="1"/>
        <v>0</v>
      </c>
      <c r="F37" s="23">
        <f>Parameters!$D$5+(Parameters!$G$5-Parameters!$D$5)*((1/(1+EXP(-Parameters!$I$5*($A37-Parameters!$J$5))))-(1/(1+EXP(-Parameters!$I$5*(2024-Parameters!$J$5)))))/(1-(1/(1+EXP(-Parameters!$I$5*(2024-Parameters!$J$5)))))</f>
        <v>101.71526123090335</v>
      </c>
      <c r="G37" s="23">
        <f>MIN(Parameters!$D$5+IF(Parameters!$K$5=0,Parameters!$E$5*($A37-2024),Parameters!$E$5*((1+Parameters!$K$5)^($A37-2024)-1)/Parameters!$K$5),Parameters!$G$5)</f>
        <v>120</v>
      </c>
      <c r="H37" s="23">
        <f t="shared" si="2"/>
        <v>2.5649039949300629</v>
      </c>
      <c r="I37" s="23">
        <f t="shared" si="3"/>
        <v>0</v>
      </c>
      <c r="J37" s="23">
        <f>Parameters!$D$6+(Parameters!$G$6-Parameters!$D$6)*((1/(1+EXP(-Parameters!$I$6*($A37-Parameters!$J$6))))-(1/(1+EXP(-Parameters!$I$6*(2024-Parameters!$J$6)))))/(1-(1/(1+EXP(-Parameters!$I$6*(2024-Parameters!$J$6)))))</f>
        <v>32.992063745214729</v>
      </c>
      <c r="K37" s="23">
        <f>MIN(Parameters!$D$6+IF(Parameters!$K$6=0,Parameters!$E$6*($A37-2024),Parameters!$E$6*((1+Parameters!$K$6)^($A37-2024)-1)/Parameters!$K$6),Parameters!$G$6)</f>
        <v>16.638177912579252</v>
      </c>
      <c r="L37" s="23">
        <f t="shared" si="4"/>
        <v>1.192424929050329</v>
      </c>
      <c r="M37" s="23">
        <f t="shared" si="5"/>
        <v>0.87912428982068569</v>
      </c>
      <c r="N37" s="23">
        <f>Parameters!$D$7+(Parameters!$G$7-Parameters!$D$7)*((1/(1+EXP(-Parameters!$I$7*($A37-Parameters!$J$7))))-(1/(1+EXP(-Parameters!$I$7*(2024-Parameters!$J$7)))))/(1-(1/(1+EXP(-Parameters!$I$7*(2024-Parameters!$J$7)))))</f>
        <v>35.629703385752293</v>
      </c>
      <c r="O37" s="23">
        <f>MIN(Parameters!$D$7+IF(Parameters!$K$7=0,Parameters!$E$7*($A37-2024),Parameters!$E$7*((1+Parameters!$K$7)^($A37-2024)-1)/Parameters!$K$7),Parameters!$G$7)</f>
        <v>7.3179999999999996</v>
      </c>
      <c r="P37" s="23">
        <f t="shared" si="6"/>
        <v>1.5166610833749132</v>
      </c>
      <c r="Q37" s="23">
        <f t="shared" si="7"/>
        <v>0</v>
      </c>
      <c r="R37" s="23">
        <f>Parameters!$D$8+(Parameters!$G$8-Parameters!$D$8)*((1/(1+EXP(-Parameters!$I$8*($A37-Parameters!$J$8))))-(1/(1+EXP(-Parameters!$I$8*(2024-Parameters!$J$8)))))/(1-(1/(1+EXP(-Parameters!$I$8*(2024-Parameters!$J$8)))))</f>
        <v>36.847104108832347</v>
      </c>
      <c r="S37" s="23">
        <f>MIN(Parameters!$D$8+IF(Parameters!$K$8=0,Parameters!$E$8*($A37-2024),Parameters!$E$8*((1+Parameters!$K$8)^($A37-2024)-1)/Parameters!$K$8),Parameters!$G$8)</f>
        <v>45</v>
      </c>
      <c r="T37" s="23">
        <f t="shared" si="8"/>
        <v>1.252590336858205</v>
      </c>
      <c r="U37" s="23">
        <f t="shared" si="9"/>
        <v>0</v>
      </c>
      <c r="V37" s="23">
        <f>Parameters!$D$9+(Parameters!$G$9-Parameters!$D$9)*((1/(1+EXP(-Parameters!$I$9*($A37-Parameters!$J$9))))-(1/(1+EXP(-Parameters!$I$9*(2024-Parameters!$J$9)))))/(1-(1/(1+EXP(-Parameters!$I$9*(2024-Parameters!$J$9)))))</f>
        <v>23.553375495755599</v>
      </c>
      <c r="W37" s="23">
        <f>MIN(Parameters!$D$9+IF(Parameters!$K$9=0,Parameters!$E$9*($A37-2024),Parameters!$E$9*((1+Parameters!$K$9)^($A37-2024)-1)/Parameters!$K$9),Parameters!$G$9)</f>
        <v>22.474755634967895</v>
      </c>
      <c r="X37" s="23">
        <f t="shared" si="10"/>
        <v>0.84338119092473463</v>
      </c>
      <c r="Y37" s="23">
        <f t="shared" si="11"/>
        <v>1.5013823944321487</v>
      </c>
      <c r="Z37" s="23">
        <f>Parameters!$D$10+(Parameters!$G$10-Parameters!$D$10)*((1/(1+EXP(-Parameters!$I$10*($A37-Parameters!$J$10))))-(1/(1+EXP(-Parameters!$I$10*(2024-Parameters!$J$10)))))/(1-(1/(1+EXP(-Parameters!$I$10*(2024-Parameters!$J$10)))))</f>
        <v>9.1486495604886997</v>
      </c>
      <c r="AA37" s="23">
        <f>MIN(Parameters!$D$10+IF(Parameters!$K$10=0,Parameters!$E$10*($A37-2024),Parameters!$E$10*((1+Parameters!$K$10)^($A37-2024)-1)/Parameters!$K$10),Parameters!$G$10)</f>
        <v>10.00135121774961</v>
      </c>
      <c r="AB37" s="23">
        <f t="shared" si="12"/>
        <v>0.39979236799430318</v>
      </c>
      <c r="AC37" s="23">
        <f t="shared" si="13"/>
        <v>0.74696503293689354</v>
      </c>
      <c r="AD37" s="23">
        <f>Parameters!$D$11+(Parameters!$G$11-Parameters!$D$11)*((1/(1+EXP(-Parameters!$I$11*($A37-Parameters!$J$11))))-(1/(1+EXP(-Parameters!$I$11*(2024-Parameters!$J$11)))))/(1-(1/(1+EXP(-Parameters!$I$11*(2024-Parameters!$J$11)))))</f>
        <v>19.166706403502012</v>
      </c>
      <c r="AE37" s="23">
        <f>MIN(Parameters!$D$11+IF(Parameters!$K$11=0,Parameters!$E$11*($A37-2024),Parameters!$E$11*((1+Parameters!$K$11)^($A37-2024)-1)/Parameters!$K$11),Parameters!$G$11)</f>
        <v>15.899977153600739</v>
      </c>
      <c r="AF37" s="23">
        <f t="shared" si="14"/>
        <v>0.73190039730779688</v>
      </c>
      <c r="AG37" s="23">
        <f t="shared" si="15"/>
        <v>0.97903832944910008</v>
      </c>
      <c r="AH37" s="23">
        <f>Parameters!$D$12+(Parameters!$G$12-Parameters!$D$12)*((1/(1+EXP(-Parameters!$I$12*($A37-Parameters!$J$12))))-(1/(1+EXP(-Parameters!$I$12*(2024-Parameters!$J$12)))))/(1-(1/(1+EXP(-Parameters!$I$12*(2024-Parameters!$J$12)))))</f>
        <v>22.259123648423675</v>
      </c>
      <c r="AI37" s="23">
        <f>MIN(Parameters!$D$12+IF(Parameters!$K$12=0,Parameters!$E$12*($A37-2024),Parameters!$E$12*((1+Parameters!$K$12)^($A37-2024)-1)/Parameters!$K$12),Parameters!$G$12)</f>
        <v>22.060772541159515</v>
      </c>
      <c r="AJ37" s="23">
        <f t="shared" si="16"/>
        <v>0.97683024321757017</v>
      </c>
      <c r="AK37" s="23">
        <f t="shared" si="17"/>
        <v>2.2462065946508716</v>
      </c>
      <c r="AL37" s="23">
        <f>Parameters!$D$13+(Parameters!$G$13-Parameters!$D$13)*((1/(1+EXP(-Parameters!$I$13*($A37-Parameters!$J$13))))-(1/(1+EXP(-Parameters!$I$13*(2024-Parameters!$J$13)))))/(1-(1/(1+EXP(-Parameters!$I$13*(2024-Parameters!$J$13)))))</f>
        <v>6.0612254954795803</v>
      </c>
      <c r="AM37" s="23">
        <f>MIN(Parameters!$D$13+IF(Parameters!$K$13=0,Parameters!$E$13*($A37-2024),Parameters!$E$13*((1+Parameters!$K$13)^($A37-2024)-1)/Parameters!$K$13),Parameters!$G$13)</f>
        <v>0.28959545224207317</v>
      </c>
      <c r="AN37" s="23">
        <f t="shared" si="18"/>
        <v>0.19710044210905586</v>
      </c>
      <c r="AO37" s="23">
        <f t="shared" si="19"/>
        <v>2.7799586567461287E-2</v>
      </c>
      <c r="AP37" s="23">
        <f>Parameters!$D$14+(Parameters!$G$14-Parameters!$D$14)*((1/(1+EXP(-Parameters!$I$14*($A37-Parameters!$J$14))))-(1/(1+EXP(-Parameters!$I$14*(2024-Parameters!$J$14)))))/(1-(1/(1+EXP(-Parameters!$I$14*(2024-Parameters!$J$14)))))</f>
        <v>5.9232561466401261</v>
      </c>
      <c r="AQ37" s="23">
        <f>MIN(Parameters!$D$14+IF(Parameters!$K$14=0,Parameters!$E$14*($A37-2024),Parameters!$E$14*((1+Parameters!$K$14)^($A37-2024)-1)/Parameters!$K$14),Parameters!$G$14)</f>
        <v>3.8530408791469508</v>
      </c>
      <c r="AR37" s="23">
        <f t="shared" si="20"/>
        <v>0.29118354985319073</v>
      </c>
      <c r="AS37" s="23">
        <f t="shared" si="21"/>
        <v>0.36139462537699663</v>
      </c>
      <c r="AT37" s="23">
        <f>Parameters!$D$15+(Parameters!$G$15-Parameters!$D$15)*((1/(1+EXP(-Parameters!$I$15*($A37-Parameters!$J$15))))-(1/(1+EXP(-Parameters!$I$15*(2024-Parameters!$J$15)))))/(1-(1/(1+EXP(-Parameters!$I$15*(2024-Parameters!$J$15)))))</f>
        <v>4.6321179399363777</v>
      </c>
      <c r="AU37" s="23">
        <f>MIN(Parameters!$D$15+IF(Parameters!$K$15=0,Parameters!$E$15*($A37-2024),Parameters!$E$15*((1+Parameters!$K$15)^($A37-2024)-1)/Parameters!$K$15),Parameters!$G$15)</f>
        <v>6</v>
      </c>
      <c r="AV37" s="23">
        <f t="shared" si="22"/>
        <v>0.17162747025656611</v>
      </c>
      <c r="AW37" s="23">
        <f t="shared" si="23"/>
        <v>0</v>
      </c>
    </row>
    <row r="38" spans="1:49" x14ac:dyDescent="0.3">
      <c r="A38" s="21">
        <v>2044</v>
      </c>
      <c r="B38" s="23">
        <f>Parameters!$D$4+(Parameters!$G$4-Parameters!$D$4)*((1/(1+EXP(-Parameters!$I$4*($A38-Parameters!$J$4))))-(1/(1+EXP(-Parameters!$I$4*(2024-Parameters!$J$4)))))/(1-(1/(1+EXP(-Parameters!$I$4*(2024-Parameters!$J$4)))))</f>
        <v>84.319583976469005</v>
      </c>
      <c r="C38" s="23">
        <f>MIN(Parameters!$D$4+IF(Parameters!$K$4=0,Parameters!$E$4*($A38-2024),Parameters!$E$4*((1+Parameters!$K$4)^($A38-2024)-1)/Parameters!$K$4),Parameters!$G$4)</f>
        <v>100</v>
      </c>
      <c r="D38" s="23">
        <f t="shared" si="0"/>
        <v>2.5001058300353804</v>
      </c>
      <c r="E38" s="23">
        <f t="shared" si="1"/>
        <v>0</v>
      </c>
      <c r="F38" s="23">
        <f>Parameters!$D$5+(Parameters!$G$5-Parameters!$D$5)*((1/(1+EXP(-Parameters!$I$5*($A38-Parameters!$J$5))))-(1/(1+EXP(-Parameters!$I$5*(2024-Parameters!$J$5)))))/(1-(1/(1+EXP(-Parameters!$I$5*(2024-Parameters!$J$5)))))</f>
        <v>104.02192395140943</v>
      </c>
      <c r="G38" s="23">
        <f>MIN(Parameters!$D$5+IF(Parameters!$K$5=0,Parameters!$E$5*($A38-2024),Parameters!$E$5*((1+Parameters!$K$5)^($A38-2024)-1)/Parameters!$K$5),Parameters!$G$5)</f>
        <v>120</v>
      </c>
      <c r="H38" s="23">
        <f t="shared" si="2"/>
        <v>2.3066627205060826</v>
      </c>
      <c r="I38" s="23">
        <f t="shared" si="3"/>
        <v>0</v>
      </c>
      <c r="J38" s="23">
        <f>Parameters!$D$6+(Parameters!$G$6-Parameters!$D$6)*((1/(1+EXP(-Parameters!$I$6*($A38-Parameters!$J$6))))-(1/(1+EXP(-Parameters!$I$6*(2024-Parameters!$J$6)))))/(1-(1/(1+EXP(-Parameters!$I$6*(2024-Parameters!$J$6)))))</f>
        <v>34.048996108661413</v>
      </c>
      <c r="K38" s="23">
        <f>MIN(Parameters!$D$6+IF(Parameters!$K$6=0,Parameters!$E$6*($A38-2024),Parameters!$E$6*((1+Parameters!$K$6)^($A38-2024)-1)/Parameters!$K$6),Parameters!$G$6)</f>
        <v>17.587632145585594</v>
      </c>
      <c r="L38" s="23">
        <f t="shared" si="4"/>
        <v>1.0569323634466841</v>
      </c>
      <c r="M38" s="23">
        <f t="shared" si="5"/>
        <v>0.94945423300634246</v>
      </c>
      <c r="N38" s="23">
        <f>Parameters!$D$7+(Parameters!$G$7-Parameters!$D$7)*((1/(1+EXP(-Parameters!$I$7*($A38-Parameters!$J$7))))-(1/(1+EXP(-Parameters!$I$7*(2024-Parameters!$J$7)))))/(1-(1/(1+EXP(-Parameters!$I$7*(2024-Parameters!$J$7)))))</f>
        <v>36.992250110822113</v>
      </c>
      <c r="O38" s="23">
        <f>MIN(Parameters!$D$7+IF(Parameters!$K$7=0,Parameters!$E$7*($A38-2024),Parameters!$E$7*((1+Parameters!$K$7)^($A38-2024)-1)/Parameters!$K$7),Parameters!$G$7)</f>
        <v>7.3179999999999996</v>
      </c>
      <c r="P38" s="23">
        <f t="shared" si="6"/>
        <v>1.3625467250698193</v>
      </c>
      <c r="Q38" s="23">
        <f t="shared" si="7"/>
        <v>0</v>
      </c>
      <c r="R38" s="23">
        <f>Parameters!$D$8+(Parameters!$G$8-Parameters!$D$8)*((1/(1+EXP(-Parameters!$I$8*($A38-Parameters!$J$8))))-(1/(1+EXP(-Parameters!$I$8*(2024-Parameters!$J$8)))))/(1-(1/(1+EXP(-Parameters!$I$8*(2024-Parameters!$J$8)))))</f>
        <v>37.96825468489137</v>
      </c>
      <c r="S38" s="23">
        <f>MIN(Parameters!$D$8+IF(Parameters!$K$8=0,Parameters!$E$8*($A38-2024),Parameters!$E$8*((1+Parameters!$K$8)^($A38-2024)-1)/Parameters!$K$8),Parameters!$G$8)</f>
        <v>45</v>
      </c>
      <c r="T38" s="23">
        <f t="shared" si="8"/>
        <v>1.1211505760590228</v>
      </c>
      <c r="U38" s="23">
        <f t="shared" si="9"/>
        <v>0</v>
      </c>
      <c r="V38" s="23">
        <f>Parameters!$D$9+(Parameters!$G$9-Parameters!$D$9)*((1/(1+EXP(-Parameters!$I$9*($A38-Parameters!$J$9))))-(1/(1+EXP(-Parameters!$I$9*(2024-Parameters!$J$9)))))/(1-(1/(1+EXP(-Parameters!$I$9*(2024-Parameters!$J$9)))))</f>
        <v>24.323973023755709</v>
      </c>
      <c r="W38" s="23">
        <f>MIN(Parameters!$D$9+IF(Parameters!$K$9=0,Parameters!$E$9*($A38-2024),Parameters!$E$9*((1+Parameters!$K$9)^($A38-2024)-1)/Parameters!$K$9),Parameters!$G$9)</f>
        <v>24.066220973065967</v>
      </c>
      <c r="X38" s="23">
        <f t="shared" si="10"/>
        <v>0.77059752800010983</v>
      </c>
      <c r="Y38" s="23">
        <f t="shared" si="11"/>
        <v>1.5914653380980717</v>
      </c>
      <c r="Z38" s="23">
        <f>Parameters!$D$10+(Parameters!$G$10-Parameters!$D$10)*((1/(1+EXP(-Parameters!$I$10*($A38-Parameters!$J$10))))-(1/(1+EXP(-Parameters!$I$10*(2024-Parameters!$J$10)))))/(1-(1/(1+EXP(-Parameters!$I$10*(2024-Parameters!$J$10)))))</f>
        <v>9.5145599579918674</v>
      </c>
      <c r="AA38" s="23">
        <f>MIN(Parameters!$D$10+IF(Parameters!$K$10=0,Parameters!$E$10*($A38-2024),Parameters!$E$10*((1+Parameters!$K$10)^($A38-2024)-1)/Parameters!$K$10),Parameters!$G$10)</f>
        <v>10.800603802992081</v>
      </c>
      <c r="AB38" s="23">
        <f t="shared" si="12"/>
        <v>0.36591039750316767</v>
      </c>
      <c r="AC38" s="23">
        <f t="shared" si="13"/>
        <v>0.79925258524247056</v>
      </c>
      <c r="AD38" s="23">
        <f>Parameters!$D$11+(Parameters!$G$11-Parameters!$D$11)*((1/(1+EXP(-Parameters!$I$11*($A38-Parameters!$J$11))))-(1/(1+EXP(-Parameters!$I$11*(2024-Parameters!$J$11)))))/(1-(1/(1+EXP(-Parameters!$I$11*(2024-Parameters!$J$11)))))</f>
        <v>19.841560485397753</v>
      </c>
      <c r="AE38" s="23">
        <f>MIN(Parameters!$D$11+IF(Parameters!$K$11=0,Parameters!$E$11*($A38-2024),Parameters!$E$11*((1+Parameters!$K$11)^($A38-2024)-1)/Parameters!$K$11),Parameters!$G$11)</f>
        <v>16.937757782816782</v>
      </c>
      <c r="AF38" s="23">
        <f t="shared" si="14"/>
        <v>0.67485408189574159</v>
      </c>
      <c r="AG38" s="23">
        <f t="shared" si="15"/>
        <v>1.0377806292160425</v>
      </c>
      <c r="AH38" s="23">
        <f>Parameters!$D$12+(Parameters!$G$12-Parameters!$D$12)*((1/(1+EXP(-Parameters!$I$12*($A38-Parameters!$J$12))))-(1/(1+EXP(-Parameters!$I$12*(2024-Parameters!$J$12)))))/(1-(1/(1+EXP(-Parameters!$I$12*(2024-Parameters!$J$12)))))</f>
        <v>23.124958865800757</v>
      </c>
      <c r="AI38" s="23">
        <f>MIN(Parameters!$D$12+IF(Parameters!$K$12=0,Parameters!$E$12*($A38-2024),Parameters!$E$12*((1+Parameters!$K$12)^($A38-2024)-1)/Parameters!$K$12),Parameters!$G$12)</f>
        <v>24.531599795275461</v>
      </c>
      <c r="AJ38" s="23">
        <f t="shared" si="16"/>
        <v>0.86583521737708224</v>
      </c>
      <c r="AK38" s="23">
        <f t="shared" si="17"/>
        <v>2.4708272541159459</v>
      </c>
      <c r="AL38" s="23">
        <f>Parameters!$D$13+(Parameters!$G$13-Parameters!$D$13)*((1/(1+EXP(-Parameters!$I$13*($A38-Parameters!$J$13))))-(1/(1+EXP(-Parameters!$I$13*(2024-Parameters!$J$13)))))/(1-(1/(1+EXP(-Parameters!$I$13*(2024-Parameters!$J$13)))))</f>
        <v>6.2281230382163093</v>
      </c>
      <c r="AM38" s="23">
        <f>MIN(Parameters!$D$13+IF(Parameters!$K$13=0,Parameters!$E$13*($A38-2024),Parameters!$E$13*((1+Parameters!$K$13)^($A38-2024)-1)/Parameters!$K$13),Parameters!$G$13)</f>
        <v>0.32017499746628048</v>
      </c>
      <c r="AN38" s="23">
        <f t="shared" si="18"/>
        <v>0.16689754273672897</v>
      </c>
      <c r="AO38" s="23">
        <f t="shared" si="19"/>
        <v>3.0579545224207305E-2</v>
      </c>
      <c r="AP38" s="23">
        <f>Parameters!$D$14+(Parameters!$G$14-Parameters!$D$14)*((1/(1+EXP(-Parameters!$I$14*($A38-Parameters!$J$14))))-(1/(1+EXP(-Parameters!$I$14*(2024-Parameters!$J$14)))))/(1-(1/(1+EXP(-Parameters!$I$14*(2024-Parameters!$J$14)))))</f>
        <v>6.1897622057920181</v>
      </c>
      <c r="AQ38" s="23">
        <f>MIN(Parameters!$D$14+IF(Parameters!$K$14=0,Parameters!$E$14*($A38-2024),Parameters!$E$14*((1+Parameters!$K$14)^($A38-2024)-1)/Parameters!$K$14),Parameters!$G$14)</f>
        <v>4.2505749670616462</v>
      </c>
      <c r="AR38" s="23">
        <f t="shared" si="20"/>
        <v>0.26650605915189196</v>
      </c>
      <c r="AS38" s="23">
        <f t="shared" si="21"/>
        <v>0.39753408791469536</v>
      </c>
      <c r="AT38" s="23">
        <f>Parameters!$D$15+(Parameters!$G$15-Parameters!$D$15)*((1/(1+EXP(-Parameters!$I$15*($A38-Parameters!$J$15))))-(1/(1+EXP(-Parameters!$I$15*(2024-Parameters!$J$15)))))/(1-(1/(1+EXP(-Parameters!$I$15*(2024-Parameters!$J$15)))))</f>
        <v>4.7903682965342496</v>
      </c>
      <c r="AU38" s="23">
        <f>MIN(Parameters!$D$15+IF(Parameters!$K$15=0,Parameters!$E$15*($A38-2024),Parameters!$E$15*((1+Parameters!$K$15)^($A38-2024)-1)/Parameters!$K$15),Parameters!$G$15)</f>
        <v>6</v>
      </c>
      <c r="AV38" s="23">
        <f t="shared" si="22"/>
        <v>0.1582503565978719</v>
      </c>
      <c r="AW38" s="23">
        <f t="shared" si="23"/>
        <v>0</v>
      </c>
    </row>
    <row r="39" spans="1:49" x14ac:dyDescent="0.3">
      <c r="A39" s="21">
        <v>2045</v>
      </c>
      <c r="B39" s="23">
        <f>Parameters!$D$4+(Parameters!$G$4-Parameters!$D$4)*((1/(1+EXP(-Parameters!$I$4*($A39-Parameters!$J$4))))-(1/(1+EXP(-Parameters!$I$4*(2024-Parameters!$J$4)))))/(1-(1/(1+EXP(-Parameters!$I$4*(2024-Parameters!$J$4)))))</f>
        <v>86.53620980753081</v>
      </c>
      <c r="C39" s="23">
        <f>MIN(Parameters!$D$4+IF(Parameters!$K$4=0,Parameters!$E$4*($A39-2024),Parameters!$E$4*((1+Parameters!$K$4)^($A39-2024)-1)/Parameters!$K$4),Parameters!$G$4)</f>
        <v>100</v>
      </c>
      <c r="D39" s="23">
        <f t="shared" si="0"/>
        <v>2.2166258310618048</v>
      </c>
      <c r="E39" s="23">
        <f t="shared" si="1"/>
        <v>0</v>
      </c>
      <c r="F39" s="23">
        <f>Parameters!$D$5+(Parameters!$G$5-Parameters!$D$5)*((1/(1+EXP(-Parameters!$I$5*($A39-Parameters!$J$5))))-(1/(1+EXP(-Parameters!$I$5*(2024-Parameters!$J$5)))))/(1-(1/(1+EXP(-Parameters!$I$5*(2024-Parameters!$J$5)))))</f>
        <v>106.08231418291909</v>
      </c>
      <c r="G39" s="23">
        <f>MIN(Parameters!$D$5+IF(Parameters!$K$5=0,Parameters!$E$5*($A39-2024),Parameters!$E$5*((1+Parameters!$K$5)^($A39-2024)-1)/Parameters!$K$5),Parameters!$G$5)</f>
        <v>120</v>
      </c>
      <c r="H39" s="23">
        <f t="shared" si="2"/>
        <v>2.0603902315096576</v>
      </c>
      <c r="I39" s="23">
        <f t="shared" si="3"/>
        <v>0</v>
      </c>
      <c r="J39" s="23">
        <f>Parameters!$D$6+(Parameters!$G$6-Parameters!$D$6)*((1/(1+EXP(-Parameters!$I$6*($A39-Parameters!$J$6))))-(1/(1+EXP(-Parameters!$I$6*(2024-Parameters!$J$6)))))/(1-(1/(1+EXP(-Parameters!$I$6*(2024-Parameters!$J$6)))))</f>
        <v>34.974710536707647</v>
      </c>
      <c r="K39" s="23">
        <f>MIN(Parameters!$D$6+IF(Parameters!$K$6=0,Parameters!$E$6*($A39-2024),Parameters!$E$6*((1+Parameters!$K$6)^($A39-2024)-1)/Parameters!$K$6),Parameters!$G$6)</f>
        <v>18.613042717232439</v>
      </c>
      <c r="L39" s="23">
        <f t="shared" si="4"/>
        <v>0.92571442804623416</v>
      </c>
      <c r="M39" s="23">
        <f t="shared" si="5"/>
        <v>1.0254105716468445</v>
      </c>
      <c r="N39" s="23">
        <f>Parameters!$D$7+(Parameters!$G$7-Parameters!$D$7)*((1/(1+EXP(-Parameters!$I$7*($A39-Parameters!$J$7))))-(1/(1+EXP(-Parameters!$I$7*(2024-Parameters!$J$7)))))/(1-(1/(1+EXP(-Parameters!$I$7*(2024-Parameters!$J$7)))))</f>
        <v>38.199973712828253</v>
      </c>
      <c r="O39" s="23">
        <f>MIN(Parameters!$D$7+IF(Parameters!$K$7=0,Parameters!$E$7*($A39-2024),Parameters!$E$7*((1+Parameters!$K$7)^($A39-2024)-1)/Parameters!$K$7),Parameters!$G$7)</f>
        <v>7.3179999999999996</v>
      </c>
      <c r="P39" s="23">
        <f t="shared" si="6"/>
        <v>1.2077236020061406</v>
      </c>
      <c r="Q39" s="23">
        <f t="shared" si="7"/>
        <v>0</v>
      </c>
      <c r="R39" s="23">
        <f>Parameters!$D$8+(Parameters!$G$8-Parameters!$D$8)*((1/(1+EXP(-Parameters!$I$8*($A39-Parameters!$J$8))))-(1/(1+EXP(-Parameters!$I$8*(2024-Parameters!$J$8)))))/(1-(1/(1+EXP(-Parameters!$I$8*(2024-Parameters!$J$8)))))</f>
        <v>38.962281136710452</v>
      </c>
      <c r="S39" s="23">
        <f>MIN(Parameters!$D$8+IF(Parameters!$K$8=0,Parameters!$E$8*($A39-2024),Parameters!$E$8*((1+Parameters!$K$8)^($A39-2024)-1)/Parameters!$K$8),Parameters!$G$8)</f>
        <v>45</v>
      </c>
      <c r="T39" s="23">
        <f t="shared" si="8"/>
        <v>0.99402645181908156</v>
      </c>
      <c r="U39" s="23">
        <f t="shared" si="9"/>
        <v>0</v>
      </c>
      <c r="V39" s="23">
        <f>Parameters!$D$9+(Parameters!$G$9-Parameters!$D$9)*((1/(1+EXP(-Parameters!$I$9*($A39-Parameters!$J$9))))-(1/(1+EXP(-Parameters!$I$9*(2024-Parameters!$J$9)))))/(1-(1/(1+EXP(-Parameters!$I$9*(2024-Parameters!$J$9)))))</f>
        <v>25.022232674123362</v>
      </c>
      <c r="W39" s="23">
        <f>MIN(Parameters!$D$9+IF(Parameters!$K$9=0,Parameters!$E$9*($A39-2024),Parameters!$E$9*((1+Parameters!$K$9)^($A39-2024)-1)/Parameters!$K$9),Parameters!$G$9)</f>
        <v>25.753174231449933</v>
      </c>
      <c r="X39" s="23">
        <f t="shared" si="10"/>
        <v>0.69825965036765325</v>
      </c>
      <c r="Y39" s="23">
        <f t="shared" si="11"/>
        <v>1.6869532583839657</v>
      </c>
      <c r="Z39" s="23">
        <f>Parameters!$D$10+(Parameters!$G$10-Parameters!$D$10)*((1/(1+EXP(-Parameters!$I$10*($A39-Parameters!$J$10))))-(1/(1+EXP(-Parameters!$I$10*(2024-Parameters!$J$10)))))/(1-(1/(1+EXP(-Parameters!$I$10*(2024-Parameters!$J$10)))))</f>
        <v>9.8455623223548283</v>
      </c>
      <c r="AA39" s="23">
        <f>MIN(Parameters!$D$10+IF(Parameters!$K$10=0,Parameters!$E$10*($A39-2024),Parameters!$E$10*((1+Parameters!$K$10)^($A39-2024)-1)/Parameters!$K$10),Parameters!$G$10)</f>
        <v>11.655804069201526</v>
      </c>
      <c r="AB39" s="23">
        <f t="shared" si="12"/>
        <v>0.33100236436296093</v>
      </c>
      <c r="AC39" s="23">
        <f t="shared" si="13"/>
        <v>0.85520026620944556</v>
      </c>
      <c r="AD39" s="23">
        <f>Parameters!$D$11+(Parameters!$G$11-Parameters!$D$11)*((1/(1+EXP(-Parameters!$I$11*($A39-Parameters!$J$11))))-(1/(1+EXP(-Parameters!$I$11*(2024-Parameters!$J$11)))))/(1-(1/(1+EXP(-Parameters!$I$11*(2024-Parameters!$J$11)))))</f>
        <v>20.458174767131304</v>
      </c>
      <c r="AE39" s="23">
        <f>MIN(Parameters!$D$11+IF(Parameters!$K$11=0,Parameters!$E$11*($A39-2024),Parameters!$E$11*((1+Parameters!$K$11)^($A39-2024)-1)/Parameters!$K$11),Parameters!$G$11)</f>
        <v>18.037805249785791</v>
      </c>
      <c r="AF39" s="23">
        <f t="shared" si="14"/>
        <v>0.61661428173355048</v>
      </c>
      <c r="AG39" s="23">
        <f t="shared" si="15"/>
        <v>1.1000474669690092</v>
      </c>
      <c r="AH39" s="23">
        <f>Parameters!$D$12+(Parameters!$G$12-Parameters!$D$12)*((1/(1+EXP(-Parameters!$I$12*($A39-Parameters!$J$12))))-(1/(1+EXP(-Parameters!$I$12*(2024-Parameters!$J$12)))))/(1-(1/(1+EXP(-Parameters!$I$12*(2024-Parameters!$J$12)))))</f>
        <v>23.883300819133268</v>
      </c>
      <c r="AI39" s="23">
        <f>MIN(Parameters!$D$12+IF(Parameters!$K$12=0,Parameters!$E$12*($A39-2024),Parameters!$E$12*((1+Parameters!$K$12)^($A39-2024)-1)/Parameters!$K$12),Parameters!$G$12)</f>
        <v>27.249509774803009</v>
      </c>
      <c r="AJ39" s="23">
        <f t="shared" si="16"/>
        <v>0.75834195333251131</v>
      </c>
      <c r="AK39" s="23">
        <f t="shared" si="17"/>
        <v>2.7179099795275476</v>
      </c>
      <c r="AL39" s="23">
        <f>Parameters!$D$13+(Parameters!$G$13-Parameters!$D$13)*((1/(1+EXP(-Parameters!$I$13*($A39-Parameters!$J$13))))-(1/(1+EXP(-Parameters!$I$13*(2024-Parameters!$J$13)))))/(1-(1/(1+EXP(-Parameters!$I$13*(2024-Parameters!$J$13)))))</f>
        <v>6.3681066585192641</v>
      </c>
      <c r="AM39" s="23">
        <f>MIN(Parameters!$D$13+IF(Parameters!$K$13=0,Parameters!$E$13*($A39-2024),Parameters!$E$13*((1+Parameters!$K$13)^($A39-2024)-1)/Parameters!$K$13),Parameters!$G$13)</f>
        <v>0.35381249721290853</v>
      </c>
      <c r="AN39" s="23">
        <f t="shared" si="18"/>
        <v>0.13998362030295475</v>
      </c>
      <c r="AO39" s="23">
        <f t="shared" si="19"/>
        <v>3.3637499746628052E-2</v>
      </c>
      <c r="AP39" s="23">
        <f>Parameters!$D$14+(Parameters!$G$14-Parameters!$D$14)*((1/(1+EXP(-Parameters!$I$14*($A39-Parameters!$J$14))))-(1/(1+EXP(-Parameters!$I$14*(2024-Parameters!$J$14)))))/(1-(1/(1+EXP(-Parameters!$I$14*(2024-Parameters!$J$14)))))</f>
        <v>6.4308434549127611</v>
      </c>
      <c r="AQ39" s="23">
        <f>MIN(Parameters!$D$14+IF(Parameters!$K$14=0,Parameters!$E$14*($A39-2024),Parameters!$E$14*((1+Parameters!$K$14)^($A39-2024)-1)/Parameters!$K$14),Parameters!$G$14)</f>
        <v>4.6878624637678117</v>
      </c>
      <c r="AR39" s="23">
        <f t="shared" si="20"/>
        <v>0.24108124912074302</v>
      </c>
      <c r="AS39" s="23">
        <f t="shared" si="21"/>
        <v>0.43728749670616551</v>
      </c>
      <c r="AT39" s="23">
        <f>Parameters!$D$15+(Parameters!$G$15-Parameters!$D$15)*((1/(1+EXP(-Parameters!$I$15*($A39-Parameters!$J$15))))-(1/(1+EXP(-Parameters!$I$15*(2024-Parameters!$J$15)))))/(1-(1/(1+EXP(-Parameters!$I$15*(2024-Parameters!$J$15)))))</f>
        <v>4.9349616724734799</v>
      </c>
      <c r="AU39" s="23">
        <f>MIN(Parameters!$D$15+IF(Parameters!$K$15=0,Parameters!$E$15*($A39-2024),Parameters!$E$15*((1+Parameters!$K$15)^($A39-2024)-1)/Parameters!$K$15),Parameters!$G$15)</f>
        <v>6</v>
      </c>
      <c r="AV39" s="23">
        <f t="shared" si="22"/>
        <v>0.14459337593923038</v>
      </c>
      <c r="AW39" s="23">
        <f t="shared" si="23"/>
        <v>0</v>
      </c>
    </row>
    <row r="40" spans="1:49" x14ac:dyDescent="0.3">
      <c r="A40" s="21">
        <v>2046</v>
      </c>
      <c r="B40" s="23">
        <f>Parameters!$D$4+(Parameters!$G$4-Parameters!$D$4)*((1/(1+EXP(-Parameters!$I$4*($A40-Parameters!$J$4))))-(1/(1+EXP(-Parameters!$I$4*(2024-Parameters!$J$4)))))/(1-(1/(1+EXP(-Parameters!$I$4*(2024-Parameters!$J$4)))))</f>
        <v>88.485025608271542</v>
      </c>
      <c r="C40" s="23">
        <f>MIN(Parameters!$D$4+IF(Parameters!$K$4=0,Parameters!$E$4*($A40-2024),Parameters!$E$4*((1+Parameters!$K$4)^($A40-2024)-1)/Parameters!$K$4),Parameters!$G$4)</f>
        <v>100</v>
      </c>
      <c r="D40" s="23">
        <f t="shared" si="0"/>
        <v>1.9488158007407321</v>
      </c>
      <c r="E40" s="23">
        <f t="shared" si="1"/>
        <v>0</v>
      </c>
      <c r="F40" s="23">
        <f>Parameters!$D$5+(Parameters!$G$5-Parameters!$D$5)*((1/(1+EXP(-Parameters!$I$5*($A40-Parameters!$J$5))))-(1/(1+EXP(-Parameters!$I$5*(2024-Parameters!$J$5)))))/(1-(1/(1+EXP(-Parameters!$I$5*(2024-Parameters!$J$5)))))</f>
        <v>107.91159769664964</v>
      </c>
      <c r="G40" s="23">
        <f>MIN(Parameters!$D$5+IF(Parameters!$K$5=0,Parameters!$E$5*($A40-2024),Parameters!$E$5*((1+Parameters!$K$5)^($A40-2024)-1)/Parameters!$K$5),Parameters!$G$5)</f>
        <v>120</v>
      </c>
      <c r="H40" s="23">
        <f t="shared" si="2"/>
        <v>1.8292835137305445</v>
      </c>
      <c r="I40" s="23">
        <f t="shared" si="3"/>
        <v>0</v>
      </c>
      <c r="J40" s="23">
        <f>Parameters!$D$6+(Parameters!$G$6-Parameters!$D$6)*((1/(1+EXP(-Parameters!$I$6*($A40-Parameters!$J$6))))-(1/(1+EXP(-Parameters!$I$6*(2024-Parameters!$J$6)))))/(1-(1/(1+EXP(-Parameters!$I$6*(2024-Parameters!$J$6)))))</f>
        <v>35.777055403485029</v>
      </c>
      <c r="K40" s="23">
        <f>MIN(Parameters!$D$6+IF(Parameters!$K$6=0,Parameters!$E$6*($A40-2024),Parameters!$E$6*((1+Parameters!$K$6)^($A40-2024)-1)/Parameters!$K$6),Parameters!$G$6)</f>
        <v>19.720486134611036</v>
      </c>
      <c r="L40" s="23">
        <f t="shared" si="4"/>
        <v>0.80234486677738204</v>
      </c>
      <c r="M40" s="23">
        <f t="shared" si="5"/>
        <v>1.1074434173785974</v>
      </c>
      <c r="N40" s="23">
        <f>Parameters!$D$7+(Parameters!$G$7-Parameters!$D$7)*((1/(1+EXP(-Parameters!$I$7*($A40-Parameters!$J$7))))-(1/(1+EXP(-Parameters!$I$7*(2024-Parameters!$J$7)))))/(1-(1/(1+EXP(-Parameters!$I$7*(2024-Parameters!$J$7)))))</f>
        <v>39.257758678200297</v>
      </c>
      <c r="O40" s="23">
        <f>MIN(Parameters!$D$7+IF(Parameters!$K$7=0,Parameters!$E$7*($A40-2024),Parameters!$E$7*((1+Parameters!$K$7)^($A40-2024)-1)/Parameters!$K$7),Parameters!$G$7)</f>
        <v>7.3179999999999996</v>
      </c>
      <c r="P40" s="23">
        <f t="shared" si="6"/>
        <v>1.0577849653720435</v>
      </c>
      <c r="Q40" s="23">
        <f t="shared" si="7"/>
        <v>0</v>
      </c>
      <c r="R40" s="23">
        <f>Parameters!$D$8+(Parameters!$G$8-Parameters!$D$8)*((1/(1+EXP(-Parameters!$I$8*($A40-Parameters!$J$8))))-(1/(1+EXP(-Parameters!$I$8*(2024-Parameters!$J$8)))))/(1-(1/(1+EXP(-Parameters!$I$8*(2024-Parameters!$J$8)))))</f>
        <v>39.836210524572607</v>
      </c>
      <c r="S40" s="23">
        <f>MIN(Parameters!$D$8+IF(Parameters!$K$8=0,Parameters!$E$8*($A40-2024),Parameters!$E$8*((1+Parameters!$K$8)^($A40-2024)-1)/Parameters!$K$8),Parameters!$G$8)</f>
        <v>45</v>
      </c>
      <c r="T40" s="23">
        <f t="shared" si="8"/>
        <v>0.87392938786215524</v>
      </c>
      <c r="U40" s="23">
        <f t="shared" si="9"/>
        <v>0</v>
      </c>
      <c r="V40" s="23">
        <f>Parameters!$D$9+(Parameters!$G$9-Parameters!$D$9)*((1/(1+EXP(-Parameters!$I$9*($A40-Parameters!$J$9))))-(1/(1+EXP(-Parameters!$I$9*(2024-Parameters!$J$9)))))/(1-(1/(1+EXP(-Parameters!$I$9*(2024-Parameters!$J$9)))))</f>
        <v>25.650189707961815</v>
      </c>
      <c r="W40" s="23">
        <f>MIN(Parameters!$D$9+IF(Parameters!$K$9=0,Parameters!$E$9*($A40-2024),Parameters!$E$9*((1+Parameters!$K$9)^($A40-2024)-1)/Parameters!$K$9),Parameters!$G$9)</f>
        <v>27.541344685336931</v>
      </c>
      <c r="X40" s="23">
        <f t="shared" si="10"/>
        <v>0.62795703383845236</v>
      </c>
      <c r="Y40" s="23">
        <f t="shared" si="11"/>
        <v>1.7881704538869982</v>
      </c>
      <c r="Z40" s="23">
        <f>Parameters!$D$10+(Parameters!$G$10-Parameters!$D$10)*((1/(1+EXP(-Parameters!$I$10*($A40-Parameters!$J$10))))-(1/(1+EXP(-Parameters!$I$10*(2024-Parameters!$J$10)))))/(1-(1/(1+EXP(-Parameters!$I$10*(2024-Parameters!$J$10)))))</f>
        <v>10.141831166654914</v>
      </c>
      <c r="AA40" s="23">
        <f>MIN(Parameters!$D$10+IF(Parameters!$K$10=0,Parameters!$E$10*($A40-2024),Parameters!$E$10*((1+Parameters!$K$10)^($A40-2024)-1)/Parameters!$K$10),Parameters!$G$10)</f>
        <v>12</v>
      </c>
      <c r="AB40" s="23">
        <f t="shared" si="12"/>
        <v>0.29626884430008538</v>
      </c>
      <c r="AC40" s="23">
        <f t="shared" si="13"/>
        <v>0.34419593079847388</v>
      </c>
      <c r="AD40" s="23">
        <f>Parameters!$D$11+(Parameters!$G$11-Parameters!$D$11)*((1/(1+EXP(-Parameters!$I$11*($A40-Parameters!$J$11))))-(1/(1+EXP(-Parameters!$I$11*(2024-Parameters!$J$11)))))/(1-(1/(1+EXP(-Parameters!$I$11*(2024-Parameters!$J$11)))))</f>
        <v>21.016905955761477</v>
      </c>
      <c r="AE40" s="23">
        <f>MIN(Parameters!$D$11+IF(Parameters!$K$11=0,Parameters!$E$11*($A40-2024),Parameters!$E$11*((1+Parameters!$K$11)^($A40-2024)-1)/Parameters!$K$11),Parameters!$G$11)</f>
        <v>19.203855564772944</v>
      </c>
      <c r="AF40" s="23">
        <f t="shared" si="14"/>
        <v>0.55873118863017268</v>
      </c>
      <c r="AG40" s="23">
        <f t="shared" si="15"/>
        <v>1.1660503149871531</v>
      </c>
      <c r="AH40" s="23">
        <f>Parameters!$D$12+(Parameters!$G$12-Parameters!$D$12)*((1/(1+EXP(-Parameters!$I$12*($A40-Parameters!$J$12))))-(1/(1+EXP(-Parameters!$I$12*(2024-Parameters!$J$12)))))/(1-(1/(1+EXP(-Parameters!$I$12*(2024-Parameters!$J$12)))))</f>
        <v>24.540578868479926</v>
      </c>
      <c r="AI40" s="23">
        <f>MIN(Parameters!$D$12+IF(Parameters!$K$12=0,Parameters!$E$12*($A40-2024),Parameters!$E$12*((1+Parameters!$K$12)^($A40-2024)-1)/Parameters!$K$12),Parameters!$G$12)</f>
        <v>28</v>
      </c>
      <c r="AJ40" s="23">
        <f t="shared" si="16"/>
        <v>0.65727804934665812</v>
      </c>
      <c r="AK40" s="23">
        <f t="shared" si="17"/>
        <v>0.75049022519699093</v>
      </c>
      <c r="AL40" s="23">
        <f>Parameters!$D$13+(Parameters!$G$13-Parameters!$D$13)*((1/(1+EXP(-Parameters!$I$13*($A40-Parameters!$J$13))))-(1/(1+EXP(-Parameters!$I$13*(2024-Parameters!$J$13)))))/(1-(1/(1+EXP(-Parameters!$I$13*(2024-Parameters!$J$13)))))</f>
        <v>6.4845818944467224</v>
      </c>
      <c r="AM40" s="23">
        <f>MIN(Parameters!$D$13+IF(Parameters!$K$13=0,Parameters!$E$13*($A40-2024),Parameters!$E$13*((1+Parameters!$K$13)^($A40-2024)-1)/Parameters!$K$13),Parameters!$G$13)</f>
        <v>0.39081374693419946</v>
      </c>
      <c r="AN40" s="23">
        <f t="shared" si="18"/>
        <v>0.11647523592745834</v>
      </c>
      <c r="AO40" s="23">
        <f t="shared" si="19"/>
        <v>3.700124972129093E-2</v>
      </c>
      <c r="AP40" s="23">
        <f>Parameters!$D$14+(Parameters!$G$14-Parameters!$D$14)*((1/(1+EXP(-Parameters!$I$14*($A40-Parameters!$J$14))))-(1/(1+EXP(-Parameters!$I$14*(2024-Parameters!$J$14)))))/(1-(1/(1+EXP(-Parameters!$I$14*(2024-Parameters!$J$14)))))</f>
        <v>6.6466269983230521</v>
      </c>
      <c r="AQ40" s="23">
        <f>MIN(Parameters!$D$14+IF(Parameters!$K$14=0,Parameters!$E$14*($A40-2024),Parameters!$E$14*((1+Parameters!$K$14)^($A40-2024)-1)/Parameters!$K$14),Parameters!$G$14)</f>
        <v>5.1688787101445932</v>
      </c>
      <c r="AR40" s="23">
        <f t="shared" si="20"/>
        <v>0.21578354341029105</v>
      </c>
      <c r="AS40" s="23">
        <f t="shared" si="21"/>
        <v>0.48101624637678153</v>
      </c>
      <c r="AT40" s="23">
        <f>Parameters!$D$15+(Parameters!$G$15-Parameters!$D$15)*((1/(1+EXP(-Parameters!$I$15*($A40-Parameters!$J$15))))-(1/(1+EXP(-Parameters!$I$15*(2024-Parameters!$J$15)))))/(1-(1/(1+EXP(-Parameters!$I$15*(2024-Parameters!$J$15)))))</f>
        <v>5.0659817140129748</v>
      </c>
      <c r="AU40" s="23">
        <f>MIN(Parameters!$D$15+IF(Parameters!$K$15=0,Parameters!$E$15*($A40-2024),Parameters!$E$15*((1+Parameters!$K$15)^($A40-2024)-1)/Parameters!$K$15),Parameters!$G$15)</f>
        <v>6</v>
      </c>
      <c r="AV40" s="23">
        <f t="shared" si="22"/>
        <v>0.13102004153949487</v>
      </c>
      <c r="AW40" s="23">
        <f t="shared" si="23"/>
        <v>0</v>
      </c>
    </row>
    <row r="41" spans="1:49" x14ac:dyDescent="0.3">
      <c r="A41" s="21">
        <v>2047</v>
      </c>
      <c r="B41" s="23">
        <f>Parameters!$D$4+(Parameters!$G$4-Parameters!$D$4)*((1/(1+EXP(-Parameters!$I$4*($A41-Parameters!$J$4))))-(1/(1+EXP(-Parameters!$I$4*(2024-Parameters!$J$4)))))/(1-(1/(1+EXP(-Parameters!$I$4*(2024-Parameters!$J$4)))))</f>
        <v>90.185748797747067</v>
      </c>
      <c r="C41" s="23">
        <f>MIN(Parameters!$D$4+IF(Parameters!$K$4=0,Parameters!$E$4*($A41-2024),Parameters!$E$4*((1+Parameters!$K$4)^($A41-2024)-1)/Parameters!$K$4),Parameters!$G$4)</f>
        <v>100</v>
      </c>
      <c r="D41" s="23">
        <f t="shared" si="0"/>
        <v>1.700723189475525</v>
      </c>
      <c r="E41" s="23">
        <f t="shared" si="1"/>
        <v>0</v>
      </c>
      <c r="F41" s="23">
        <f>Parameters!$D$5+(Parameters!$G$5-Parameters!$D$5)*((1/(1+EXP(-Parameters!$I$5*($A41-Parameters!$J$5))))-(1/(1+EXP(-Parameters!$I$5*(2024-Parameters!$J$5)))))/(1-(1/(1+EXP(-Parameters!$I$5*(2024-Parameters!$J$5)))))</f>
        <v>109.52697265644377</v>
      </c>
      <c r="G41" s="23">
        <f>MIN(Parameters!$D$5+IF(Parameters!$K$5=0,Parameters!$E$5*($A41-2024),Parameters!$E$5*((1+Parameters!$K$5)^($A41-2024)-1)/Parameters!$K$5),Parameters!$G$5)</f>
        <v>120</v>
      </c>
      <c r="H41" s="23">
        <f t="shared" si="2"/>
        <v>1.6153749597941385</v>
      </c>
      <c r="I41" s="23">
        <f t="shared" si="3"/>
        <v>0</v>
      </c>
      <c r="J41" s="23">
        <f>Parameters!$D$6+(Parameters!$G$6-Parameters!$D$6)*((1/(1+EXP(-Parameters!$I$6*($A41-Parameters!$J$6))))-(1/(1+EXP(-Parameters!$I$6*(2024-Parameters!$J$6)))))/(1-(1/(1+EXP(-Parameters!$I$6*(2024-Parameters!$J$6)))))</f>
        <v>36.46618738968882</v>
      </c>
      <c r="K41" s="23">
        <f>MIN(Parameters!$D$6+IF(Parameters!$K$6=0,Parameters!$E$6*($A41-2024),Parameters!$E$6*((1+Parameters!$K$6)^($A41-2024)-1)/Parameters!$K$6),Parameters!$G$6)</f>
        <v>20.916525025379919</v>
      </c>
      <c r="L41" s="23">
        <f t="shared" si="4"/>
        <v>0.68913198620379035</v>
      </c>
      <c r="M41" s="23">
        <f t="shared" si="5"/>
        <v>1.1960388907688824</v>
      </c>
      <c r="N41" s="23">
        <f>Parameters!$D$7+(Parameters!$G$7-Parameters!$D$7)*((1/(1+EXP(-Parameters!$I$7*($A41-Parameters!$J$7))))-(1/(1+EXP(-Parameters!$I$7*(2024-Parameters!$J$7)))))/(1-(1/(1+EXP(-Parameters!$I$7*(2024-Parameters!$J$7)))))</f>
        <v>40.174573098941053</v>
      </c>
      <c r="O41" s="23">
        <f>MIN(Parameters!$D$7+IF(Parameters!$K$7=0,Parameters!$E$7*($A41-2024),Parameters!$E$7*((1+Parameters!$K$7)^($A41-2024)-1)/Parameters!$K$7),Parameters!$G$7)</f>
        <v>7.3179999999999996</v>
      </c>
      <c r="P41" s="23">
        <f t="shared" si="6"/>
        <v>0.91681442074075647</v>
      </c>
      <c r="Q41" s="23">
        <f t="shared" si="7"/>
        <v>0</v>
      </c>
      <c r="R41" s="23">
        <f>Parameters!$D$8+(Parameters!$G$8-Parameters!$D$8)*((1/(1+EXP(-Parameters!$I$8*($A41-Parameters!$J$8))))-(1/(1+EXP(-Parameters!$I$8*(2024-Parameters!$J$8)))))/(1-(1/(1+EXP(-Parameters!$I$8*(2024-Parameters!$J$8)))))</f>
        <v>40.598884952466918</v>
      </c>
      <c r="S41" s="23">
        <f>MIN(Parameters!$D$8+IF(Parameters!$K$8=0,Parameters!$E$8*($A41-2024),Parameters!$E$8*((1+Parameters!$K$8)^($A41-2024)-1)/Parameters!$K$8),Parameters!$G$8)</f>
        <v>45</v>
      </c>
      <c r="T41" s="23">
        <f t="shared" si="8"/>
        <v>0.76267442789431072</v>
      </c>
      <c r="U41" s="23">
        <f t="shared" si="9"/>
        <v>0</v>
      </c>
      <c r="V41" s="23">
        <f>Parameters!$D$9+(Parameters!$G$9-Parameters!$D$9)*((1/(1+EXP(-Parameters!$I$9*($A41-Parameters!$J$9))))-(1/(1+EXP(-Parameters!$I$9*(2024-Parameters!$J$9)))))/(1-(1/(1+EXP(-Parameters!$I$9*(2024-Parameters!$J$9)))))</f>
        <v>26.211102461623803</v>
      </c>
      <c r="W41" s="23">
        <f>MIN(Parameters!$D$9+IF(Parameters!$K$9=0,Parameters!$E$9*($A41-2024),Parameters!$E$9*((1+Parameters!$K$9)^($A41-2024)-1)/Parameters!$K$9),Parameters!$G$9)</f>
        <v>29.436805366457151</v>
      </c>
      <c r="X41" s="23">
        <f t="shared" si="10"/>
        <v>0.56091275366198801</v>
      </c>
      <c r="Y41" s="23">
        <f t="shared" si="11"/>
        <v>1.8954606811202197</v>
      </c>
      <c r="Z41" s="23">
        <f>Parameters!$D$10+(Parameters!$G$10-Parameters!$D$10)*((1/(1+EXP(-Parameters!$I$10*($A41-Parameters!$J$10))))-(1/(1+EXP(-Parameters!$I$10*(2024-Parameters!$J$10)))))/(1-(1/(1+EXP(-Parameters!$I$10*(2024-Parameters!$J$10)))))</f>
        <v>10.40450691634712</v>
      </c>
      <c r="AA41" s="23">
        <f>MIN(Parameters!$D$10+IF(Parameters!$K$10=0,Parameters!$E$10*($A41-2024),Parameters!$E$10*((1+Parameters!$K$10)^($A41-2024)-1)/Parameters!$K$10),Parameters!$G$10)</f>
        <v>12</v>
      </c>
      <c r="AB41" s="23">
        <f t="shared" si="12"/>
        <v>0.26267574969220675</v>
      </c>
      <c r="AC41" s="23">
        <f t="shared" si="13"/>
        <v>0</v>
      </c>
      <c r="AD41" s="23">
        <f>Parameters!$D$11+(Parameters!$G$11-Parameters!$D$11)*((1/(1+EXP(-Parameters!$I$11*($A41-Parameters!$J$11))))-(1/(1+EXP(-Parameters!$I$11*(2024-Parameters!$J$11)))))/(1-(1/(1+EXP(-Parameters!$I$11*(2024-Parameters!$J$11)))))</f>
        <v>21.519382620051754</v>
      </c>
      <c r="AE41" s="23">
        <f>MIN(Parameters!$D$11+IF(Parameters!$K$11=0,Parameters!$E$11*($A41-2024),Parameters!$E$11*((1+Parameters!$K$11)^($A41-2024)-1)/Parameters!$K$11),Parameters!$G$11)</f>
        <v>20.439868898659324</v>
      </c>
      <c r="AF41" s="23">
        <f t="shared" si="14"/>
        <v>0.5024766642902776</v>
      </c>
      <c r="AG41" s="23">
        <f t="shared" si="15"/>
        <v>1.2360133338863797</v>
      </c>
      <c r="AH41" s="23">
        <f>Parameters!$D$12+(Parameters!$G$12-Parameters!$D$12)*((1/(1+EXP(-Parameters!$I$12*($A41-Parameters!$J$12))))-(1/(1+EXP(-Parameters!$I$12*(2024-Parameters!$J$12)))))/(1-(1/(1+EXP(-Parameters!$I$12*(2024-Parameters!$J$12)))))</f>
        <v>25.105113330392399</v>
      </c>
      <c r="AI41" s="23">
        <f>MIN(Parameters!$D$12+IF(Parameters!$K$12=0,Parameters!$E$12*($A41-2024),Parameters!$E$12*((1+Parameters!$K$12)^($A41-2024)-1)/Parameters!$K$12),Parameters!$G$12)</f>
        <v>28</v>
      </c>
      <c r="AJ41" s="23">
        <f t="shared" si="16"/>
        <v>0.56453446191247281</v>
      </c>
      <c r="AK41" s="23">
        <f t="shared" si="17"/>
        <v>0</v>
      </c>
      <c r="AL41" s="23">
        <f>Parameters!$D$13+(Parameters!$G$13-Parameters!$D$13)*((1/(1+EXP(-Parameters!$I$13*($A41-Parameters!$J$13))))-(1/(1+EXP(-Parameters!$I$13*(2024-Parameters!$J$13)))))/(1-(1/(1+EXP(-Parameters!$I$13*(2024-Parameters!$J$13)))))</f>
        <v>6.5808539029103095</v>
      </c>
      <c r="AM41" s="23">
        <f>MIN(Parameters!$D$13+IF(Parameters!$K$13=0,Parameters!$E$13*($A41-2024),Parameters!$E$13*((1+Parameters!$K$13)^($A41-2024)-1)/Parameters!$K$13),Parameters!$G$13)</f>
        <v>0.4315151216276194</v>
      </c>
      <c r="AN41" s="23">
        <f t="shared" si="18"/>
        <v>9.6272008463587078E-2</v>
      </c>
      <c r="AO41" s="23">
        <f t="shared" si="19"/>
        <v>4.0701374693419945E-2</v>
      </c>
      <c r="AP41" s="23">
        <f>Parameters!$D$14+(Parameters!$G$14-Parameters!$D$14)*((1/(1+EXP(-Parameters!$I$14*($A41-Parameters!$J$14))))-(1/(1+EXP(-Parameters!$I$14*(2024-Parameters!$J$14)))))/(1-(1/(1+EXP(-Parameters!$I$14*(2024-Parameters!$J$14)))))</f>
        <v>6.8379434500088294</v>
      </c>
      <c r="AQ41" s="23">
        <f>MIN(Parameters!$D$14+IF(Parameters!$K$14=0,Parameters!$E$14*($A41-2024),Parameters!$E$14*((1+Parameters!$K$14)^($A41-2024)-1)/Parameters!$K$14),Parameters!$G$14)</f>
        <v>5.6979965811590532</v>
      </c>
      <c r="AR41" s="23">
        <f t="shared" si="20"/>
        <v>0.19131645168577727</v>
      </c>
      <c r="AS41" s="23">
        <f t="shared" si="21"/>
        <v>0.52911787101445995</v>
      </c>
      <c r="AT41" s="23">
        <f>Parameters!$D$15+(Parameters!$G$15-Parameters!$D$15)*((1/(1+EXP(-Parameters!$I$15*($A41-Parameters!$J$15))))-(1/(1+EXP(-Parameters!$I$15*(2024-Parameters!$J$15)))))/(1-(1/(1+EXP(-Parameters!$I$15*(2024-Parameters!$J$15)))))</f>
        <v>5.1838103134676494</v>
      </c>
      <c r="AU41" s="23">
        <f>MIN(Parameters!$D$15+IF(Parameters!$K$15=0,Parameters!$E$15*($A41-2024),Parameters!$E$15*((1+Parameters!$K$15)^($A41-2024)-1)/Parameters!$K$15),Parameters!$G$15)</f>
        <v>6</v>
      </c>
      <c r="AV41" s="23">
        <f t="shared" si="22"/>
        <v>0.11782859945467461</v>
      </c>
      <c r="AW41" s="23">
        <f t="shared" si="23"/>
        <v>0</v>
      </c>
    </row>
    <row r="42" spans="1:49" x14ac:dyDescent="0.3">
      <c r="A42" s="21">
        <v>2048</v>
      </c>
      <c r="B42" s="23">
        <f>Parameters!$D$4+(Parameters!$G$4-Parameters!$D$4)*((1/(1+EXP(-Parameters!$I$4*($A42-Parameters!$J$4))))-(1/(1+EXP(-Parameters!$I$4*(2024-Parameters!$J$4)))))/(1-(1/(1+EXP(-Parameters!$I$4*(2024-Parameters!$J$4)))))</f>
        <v>91.660398774019882</v>
      </c>
      <c r="C42" s="23">
        <f>MIN(Parameters!$D$4+IF(Parameters!$K$4=0,Parameters!$E$4*($A42-2024),Parameters!$E$4*((1+Parameters!$K$4)^($A42-2024)-1)/Parameters!$K$4),Parameters!$G$4)</f>
        <v>100</v>
      </c>
      <c r="D42" s="23">
        <f t="shared" si="0"/>
        <v>1.4746499762728149</v>
      </c>
      <c r="E42" s="23">
        <f t="shared" si="1"/>
        <v>0</v>
      </c>
      <c r="F42" s="23">
        <f>Parameters!$D$5+(Parameters!$G$5-Parameters!$D$5)*((1/(1+EXP(-Parameters!$I$5*($A42-Parameters!$J$5))))-(1/(1+EXP(-Parameters!$I$5*(2024-Parameters!$J$5)))))/(1-(1/(1+EXP(-Parameters!$I$5*(2024-Parameters!$J$5)))))</f>
        <v>110.94668169891574</v>
      </c>
      <c r="G42" s="23">
        <f>MIN(Parameters!$D$5+IF(Parameters!$K$5=0,Parameters!$E$5*($A42-2024),Parameters!$E$5*((1+Parameters!$K$5)^($A42-2024)-1)/Parameters!$K$5),Parameters!$G$5)</f>
        <v>120</v>
      </c>
      <c r="H42" s="23">
        <f t="shared" si="2"/>
        <v>1.4197090424719647</v>
      </c>
      <c r="I42" s="23">
        <f t="shared" si="3"/>
        <v>0</v>
      </c>
      <c r="J42" s="23">
        <f>Parameters!$D$6+(Parameters!$G$6-Parameters!$D$6)*((1/(1+EXP(-Parameters!$I$6*($A42-Parameters!$J$6))))-(1/(1+EXP(-Parameters!$I$6*(2024-Parameters!$J$6)))))/(1-(1/(1+EXP(-Parameters!$I$6*(2024-Parameters!$J$6)))))</f>
        <v>37.053480877159885</v>
      </c>
      <c r="K42" s="23">
        <f>MIN(Parameters!$D$6+IF(Parameters!$K$6=0,Parameters!$E$6*($A42-2024),Parameters!$E$6*((1+Parameters!$K$6)^($A42-2024)-1)/Parameters!$K$6),Parameters!$G$6)</f>
        <v>22.208247027410316</v>
      </c>
      <c r="L42" s="23">
        <f t="shared" si="4"/>
        <v>0.58729348747106513</v>
      </c>
      <c r="M42" s="23">
        <f t="shared" si="5"/>
        <v>1.2917220020303972</v>
      </c>
      <c r="N42" s="23">
        <f>Parameters!$D$7+(Parameters!$G$7-Parameters!$D$7)*((1/(1+EXP(-Parameters!$I$7*($A42-Parameters!$J$7))))-(1/(1+EXP(-Parameters!$I$7*(2024-Parameters!$J$7)))))/(1-(1/(1+EXP(-Parameters!$I$7*(2024-Parameters!$J$7)))))</f>
        <v>40.962022696871429</v>
      </c>
      <c r="O42" s="23">
        <f>MIN(Parameters!$D$7+IF(Parameters!$K$7=0,Parameters!$E$7*($A42-2024),Parameters!$E$7*((1+Parameters!$K$7)^($A42-2024)-1)/Parameters!$K$7),Parameters!$G$7)</f>
        <v>7.3179999999999996</v>
      </c>
      <c r="P42" s="23">
        <f t="shared" si="6"/>
        <v>0.78744959793037594</v>
      </c>
      <c r="Q42" s="23">
        <f t="shared" si="7"/>
        <v>0</v>
      </c>
      <c r="R42" s="23">
        <f>Parameters!$D$8+(Parameters!$G$8-Parameters!$D$8)*((1/(1+EXP(-Parameters!$I$8*($A42-Parameters!$J$8))))-(1/(1+EXP(-Parameters!$I$8*(2024-Parameters!$J$8)))))/(1-(1/(1+EXP(-Parameters!$I$8*(2024-Parameters!$J$8)))))</f>
        <v>41.260178826718736</v>
      </c>
      <c r="S42" s="23">
        <f>MIN(Parameters!$D$8+IF(Parameters!$K$8=0,Parameters!$E$8*($A42-2024),Parameters!$E$8*((1+Parameters!$K$8)^($A42-2024)-1)/Parameters!$K$8),Parameters!$G$8)</f>
        <v>45</v>
      </c>
      <c r="T42" s="23">
        <f t="shared" si="8"/>
        <v>0.66129387425181818</v>
      </c>
      <c r="U42" s="23">
        <f t="shared" si="9"/>
        <v>0</v>
      </c>
      <c r="V42" s="23">
        <f>Parameters!$D$9+(Parameters!$G$9-Parameters!$D$9)*((1/(1+EXP(-Parameters!$I$9*($A42-Parameters!$J$9))))-(1/(1+EXP(-Parameters!$I$9*(2024-Parameters!$J$9)))))/(1-(1/(1+EXP(-Parameters!$I$9*(2024-Parameters!$J$9)))))</f>
        <v>26.709099606641949</v>
      </c>
      <c r="W42" s="23">
        <f>MIN(Parameters!$D$9+IF(Parameters!$K$9=0,Parameters!$E$9*($A42-2024),Parameters!$E$9*((1+Parameters!$K$9)^($A42-2024)-1)/Parameters!$K$9),Parameters!$G$9)</f>
        <v>30</v>
      </c>
      <c r="X42" s="23">
        <f t="shared" si="10"/>
        <v>0.49799714501814663</v>
      </c>
      <c r="Y42" s="23">
        <f t="shared" si="11"/>
        <v>0.56319463354284949</v>
      </c>
      <c r="Z42" s="23">
        <f>Parameters!$D$10+(Parameters!$G$10-Parameters!$D$10)*((1/(1+EXP(-Parameters!$I$10*($A42-Parameters!$J$10))))-(1/(1+EXP(-Parameters!$I$10*(2024-Parameters!$J$10)))))/(1-(1/(1+EXP(-Parameters!$I$10*(2024-Parameters!$J$10)))))</f>
        <v>10.635446502224985</v>
      </c>
      <c r="AA42" s="23">
        <f>MIN(Parameters!$D$10+IF(Parameters!$K$10=0,Parameters!$E$10*($A42-2024),Parameters!$E$10*((1+Parameters!$K$10)^($A42-2024)-1)/Parameters!$K$10),Parameters!$G$10)</f>
        <v>12</v>
      </c>
      <c r="AB42" s="23">
        <f t="shared" si="12"/>
        <v>0.23093958587786467</v>
      </c>
      <c r="AC42" s="23">
        <f t="shared" si="13"/>
        <v>0</v>
      </c>
      <c r="AD42" s="23">
        <f>Parameters!$D$11+(Parameters!$G$11-Parameters!$D$11)*((1/(1+EXP(-Parameters!$I$11*($A42-Parameters!$J$11))))-(1/(1+EXP(-Parameters!$I$11*(2024-Parameters!$J$11)))))/(1-(1/(1+EXP(-Parameters!$I$11*(2024-Parameters!$J$11)))))</f>
        <v>21.968212005232999</v>
      </c>
      <c r="AE42" s="23">
        <f>MIN(Parameters!$D$11+IF(Parameters!$K$11=0,Parameters!$E$11*($A42-2024),Parameters!$E$11*((1+Parameters!$K$11)^($A42-2024)-1)/Parameters!$K$11),Parameters!$G$11)</f>
        <v>21.75004303257888</v>
      </c>
      <c r="AF42" s="23">
        <f t="shared" si="14"/>
        <v>0.44882938518124504</v>
      </c>
      <c r="AG42" s="23">
        <f t="shared" si="15"/>
        <v>1.3101741339195563</v>
      </c>
      <c r="AH42" s="23">
        <f>Parameters!$D$12+(Parameters!$G$12-Parameters!$D$12)*((1/(1+EXP(-Parameters!$I$12*($A42-Parameters!$J$12))))-(1/(1+EXP(-Parameters!$I$12*(2024-Parameters!$J$12)))))/(1-(1/(1+EXP(-Parameters!$I$12*(2024-Parameters!$J$12)))))</f>
        <v>25.586222057851963</v>
      </c>
      <c r="AI42" s="23">
        <f>MIN(Parameters!$D$12+IF(Parameters!$K$12=0,Parameters!$E$12*($A42-2024),Parameters!$E$12*((1+Parameters!$K$12)^($A42-2024)-1)/Parameters!$K$12),Parameters!$G$12)</f>
        <v>28</v>
      </c>
      <c r="AJ42" s="23">
        <f t="shared" si="16"/>
        <v>0.48110872745956357</v>
      </c>
      <c r="AK42" s="23">
        <f t="shared" si="17"/>
        <v>0</v>
      </c>
      <c r="AL42" s="23">
        <f>Parameters!$D$13+(Parameters!$G$13-Parameters!$D$13)*((1/(1+EXP(-Parameters!$I$13*($A42-Parameters!$J$13))))-(1/(1+EXP(-Parameters!$I$13*(2024-Parameters!$J$13)))))/(1-(1/(1+EXP(-Parameters!$I$13*(2024-Parameters!$J$13)))))</f>
        <v>6.6599903267780913</v>
      </c>
      <c r="AM42" s="23">
        <f>MIN(Parameters!$D$13+IF(Parameters!$K$13=0,Parameters!$E$13*($A42-2024),Parameters!$E$13*((1+Parameters!$K$13)^($A42-2024)-1)/Parameters!$K$13),Parameters!$G$13)</f>
        <v>0.47628663379038133</v>
      </c>
      <c r="AN42" s="23">
        <f t="shared" si="18"/>
        <v>7.9136423867781858E-2</v>
      </c>
      <c r="AO42" s="23">
        <f t="shared" si="19"/>
        <v>4.4771512162761928E-2</v>
      </c>
      <c r="AP42" s="23">
        <f>Parameters!$D$14+(Parameters!$G$14-Parameters!$D$14)*((1/(1+EXP(-Parameters!$I$14*($A42-Parameters!$J$14))))-(1/(1+EXP(-Parameters!$I$14*(2024-Parameters!$J$14)))))/(1-(1/(1+EXP(-Parameters!$I$14*(2024-Parameters!$J$14)))))</f>
        <v>7.0061452812616478</v>
      </c>
      <c r="AQ42" s="23">
        <f>MIN(Parameters!$D$14+IF(Parameters!$K$14=0,Parameters!$E$14*($A42-2024),Parameters!$E$14*((1+Parameters!$K$14)^($A42-2024)-1)/Parameters!$K$14),Parameters!$G$14)</f>
        <v>6.2800262392749575</v>
      </c>
      <c r="AR42" s="23">
        <f t="shared" si="20"/>
        <v>0.1682018312528184</v>
      </c>
      <c r="AS42" s="23">
        <f t="shared" si="21"/>
        <v>0.58202965811590435</v>
      </c>
      <c r="AT42" s="23">
        <f>Parameters!$D$15+(Parameters!$G$15-Parameters!$D$15)*((1/(1+EXP(-Parameters!$I$15*($A42-Parameters!$J$15))))-(1/(1+EXP(-Parameters!$I$15*(2024-Parameters!$J$15)))))/(1-(1/(1+EXP(-Parameters!$I$15*(2024-Parameters!$J$15)))))</f>
        <v>5.2890588585412921</v>
      </c>
      <c r="AU42" s="23">
        <f>MIN(Parameters!$D$15+IF(Parameters!$K$15=0,Parameters!$E$15*($A42-2024),Parameters!$E$15*((1+Parameters!$K$15)^($A42-2024)-1)/Parameters!$K$15),Parameters!$G$15)</f>
        <v>6</v>
      </c>
      <c r="AV42" s="23">
        <f t="shared" si="22"/>
        <v>0.10524854507364267</v>
      </c>
      <c r="AW42" s="23">
        <f t="shared" si="23"/>
        <v>0</v>
      </c>
    </row>
    <row r="43" spans="1:49" x14ac:dyDescent="0.3">
      <c r="A43" s="21">
        <v>2049</v>
      </c>
      <c r="B43" s="23">
        <f>Parameters!$D$4+(Parameters!$G$4-Parameters!$D$4)*((1/(1+EXP(-Parameters!$I$4*($A43-Parameters!$J$4))))-(1/(1+EXP(-Parameters!$I$4*(2024-Parameters!$J$4)))))/(1-(1/(1+EXP(-Parameters!$I$4*(2024-Parameters!$J$4)))))</f>
        <v>92.931876891561842</v>
      </c>
      <c r="C43" s="23">
        <f>MIN(Parameters!$D$4+IF(Parameters!$K$4=0,Parameters!$E$4*($A43-2024),Parameters!$E$4*((1+Parameters!$K$4)^($A43-2024)-1)/Parameters!$K$4),Parameters!$G$4)</f>
        <v>100</v>
      </c>
      <c r="D43" s="23">
        <f t="shared" si="0"/>
        <v>1.2714781175419603</v>
      </c>
      <c r="E43" s="23">
        <f t="shared" si="1"/>
        <v>0</v>
      </c>
      <c r="F43" s="23">
        <f>Parameters!$D$5+(Parameters!$G$5-Parameters!$D$5)*((1/(1+EXP(-Parameters!$I$5*($A43-Parameters!$J$5))))-(1/(1+EXP(-Parameters!$I$5*(2024-Parameters!$J$5)))))/(1-(1/(1+EXP(-Parameters!$I$5*(2024-Parameters!$J$5)))))</f>
        <v>112.1892171589661</v>
      </c>
      <c r="G43" s="23">
        <f>MIN(Parameters!$D$5+IF(Parameters!$K$5=0,Parameters!$E$5*($A43-2024),Parameters!$E$5*((1+Parameters!$K$5)^($A43-2024)-1)/Parameters!$K$5),Parameters!$G$5)</f>
        <v>120</v>
      </c>
      <c r="H43" s="23">
        <f t="shared" si="2"/>
        <v>1.2425354600503624</v>
      </c>
      <c r="I43" s="23">
        <f t="shared" si="3"/>
        <v>0</v>
      </c>
      <c r="J43" s="23">
        <f>Parameters!$D$6+(Parameters!$G$6-Parameters!$D$6)*((1/(1+EXP(-Parameters!$I$6*($A43-Parameters!$J$6))))-(1/(1+EXP(-Parameters!$I$6*(2024-Parameters!$J$6)))))/(1-(1/(1+EXP(-Parameters!$I$6*(2024-Parameters!$J$6)))))</f>
        <v>37.550666429583472</v>
      </c>
      <c r="K43" s="23">
        <f>MIN(Parameters!$D$6+IF(Parameters!$K$6=0,Parameters!$E$6*($A43-2024),Parameters!$E$6*((1+Parameters!$K$6)^($A43-2024)-1)/Parameters!$K$6),Parameters!$G$6)</f>
        <v>23.603306789603142</v>
      </c>
      <c r="L43" s="23">
        <f t="shared" si="4"/>
        <v>0.49718555242358775</v>
      </c>
      <c r="M43" s="23">
        <f t="shared" si="5"/>
        <v>1.395059762192826</v>
      </c>
      <c r="N43" s="23">
        <f>Parameters!$D$7+(Parameters!$G$7-Parameters!$D$7)*((1/(1+EXP(-Parameters!$I$7*($A43-Parameters!$J$7))))-(1/(1+EXP(-Parameters!$I$7*(2024-Parameters!$J$7)))))/(1-(1/(1+EXP(-Parameters!$I$7*(2024-Parameters!$J$7)))))</f>
        <v>41.633104622880673</v>
      </c>
      <c r="O43" s="23">
        <f>MIN(Parameters!$D$7+IF(Parameters!$K$7=0,Parameters!$E$7*($A43-2024),Parameters!$E$7*((1+Parameters!$K$7)^($A43-2024)-1)/Parameters!$K$7),Parameters!$G$7)</f>
        <v>7.3179999999999996</v>
      </c>
      <c r="P43" s="23">
        <f t="shared" si="6"/>
        <v>0.67108192600924355</v>
      </c>
      <c r="Q43" s="23">
        <f t="shared" si="7"/>
        <v>0</v>
      </c>
      <c r="R43" s="23">
        <f>Parameters!$D$8+(Parameters!$G$8-Parameters!$D$8)*((1/(1+EXP(-Parameters!$I$8*($A43-Parameters!$J$8))))-(1/(1+EXP(-Parameters!$I$8*(2024-Parameters!$J$8)))))/(1-(1/(1+EXP(-Parameters!$I$8*(2024-Parameters!$J$8)))))</f>
        <v>41.83036205928552</v>
      </c>
      <c r="S43" s="23">
        <f>MIN(Parameters!$D$8+IF(Parameters!$K$8=0,Parameters!$E$8*($A43-2024),Parameters!$E$8*((1+Parameters!$K$8)^($A43-2024)-1)/Parameters!$K$8),Parameters!$G$8)</f>
        <v>45</v>
      </c>
      <c r="T43" s="23">
        <f t="shared" si="8"/>
        <v>0.57018323256678372</v>
      </c>
      <c r="U43" s="23">
        <f t="shared" si="9"/>
        <v>0</v>
      </c>
      <c r="V43" s="23">
        <f>Parameters!$D$9+(Parameters!$G$9-Parameters!$D$9)*((1/(1+EXP(-Parameters!$I$9*($A43-Parameters!$J$9))))-(1/(1+EXP(-Parameters!$I$9*(2024-Parameters!$J$9)))))/(1-(1/(1+EXP(-Parameters!$I$9*(2024-Parameters!$J$9)))))</f>
        <v>27.148863105341352</v>
      </c>
      <c r="W43" s="23">
        <f>MIN(Parameters!$D$9+IF(Parameters!$K$9=0,Parameters!$E$9*($A43-2024),Parameters!$E$9*((1+Parameters!$K$9)^($A43-2024)-1)/Parameters!$K$9),Parameters!$G$9)</f>
        <v>30</v>
      </c>
      <c r="X43" s="23">
        <f t="shared" si="10"/>
        <v>0.43976349869940279</v>
      </c>
      <c r="Y43" s="23">
        <f t="shared" si="11"/>
        <v>0</v>
      </c>
      <c r="Z43" s="23">
        <f>Parameters!$D$10+(Parameters!$G$10-Parameters!$D$10)*((1/(1+EXP(-Parameters!$I$10*($A43-Parameters!$J$10))))-(1/(1+EXP(-Parameters!$I$10*(2024-Parameters!$J$10)))))/(1-(1/(1+EXP(-Parameters!$I$10*(2024-Parameters!$J$10)))))</f>
        <v>10.836986488159559</v>
      </c>
      <c r="AA43" s="23">
        <f>MIN(Parameters!$D$10+IF(Parameters!$K$10=0,Parameters!$E$10*($A43-2024),Parameters!$E$10*((1+Parameters!$K$10)^($A43-2024)-1)/Parameters!$K$10),Parameters!$G$10)</f>
        <v>12</v>
      </c>
      <c r="AB43" s="23">
        <f t="shared" si="12"/>
        <v>0.20153998593457345</v>
      </c>
      <c r="AC43" s="23">
        <f t="shared" si="13"/>
        <v>0</v>
      </c>
      <c r="AD43" s="23">
        <f>Parameters!$D$11+(Parameters!$G$11-Parameters!$D$11)*((1/(1+EXP(-Parameters!$I$11*($A43-Parameters!$J$11))))-(1/(1+EXP(-Parameters!$I$11*(2024-Parameters!$J$11)))))/(1-(1/(1+EXP(-Parameters!$I$11*(2024-Parameters!$J$11)))))</f>
        <v>22.366697778575215</v>
      </c>
      <c r="AE43" s="23">
        <f>MIN(Parameters!$D$11+IF(Parameters!$K$11=0,Parameters!$E$11*($A43-2024),Parameters!$E$11*((1+Parameters!$K$11)^($A43-2024)-1)/Parameters!$K$11),Parameters!$G$11)</f>
        <v>23.138827614533611</v>
      </c>
      <c r="AF43" s="23">
        <f t="shared" si="14"/>
        <v>0.39848577334221602</v>
      </c>
      <c r="AG43" s="23">
        <f t="shared" si="15"/>
        <v>1.3887845819547309</v>
      </c>
      <c r="AH43" s="23">
        <f>Parameters!$D$12+(Parameters!$G$12-Parameters!$D$12)*((1/(1+EXP(-Parameters!$I$12*($A43-Parameters!$J$12))))-(1/(1+EXP(-Parameters!$I$12*(2024-Parameters!$J$12)))))/(1-(1/(1+EXP(-Parameters!$I$12*(2024-Parameters!$J$12)))))</f>
        <v>25.99351468673467</v>
      </c>
      <c r="AI43" s="23">
        <f>MIN(Parameters!$D$12+IF(Parameters!$K$12=0,Parameters!$E$12*($A43-2024),Parameters!$E$12*((1+Parameters!$K$12)^($A43-2024)-1)/Parameters!$K$12),Parameters!$G$12)</f>
        <v>28</v>
      </c>
      <c r="AJ43" s="23">
        <f t="shared" si="16"/>
        <v>0.40729262888270767</v>
      </c>
      <c r="AK43" s="23">
        <f t="shared" si="17"/>
        <v>0</v>
      </c>
      <c r="AL43" s="23">
        <f>Parameters!$D$13+(Parameters!$G$13-Parameters!$D$13)*((1/(1+EXP(-Parameters!$I$13*($A43-Parameters!$J$13))))-(1/(1+EXP(-Parameters!$I$13*(2024-Parameters!$J$13)))))/(1-(1/(1+EXP(-Parameters!$I$13*(2024-Parameters!$J$13)))))</f>
        <v>6.7247473997861675</v>
      </c>
      <c r="AM43" s="23">
        <f>MIN(Parameters!$D$13+IF(Parameters!$K$13=0,Parameters!$E$13*($A43-2024),Parameters!$E$13*((1+Parameters!$K$13)^($A43-2024)-1)/Parameters!$K$13),Parameters!$G$13)</f>
        <v>0.5255352971694196</v>
      </c>
      <c r="AN43" s="23">
        <f t="shared" si="18"/>
        <v>6.4757073008076205E-2</v>
      </c>
      <c r="AO43" s="23">
        <f t="shared" si="19"/>
        <v>4.9248663379038271E-2</v>
      </c>
      <c r="AP43" s="23">
        <f>Parameters!$D$14+(Parameters!$G$14-Parameters!$D$14)*((1/(1+EXP(-Parameters!$I$14*($A43-Parameters!$J$14))))-(1/(1+EXP(-Parameters!$I$14*(2024-Parameters!$J$14)))))/(1-(1/(1+EXP(-Parameters!$I$14*(2024-Parameters!$J$14)))))</f>
        <v>7.1529342978609538</v>
      </c>
      <c r="AQ43" s="23">
        <f>MIN(Parameters!$D$14+IF(Parameters!$K$14=0,Parameters!$E$14*($A43-2024),Parameters!$E$14*((1+Parameters!$K$14)^($A43-2024)-1)/Parameters!$K$14),Parameters!$G$14)</f>
        <v>6.920258863202454</v>
      </c>
      <c r="AR43" s="23">
        <f t="shared" si="20"/>
        <v>0.14678901659930599</v>
      </c>
      <c r="AS43" s="23">
        <f t="shared" si="21"/>
        <v>0.64023262392749647</v>
      </c>
      <c r="AT43" s="23">
        <f>Parameters!$D$15+(Parameters!$G$15-Parameters!$D$15)*((1/(1+EXP(-Parameters!$I$15*($A43-Parameters!$J$15))))-(1/(1+EXP(-Parameters!$I$15*(2024-Parameters!$J$15)))))/(1-(1/(1+EXP(-Parameters!$I$15*(2024-Parameters!$J$15)))))</f>
        <v>5.3825020448867615</v>
      </c>
      <c r="AU43" s="23">
        <f>MIN(Parameters!$D$15+IF(Parameters!$K$15=0,Parameters!$E$15*($A43-2024),Parameters!$E$15*((1+Parameters!$K$15)^($A43-2024)-1)/Parameters!$K$15),Parameters!$G$15)</f>
        <v>6</v>
      </c>
      <c r="AV43" s="23">
        <f t="shared" si="22"/>
        <v>9.3443186345469442E-2</v>
      </c>
      <c r="AW43" s="23">
        <f t="shared" si="23"/>
        <v>0</v>
      </c>
    </row>
    <row r="44" spans="1:49" x14ac:dyDescent="0.3">
      <c r="A44" s="21">
        <v>2050</v>
      </c>
      <c r="B44" s="23">
        <f>Parameters!$D$4+(Parameters!$G$4-Parameters!$D$4)*((1/(1+EXP(-Parameters!$I$4*($A44-Parameters!$J$4))))-(1/(1+EXP(-Parameters!$I$4*(2024-Parameters!$J$4)))))/(1-(1/(1+EXP(-Parameters!$I$4*(2024-Parameters!$J$4)))))</f>
        <v>94.022885522488991</v>
      </c>
      <c r="C44" s="23">
        <f>MIN(Parameters!$D$4+IF(Parameters!$K$4=0,Parameters!$E$4*($A44-2024),Parameters!$E$4*((1+Parameters!$K$4)^($A44-2024)-1)/Parameters!$K$4),Parameters!$G$4)</f>
        <v>100</v>
      </c>
      <c r="D44" s="23">
        <f t="shared" si="0"/>
        <v>1.0910086309271492</v>
      </c>
      <c r="E44" s="23">
        <f t="shared" si="1"/>
        <v>0</v>
      </c>
      <c r="F44" s="23">
        <f>Parameters!$D$5+(Parameters!$G$5-Parameters!$D$5)*((1/(1+EXP(-Parameters!$I$5*($A44-Parameters!$J$5))))-(1/(1+EXP(-Parameters!$I$5*(2024-Parameters!$J$5)))))/(1-(1/(1+EXP(-Parameters!$I$5*(2024-Parameters!$J$5)))))</f>
        <v>113.27271477562981</v>
      </c>
      <c r="G44" s="23">
        <f>MIN(Parameters!$D$5+IF(Parameters!$K$5=0,Parameters!$E$5*($A44-2024),Parameters!$E$5*((1+Parameters!$K$5)^($A44-2024)-1)/Parameters!$K$5),Parameters!$G$5)</f>
        <v>120</v>
      </c>
      <c r="H44" s="23">
        <f t="shared" si="2"/>
        <v>1.0834976166637063</v>
      </c>
      <c r="I44" s="23">
        <f t="shared" si="3"/>
        <v>0</v>
      </c>
      <c r="J44" s="23">
        <f>Parameters!$D$6+(Parameters!$G$6-Parameters!$D$6)*((1/(1+EXP(-Parameters!$I$6*($A44-Parameters!$J$6))))-(1/(1+EXP(-Parameters!$I$6*(2024-Parameters!$J$6)))))/(1-(1/(1+EXP(-Parameters!$I$6*(2024-Parameters!$J$6)))))</f>
        <v>37.96920398631768</v>
      </c>
      <c r="K44" s="23">
        <f>MIN(Parameters!$D$6+IF(Parameters!$K$6=0,Parameters!$E$6*($A44-2024),Parameters!$E$6*((1+Parameters!$K$6)^($A44-2024)-1)/Parameters!$K$6),Parameters!$G$6)</f>
        <v>25.109971332771391</v>
      </c>
      <c r="L44" s="23">
        <f t="shared" si="4"/>
        <v>0.41853755673420778</v>
      </c>
      <c r="M44" s="23">
        <f t="shared" si="5"/>
        <v>1.5066645431682488</v>
      </c>
      <c r="N44" s="23">
        <f>Parameters!$D$7+(Parameters!$G$7-Parameters!$D$7)*((1/(1+EXP(-Parameters!$I$7*($A44-Parameters!$J$7))))-(1/(1+EXP(-Parameters!$I$7*(2024-Parameters!$J$7)))))/(1-(1/(1+EXP(-Parameters!$I$7*(2024-Parameters!$J$7)))))</f>
        <v>42.201223025727479</v>
      </c>
      <c r="O44" s="23">
        <f>MIN(Parameters!$D$7+IF(Parameters!$K$7=0,Parameters!$E$7*($A44-2024),Parameters!$E$7*((1+Parameters!$K$7)^($A44-2024)-1)/Parameters!$K$7),Parameters!$G$7)</f>
        <v>7.3179999999999996</v>
      </c>
      <c r="P44" s="23">
        <f t="shared" si="6"/>
        <v>0.5681184028468067</v>
      </c>
      <c r="Q44" s="23">
        <f t="shared" si="7"/>
        <v>0</v>
      </c>
      <c r="R44" s="23">
        <f>Parameters!$D$8+(Parameters!$G$8-Parameters!$D$8)*((1/(1+EXP(-Parameters!$I$8*($A44-Parameters!$J$8))))-(1/(1+EXP(-Parameters!$I$8*(2024-Parameters!$J$8)))))/(1-(1/(1+EXP(-Parameters!$I$8*(2024-Parameters!$J$8)))))</f>
        <v>42.319615330228871</v>
      </c>
      <c r="S44" s="23">
        <f>MIN(Parameters!$D$8+IF(Parameters!$K$8=0,Parameters!$E$8*($A44-2024),Parameters!$E$8*((1+Parameters!$K$8)^($A44-2024)-1)/Parameters!$K$8),Parameters!$G$8)</f>
        <v>45</v>
      </c>
      <c r="T44" s="23">
        <f t="shared" si="8"/>
        <v>0.48925327094335103</v>
      </c>
      <c r="U44" s="23">
        <f t="shared" si="9"/>
        <v>0</v>
      </c>
      <c r="V44" s="23">
        <f>Parameters!$D$9+(Parameters!$G$9-Parameters!$D$9)*((1/(1+EXP(-Parameters!$I$9*($A44-Parameters!$J$9))))-(1/(1+EXP(-Parameters!$I$9*(2024-Parameters!$J$9)))))/(1-(1/(1+EXP(-Parameters!$I$9*(2024-Parameters!$J$9)))))</f>
        <v>27.53535926331833</v>
      </c>
      <c r="W44" s="23">
        <f>MIN(Parameters!$D$9+IF(Parameters!$K$9=0,Parameters!$E$9*($A44-2024),Parameters!$E$9*((1+Parameters!$K$9)^($A44-2024)-1)/Parameters!$K$9),Parameters!$G$9)</f>
        <v>30</v>
      </c>
      <c r="X44" s="23">
        <f t="shared" si="10"/>
        <v>0.38649615797697834</v>
      </c>
      <c r="Y44" s="23">
        <f t="shared" si="11"/>
        <v>0</v>
      </c>
      <c r="Z44" s="23">
        <f>Parameters!$D$10+(Parameters!$G$10-Parameters!$D$10)*((1/(1+EXP(-Parameters!$I$10*($A44-Parameters!$J$10))))-(1/(1+EXP(-Parameters!$I$10*(2024-Parameters!$J$10)))))/(1-(1/(1+EXP(-Parameters!$I$10*(2024-Parameters!$J$10)))))</f>
        <v>11.01173622833808</v>
      </c>
      <c r="AA44" s="23">
        <f>MIN(Parameters!$D$10+IF(Parameters!$K$10=0,Parameters!$E$10*($A44-2024),Parameters!$E$10*((1+Parameters!$K$10)^($A44-2024)-1)/Parameters!$K$10),Parameters!$G$10)</f>
        <v>12</v>
      </c>
      <c r="AB44" s="23">
        <f t="shared" si="12"/>
        <v>0.17474974017852141</v>
      </c>
      <c r="AC44" s="23">
        <f t="shared" si="13"/>
        <v>0</v>
      </c>
      <c r="AD44" s="23">
        <f>Parameters!$D$11+(Parameters!$G$11-Parameters!$D$11)*((1/(1+EXP(-Parameters!$I$11*($A44-Parameters!$J$11))))-(1/(1+EXP(-Parameters!$I$11*(2024-Parameters!$J$11)))))/(1-(1/(1+EXP(-Parameters!$I$11*(2024-Parameters!$J$11)))))</f>
        <v>22.718586337816905</v>
      </c>
      <c r="AE44" s="23">
        <f>MIN(Parameters!$D$11+IF(Parameters!$K$11=0,Parameters!$E$11*($A44-2024),Parameters!$E$11*((1+Parameters!$K$11)^($A44-2024)-1)/Parameters!$K$11),Parameters!$G$11)</f>
        <v>24.610939271405627</v>
      </c>
      <c r="AF44" s="23">
        <f t="shared" si="14"/>
        <v>0.35188855924169005</v>
      </c>
      <c r="AG44" s="23">
        <f t="shared" si="15"/>
        <v>1.4721116568720163</v>
      </c>
      <c r="AH44" s="23">
        <f>Parameters!$D$12+(Parameters!$G$12-Parameters!$D$12)*((1/(1+EXP(-Parameters!$I$12*($A44-Parameters!$J$12))))-(1/(1+EXP(-Parameters!$I$12*(2024-Parameters!$J$12)))))/(1-(1/(1+EXP(-Parameters!$I$12*(2024-Parameters!$J$12)))))</f>
        <v>26.336379158434347</v>
      </c>
      <c r="AI44" s="23">
        <f>MIN(Parameters!$D$12+IF(Parameters!$K$12=0,Parameters!$E$12*($A44-2024),Parameters!$E$12*((1+Parameters!$K$12)^($A44-2024)-1)/Parameters!$K$12),Parameters!$G$12)</f>
        <v>28</v>
      </c>
      <c r="AJ44" s="23">
        <f t="shared" si="16"/>
        <v>0.34286447169967715</v>
      </c>
      <c r="AK44" s="23">
        <f t="shared" si="17"/>
        <v>0</v>
      </c>
      <c r="AL44" s="23">
        <f>Parameters!$D$13+(Parameters!$G$13-Parameters!$D$13)*((1/(1+EXP(-Parameters!$I$13*($A44-Parameters!$J$13))))-(1/(1+EXP(-Parameters!$I$13*(2024-Parameters!$J$13)))))/(1-(1/(1+EXP(-Parameters!$I$13*(2024-Parameters!$J$13)))))</f>
        <v>6.7775419259849077</v>
      </c>
      <c r="AM44" s="23">
        <f>MIN(Parameters!$D$13+IF(Parameters!$K$13=0,Parameters!$E$13*($A44-2024),Parameters!$E$13*((1+Parameters!$K$13)^($A44-2024)-1)/Parameters!$K$13),Parameters!$G$13)</f>
        <v>0.57970882688636149</v>
      </c>
      <c r="AN44" s="23">
        <f t="shared" si="18"/>
        <v>5.2794526198740144E-2</v>
      </c>
      <c r="AO44" s="23">
        <f t="shared" si="19"/>
        <v>5.4173529716941893E-2</v>
      </c>
      <c r="AP44" s="23">
        <f>Parameters!$D$14+(Parameters!$G$14-Parameters!$D$14)*((1/(1+EXP(-Parameters!$I$14*($A44-Parameters!$J$14))))-(1/(1+EXP(-Parameters!$I$14*(2024-Parameters!$J$14)))))/(1-(1/(1+EXP(-Parameters!$I$14*(2024-Parameters!$J$14)))))</f>
        <v>7.2802109888502873</v>
      </c>
      <c r="AQ44" s="23">
        <f>MIN(Parameters!$D$14+IF(Parameters!$K$14=0,Parameters!$E$14*($A44-2024),Parameters!$E$14*((1+Parameters!$K$14)^($A44-2024)-1)/Parameters!$K$14),Parameters!$G$14)</f>
        <v>7.6245147495226995</v>
      </c>
      <c r="AR44" s="23">
        <f t="shared" si="20"/>
        <v>0.12727669098933347</v>
      </c>
      <c r="AS44" s="23">
        <f t="shared" si="21"/>
        <v>0.70425588632024549</v>
      </c>
      <c r="AT44" s="23">
        <f>Parameters!$D$15+(Parameters!$G$15-Parameters!$D$15)*((1/(1+EXP(-Parameters!$I$15*($A44-Parameters!$J$15))))-(1/(1+EXP(-Parameters!$I$15*(2024-Parameters!$J$15)))))/(1-(1/(1+EXP(-Parameters!$I$15*(2024-Parameters!$J$15)))))</f>
        <v>5.4650183865324689</v>
      </c>
      <c r="AU44" s="23">
        <f>MIN(Parameters!$D$15+IF(Parameters!$K$15=0,Parameters!$E$15*($A44-2024),Parameters!$E$15*((1+Parameters!$K$15)^($A44-2024)-1)/Parameters!$K$15),Parameters!$G$15)</f>
        <v>6</v>
      </c>
      <c r="AV44" s="23">
        <f t="shared" si="22"/>
        <v>8.2516341645707314E-2</v>
      </c>
      <c r="AW44" s="23">
        <f t="shared" si="23"/>
        <v>0</v>
      </c>
    </row>
  </sheetData>
  <mergeCells count="12">
    <mergeCell ref="B2:E2"/>
    <mergeCell ref="F2:I2"/>
    <mergeCell ref="J2:M2"/>
    <mergeCell ref="N2:Q2"/>
    <mergeCell ref="R2:U2"/>
    <mergeCell ref="AP2:AS2"/>
    <mergeCell ref="AT2:AW2"/>
    <mergeCell ref="V2:Y2"/>
    <mergeCell ref="Z2:AC2"/>
    <mergeCell ref="AD2:AG2"/>
    <mergeCell ref="AH2:AK2"/>
    <mergeCell ref="AL2:AO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BU30"/>
  <sheetViews>
    <sheetView zoomScaleNormal="100" workbookViewId="0">
      <selection activeCell="D4" sqref="D4:S30"/>
    </sheetView>
  </sheetViews>
  <sheetFormatPr defaultColWidth="8.5546875" defaultRowHeight="14.4" x14ac:dyDescent="0.3"/>
  <cols>
    <col min="1" max="1" width="7" customWidth="1"/>
    <col min="2" max="73" width="9" customWidth="1"/>
  </cols>
  <sheetData>
    <row r="1" spans="1:73" ht="16.8" x14ac:dyDescent="0.3">
      <c r="A1" s="1" t="s">
        <v>110</v>
      </c>
    </row>
    <row r="2" spans="1:73" x14ac:dyDescent="0.3">
      <c r="B2" s="34" t="s">
        <v>14</v>
      </c>
      <c r="C2" s="34"/>
      <c r="D2" s="34"/>
      <c r="E2" s="34"/>
      <c r="F2" s="34"/>
      <c r="G2" s="34"/>
      <c r="H2" s="34" t="s">
        <v>15</v>
      </c>
      <c r="I2" s="34"/>
      <c r="J2" s="34"/>
      <c r="K2" s="34"/>
      <c r="L2" s="34"/>
      <c r="M2" s="34"/>
      <c r="N2" s="34" t="s">
        <v>16</v>
      </c>
      <c r="O2" s="34"/>
      <c r="P2" s="34"/>
      <c r="Q2" s="34"/>
      <c r="R2" s="34"/>
      <c r="S2" s="34"/>
      <c r="T2" s="34" t="s">
        <v>17</v>
      </c>
      <c r="U2" s="34"/>
      <c r="V2" s="34"/>
      <c r="W2" s="34"/>
      <c r="X2" s="34"/>
      <c r="Y2" s="34"/>
      <c r="Z2" s="34" t="s">
        <v>18</v>
      </c>
      <c r="AA2" s="34"/>
      <c r="AB2" s="34"/>
      <c r="AC2" s="34"/>
      <c r="AD2" s="34"/>
      <c r="AE2" s="34"/>
      <c r="AF2" s="34" t="s">
        <v>19</v>
      </c>
      <c r="AG2" s="34"/>
      <c r="AH2" s="34"/>
      <c r="AI2" s="34"/>
      <c r="AJ2" s="34"/>
      <c r="AK2" s="34"/>
      <c r="AL2" s="34" t="s">
        <v>20</v>
      </c>
      <c r="AM2" s="34"/>
      <c r="AN2" s="34"/>
      <c r="AO2" s="34"/>
      <c r="AP2" s="34"/>
      <c r="AQ2" s="34"/>
      <c r="AR2" s="34" t="s">
        <v>21</v>
      </c>
      <c r="AS2" s="34"/>
      <c r="AT2" s="34"/>
      <c r="AU2" s="34"/>
      <c r="AV2" s="34"/>
      <c r="AW2" s="34"/>
      <c r="AX2" s="34" t="s">
        <v>22</v>
      </c>
      <c r="AY2" s="34"/>
      <c r="AZ2" s="34"/>
      <c r="BA2" s="34"/>
      <c r="BB2" s="34"/>
      <c r="BC2" s="34"/>
      <c r="BD2" s="34" t="s">
        <v>23</v>
      </c>
      <c r="BE2" s="34"/>
      <c r="BF2" s="34"/>
      <c r="BG2" s="34"/>
      <c r="BH2" s="34"/>
      <c r="BI2" s="34"/>
      <c r="BJ2" s="34" t="s">
        <v>24</v>
      </c>
      <c r="BK2" s="34"/>
      <c r="BL2" s="34"/>
      <c r="BM2" s="34"/>
      <c r="BN2" s="34"/>
      <c r="BO2" s="34"/>
      <c r="BP2" s="34" t="s">
        <v>25</v>
      </c>
      <c r="BQ2" s="34"/>
      <c r="BR2" s="34"/>
      <c r="BS2" s="34"/>
      <c r="BT2" s="34"/>
      <c r="BU2" s="34"/>
    </row>
    <row r="3" spans="1:73" x14ac:dyDescent="0.3">
      <c r="A3" s="20" t="s">
        <v>13</v>
      </c>
      <c r="B3" s="24" t="s">
        <v>111</v>
      </c>
      <c r="C3" s="24" t="s">
        <v>112</v>
      </c>
      <c r="D3" s="24" t="s">
        <v>113</v>
      </c>
      <c r="E3" s="24" t="s">
        <v>114</v>
      </c>
      <c r="F3" s="24" t="s">
        <v>115</v>
      </c>
      <c r="G3" s="24" t="s">
        <v>116</v>
      </c>
      <c r="H3" s="24" t="s">
        <v>111</v>
      </c>
      <c r="I3" s="24" t="s">
        <v>112</v>
      </c>
      <c r="J3" s="24" t="s">
        <v>113</v>
      </c>
      <c r="K3" s="24" t="s">
        <v>114</v>
      </c>
      <c r="L3" s="24" t="s">
        <v>115</v>
      </c>
      <c r="M3" s="24" t="s">
        <v>116</v>
      </c>
      <c r="N3" s="24" t="s">
        <v>111</v>
      </c>
      <c r="O3" s="24" t="s">
        <v>112</v>
      </c>
      <c r="P3" s="24" t="s">
        <v>113</v>
      </c>
      <c r="Q3" s="24" t="s">
        <v>114</v>
      </c>
      <c r="R3" s="24" t="s">
        <v>115</v>
      </c>
      <c r="S3" s="24" t="s">
        <v>116</v>
      </c>
      <c r="T3" s="24" t="s">
        <v>111</v>
      </c>
      <c r="U3" s="24" t="s">
        <v>112</v>
      </c>
      <c r="V3" s="24" t="s">
        <v>113</v>
      </c>
      <c r="W3" s="24" t="s">
        <v>114</v>
      </c>
      <c r="X3" s="24" t="s">
        <v>115</v>
      </c>
      <c r="Y3" s="24" t="s">
        <v>116</v>
      </c>
      <c r="Z3" s="24" t="s">
        <v>111</v>
      </c>
      <c r="AA3" s="24" t="s">
        <v>112</v>
      </c>
      <c r="AB3" s="24" t="s">
        <v>113</v>
      </c>
      <c r="AC3" s="24" t="s">
        <v>114</v>
      </c>
      <c r="AD3" s="24" t="s">
        <v>115</v>
      </c>
      <c r="AE3" s="24" t="s">
        <v>116</v>
      </c>
      <c r="AF3" s="24" t="s">
        <v>111</v>
      </c>
      <c r="AG3" s="24" t="s">
        <v>112</v>
      </c>
      <c r="AH3" s="24" t="s">
        <v>113</v>
      </c>
      <c r="AI3" s="24" t="s">
        <v>114</v>
      </c>
      <c r="AJ3" s="24" t="s">
        <v>115</v>
      </c>
      <c r="AK3" s="24" t="s">
        <v>116</v>
      </c>
      <c r="AL3" s="24" t="s">
        <v>111</v>
      </c>
      <c r="AM3" s="24" t="s">
        <v>112</v>
      </c>
      <c r="AN3" s="24" t="s">
        <v>113</v>
      </c>
      <c r="AO3" s="24" t="s">
        <v>114</v>
      </c>
      <c r="AP3" s="24" t="s">
        <v>115</v>
      </c>
      <c r="AQ3" s="24" t="s">
        <v>116</v>
      </c>
      <c r="AR3" s="24" t="s">
        <v>111</v>
      </c>
      <c r="AS3" s="24" t="s">
        <v>112</v>
      </c>
      <c r="AT3" s="24" t="s">
        <v>113</v>
      </c>
      <c r="AU3" s="24" t="s">
        <v>114</v>
      </c>
      <c r="AV3" s="24" t="s">
        <v>115</v>
      </c>
      <c r="AW3" s="24" t="s">
        <v>116</v>
      </c>
      <c r="AX3" s="24" t="s">
        <v>111</v>
      </c>
      <c r="AY3" s="24" t="s">
        <v>112</v>
      </c>
      <c r="AZ3" s="24" t="s">
        <v>113</v>
      </c>
      <c r="BA3" s="24" t="s">
        <v>114</v>
      </c>
      <c r="BB3" s="24" t="s">
        <v>115</v>
      </c>
      <c r="BC3" s="24" t="s">
        <v>116</v>
      </c>
      <c r="BD3" s="24" t="s">
        <v>111</v>
      </c>
      <c r="BE3" s="24" t="s">
        <v>112</v>
      </c>
      <c r="BF3" s="24" t="s">
        <v>113</v>
      </c>
      <c r="BG3" s="24" t="s">
        <v>114</v>
      </c>
      <c r="BH3" s="24" t="s">
        <v>115</v>
      </c>
      <c r="BI3" s="24" t="s">
        <v>116</v>
      </c>
      <c r="BJ3" s="24" t="s">
        <v>111</v>
      </c>
      <c r="BK3" s="24" t="s">
        <v>112</v>
      </c>
      <c r="BL3" s="24" t="s">
        <v>113</v>
      </c>
      <c r="BM3" s="24" t="s">
        <v>114</v>
      </c>
      <c r="BN3" s="24" t="s">
        <v>115</v>
      </c>
      <c r="BO3" s="24" t="s">
        <v>116</v>
      </c>
      <c r="BP3" s="24" t="s">
        <v>111</v>
      </c>
      <c r="BQ3" s="24" t="s">
        <v>112</v>
      </c>
      <c r="BR3" s="24" t="s">
        <v>113</v>
      </c>
      <c r="BS3" s="24" t="s">
        <v>114</v>
      </c>
      <c r="BT3" s="24" t="s">
        <v>115</v>
      </c>
      <c r="BU3" s="24" t="s">
        <v>116</v>
      </c>
    </row>
    <row r="4" spans="1:73" x14ac:dyDescent="0.3">
      <c r="A4" s="6">
        <v>2024</v>
      </c>
      <c r="B4" s="25">
        <v>5.5</v>
      </c>
      <c r="C4" s="26">
        <v>5.5</v>
      </c>
      <c r="D4" s="27">
        <f>Trajectory!D18</f>
        <v>5.6000000000000014</v>
      </c>
      <c r="E4" s="28">
        <f>Trajectory!E18</f>
        <v>5.6000000000000014</v>
      </c>
      <c r="F4" s="29">
        <f t="shared" ref="F4:F30" si="0">MAX(D4,E4)</f>
        <v>5.6000000000000014</v>
      </c>
      <c r="G4" s="30">
        <f t="shared" ref="G4:G30" si="1">MIN(D4,E4)</f>
        <v>5.6000000000000014</v>
      </c>
      <c r="H4" s="25">
        <v>3.5</v>
      </c>
      <c r="I4" s="26">
        <v>3.5</v>
      </c>
      <c r="J4" s="27">
        <f>Trajectory!H18</f>
        <v>3</v>
      </c>
      <c r="K4" s="28">
        <f>Trajectory!I18</f>
        <v>3</v>
      </c>
      <c r="L4" s="29">
        <f t="shared" ref="L4:L30" si="2">MAX(J4,K4)</f>
        <v>3</v>
      </c>
      <c r="M4" s="30">
        <f t="shared" ref="M4:M30" si="3">MIN(J4,K4)</f>
        <v>3</v>
      </c>
      <c r="N4" s="25">
        <v>0.89419999999999999</v>
      </c>
      <c r="O4" s="26">
        <v>0.89419999999999999</v>
      </c>
      <c r="P4" s="27">
        <f>Trajectory!L18</f>
        <v>0</v>
      </c>
      <c r="Q4" s="28">
        <f>Trajectory!M18</f>
        <v>0</v>
      </c>
      <c r="R4" s="29">
        <f t="shared" ref="R4:R30" si="4">MAX(P4,Q4)</f>
        <v>0</v>
      </c>
      <c r="S4" s="30">
        <f t="shared" ref="S4:S30" si="5">MIN(P4,Q4)</f>
        <v>0</v>
      </c>
      <c r="T4" s="25">
        <v>0.89419999999999999</v>
      </c>
      <c r="U4" s="26">
        <v>0.89419999999999999</v>
      </c>
      <c r="V4" s="27">
        <f>Trajectory!P18</f>
        <v>0</v>
      </c>
      <c r="W4" s="28">
        <f>Trajectory!Q18</f>
        <v>0</v>
      </c>
      <c r="X4" s="29">
        <f t="shared" ref="X4:X30" si="6">MAX(V4,W4)</f>
        <v>0</v>
      </c>
      <c r="Y4" s="30">
        <f t="shared" ref="Y4:Y30" si="7">MIN(V4,W4)</f>
        <v>0</v>
      </c>
      <c r="Z4" s="25">
        <v>0.34499999999999997</v>
      </c>
      <c r="AA4" s="26">
        <v>0.34499999999999997</v>
      </c>
      <c r="AB4" s="27">
        <f>Trajectory!T18</f>
        <v>0.59999999999999964</v>
      </c>
      <c r="AC4" s="28">
        <f>Trajectory!U18</f>
        <v>0.59999999999999964</v>
      </c>
      <c r="AD4" s="29">
        <f t="shared" ref="AD4:AD30" si="8">MAX(AB4,AC4)</f>
        <v>0.59999999999999964</v>
      </c>
      <c r="AE4" s="30">
        <f t="shared" ref="AE4:AE30" si="9">MIN(AB4,AC4)</f>
        <v>0.59999999999999964</v>
      </c>
      <c r="AF4" s="25">
        <v>0.34499999999999997</v>
      </c>
      <c r="AG4" s="26">
        <v>0.34499999999999997</v>
      </c>
      <c r="AH4" s="27">
        <f>Trajectory!X18</f>
        <v>0.18399999999999928</v>
      </c>
      <c r="AI4" s="28">
        <f>Trajectory!Y18</f>
        <v>0.18399999999999928</v>
      </c>
      <c r="AJ4" s="29">
        <f t="shared" ref="AJ4:AJ30" si="10">MAX(AH4,AI4)</f>
        <v>0.18399999999999928</v>
      </c>
      <c r="AK4" s="30">
        <f t="shared" ref="AK4:AK30" si="11">MIN(AH4,AI4)</f>
        <v>0.18399999999999928</v>
      </c>
      <c r="AL4" s="25">
        <v>0.45829999999999999</v>
      </c>
      <c r="AM4" s="26">
        <v>0.45829999999999999</v>
      </c>
      <c r="AN4" s="27">
        <f>Trajectory!AB18</f>
        <v>0.33529999999999993</v>
      </c>
      <c r="AO4" s="28">
        <f>Trajectory!AC18</f>
        <v>0.33529999999999993</v>
      </c>
      <c r="AP4" s="29">
        <f t="shared" ref="AP4:AP30" si="12">MAX(AN4,AO4)</f>
        <v>0.33529999999999993</v>
      </c>
      <c r="AQ4" s="30">
        <f t="shared" ref="AQ4:AQ30" si="13">MIN(AN4,AO4)</f>
        <v>0.33529999999999993</v>
      </c>
      <c r="AR4" s="25">
        <v>0.45829999999999999</v>
      </c>
      <c r="AS4" s="26">
        <v>0.45829999999999999</v>
      </c>
      <c r="AT4" s="27">
        <f>Trajectory!AF18</f>
        <v>0.61399999999999944</v>
      </c>
      <c r="AU4" s="28">
        <f>Trajectory!AG18</f>
        <v>0.61399999999999944</v>
      </c>
      <c r="AV4" s="29">
        <f t="shared" ref="AV4:AV30" si="14">MAX(AT4,AU4)</f>
        <v>0.61399999999999944</v>
      </c>
      <c r="AW4" s="30">
        <f t="shared" ref="AW4:AW30" si="15">MIN(AT4,AU4)</f>
        <v>0.61399999999999944</v>
      </c>
      <c r="AX4" s="25">
        <v>0.2</v>
      </c>
      <c r="AY4" s="26">
        <v>0.2</v>
      </c>
      <c r="AZ4" s="27">
        <f>Trajectory!AJ18</f>
        <v>0.6765000000000001</v>
      </c>
      <c r="BA4" s="28">
        <f>Trajectory!AK18</f>
        <v>0.6765000000000001</v>
      </c>
      <c r="BB4" s="29">
        <f t="shared" ref="BB4:BB30" si="16">MAX(AZ4,BA4)</f>
        <v>0.6765000000000001</v>
      </c>
      <c r="BC4" s="30">
        <f t="shared" ref="BC4:BC30" si="17">MIN(AZ4,BA4)</f>
        <v>0.6765000000000001</v>
      </c>
      <c r="BD4" s="25">
        <v>0.2</v>
      </c>
      <c r="BE4" s="26">
        <v>0.2</v>
      </c>
      <c r="BF4" s="27">
        <f>Trajectory!AN18</f>
        <v>0</v>
      </c>
      <c r="BG4" s="28">
        <f>Trajectory!AO18</f>
        <v>0</v>
      </c>
      <c r="BH4" s="29">
        <f t="shared" ref="BH4:BH30" si="18">MAX(BF4,BG4)</f>
        <v>0</v>
      </c>
      <c r="BI4" s="30">
        <f t="shared" ref="BI4:BI30" si="19">MIN(BF4,BG4)</f>
        <v>0</v>
      </c>
      <c r="BJ4" s="25">
        <v>0.1638</v>
      </c>
      <c r="BK4" s="26">
        <v>0.1638</v>
      </c>
      <c r="BL4" s="27">
        <f>Trajectory!AR18</f>
        <v>8.049999999999996E-2</v>
      </c>
      <c r="BM4" s="28">
        <f>Trajectory!AS18</f>
        <v>8.049999999999996E-2</v>
      </c>
      <c r="BN4" s="29">
        <f t="shared" ref="BN4:BN30" si="20">MAX(BL4,BM4)</f>
        <v>8.049999999999996E-2</v>
      </c>
      <c r="BO4" s="30">
        <f t="shared" ref="BO4:BO30" si="21">MIN(BL4,BM4)</f>
        <v>8.049999999999996E-2</v>
      </c>
      <c r="BP4" s="25">
        <v>0.17879999999999999</v>
      </c>
      <c r="BQ4" s="26">
        <v>0.17879999999999999</v>
      </c>
      <c r="BR4" s="27">
        <f>Trajectory!AV18</f>
        <v>0.13570000000000015</v>
      </c>
      <c r="BS4" s="28">
        <f>Trajectory!AW18</f>
        <v>0.13570000000000015</v>
      </c>
      <c r="BT4" s="29">
        <f t="shared" ref="BT4:BT30" si="22">MAX(BR4,BS4)</f>
        <v>0.13570000000000015</v>
      </c>
      <c r="BU4" s="30">
        <f t="shared" ref="BU4:BU30" si="23">MIN(BR4,BS4)</f>
        <v>0.13570000000000015</v>
      </c>
    </row>
    <row r="5" spans="1:73" x14ac:dyDescent="0.3">
      <c r="A5" s="6">
        <v>2025</v>
      </c>
      <c r="B5" s="25">
        <v>5.5</v>
      </c>
      <c r="C5" s="26">
        <v>10</v>
      </c>
      <c r="D5" s="27">
        <f>Trajectory!D19*(Parameters!$L$4+(Parameters!$M$4-Parameters!$L$4)*(2025-2025)/25)</f>
        <v>2.338578960888904</v>
      </c>
      <c r="E5" s="28">
        <f>Trajectory!E19*(Parameters!$L$4+(Parameters!$M$4-Parameters!$L$4)*(2025-2025)/25)</f>
        <v>4.6080000000000041</v>
      </c>
      <c r="F5" s="29">
        <f t="shared" si="0"/>
        <v>4.6080000000000041</v>
      </c>
      <c r="G5" s="30">
        <f t="shared" si="1"/>
        <v>2.338578960888904</v>
      </c>
      <c r="H5" s="25">
        <v>3.5</v>
      </c>
      <c r="I5" s="26">
        <v>5</v>
      </c>
      <c r="J5" s="27">
        <f>Trajectory!H19*(Parameters!$L$5+(Parameters!$M$5-Parameters!$L$5)*(2025-2025)/25)</f>
        <v>3.3967456266619536</v>
      </c>
      <c r="K5" s="28">
        <f>Trajectory!I19*(Parameters!$L$5+(Parameters!$M$5-Parameters!$L$5)*(2025-2025)/25)</f>
        <v>4.7040000000000015</v>
      </c>
      <c r="L5" s="29">
        <f t="shared" si="2"/>
        <v>4.7040000000000015</v>
      </c>
      <c r="M5" s="30">
        <f t="shared" si="3"/>
        <v>3.3967456266619536</v>
      </c>
      <c r="N5" s="25">
        <v>1</v>
      </c>
      <c r="O5" s="26">
        <v>4.7994000000000003</v>
      </c>
      <c r="P5" s="27">
        <f>Trajectory!L19*(Parameters!$L$6+(Parameters!$M$6-Parameters!$L$6)*(2025-2025)/25)</f>
        <v>0.76348153371238237</v>
      </c>
      <c r="Q5" s="28">
        <f>Trajectory!M19*(Parameters!$L$6+(Parameters!$M$6-Parameters!$L$6)*(2025-2025)/25)</f>
        <v>0.28600000000000086</v>
      </c>
      <c r="R5" s="29">
        <f t="shared" si="4"/>
        <v>0.76348153371238237</v>
      </c>
      <c r="S5" s="30">
        <f t="shared" si="5"/>
        <v>0.28600000000000086</v>
      </c>
      <c r="T5" s="25">
        <v>0.9</v>
      </c>
      <c r="U5" s="26">
        <v>1.351</v>
      </c>
      <c r="V5" s="27">
        <f>Trajectory!P19*(Parameters!$L$7+(Parameters!$M$7-Parameters!$L$7)*(2025-2025)/25)</f>
        <v>0.73855392370084061</v>
      </c>
      <c r="W5" s="28">
        <f>Trajectory!Q19*(Parameters!$L$7+(Parameters!$M$7-Parameters!$L$7)*(2025-2025)/25)</f>
        <v>0</v>
      </c>
      <c r="X5" s="29">
        <f t="shared" si="6"/>
        <v>0.73855392370084061</v>
      </c>
      <c r="Y5" s="30">
        <f t="shared" si="7"/>
        <v>0</v>
      </c>
      <c r="Z5" s="25">
        <v>2.2000000000000002</v>
      </c>
      <c r="AA5" s="26">
        <v>5.13</v>
      </c>
      <c r="AB5" s="27">
        <f>Trajectory!T19*(Parameters!$L$8+(Parameters!$M$8-Parameters!$L$8)*(2025-2025)/25)</f>
        <v>1.0487152654345926</v>
      </c>
      <c r="AC5" s="28">
        <f>Trajectory!U19*(Parameters!$L$8+(Parameters!$M$8-Parameters!$L$8)*(2025-2025)/25)</f>
        <v>1.4760000000000004</v>
      </c>
      <c r="AD5" s="29">
        <f t="shared" si="8"/>
        <v>1.4760000000000004</v>
      </c>
      <c r="AE5" s="30">
        <f t="shared" si="9"/>
        <v>1.0487152654345926</v>
      </c>
      <c r="AF5" s="25">
        <v>1.2</v>
      </c>
      <c r="AG5" s="26">
        <v>1.2606999999999999</v>
      </c>
      <c r="AH5" s="27">
        <f>Trajectory!X19*(Parameters!$L$9+(Parameters!$M$9-Parameters!$L$9)*(2025-2025)/25)</f>
        <v>0.75354844060614179</v>
      </c>
      <c r="AI5" s="28">
        <f>Trajectory!Y19*(Parameters!$L$9+(Parameters!$M$9-Parameters!$L$9)*(2025-2025)/25)</f>
        <v>0.63120000000000076</v>
      </c>
      <c r="AJ5" s="29">
        <f t="shared" si="10"/>
        <v>0.75354844060614179</v>
      </c>
      <c r="AK5" s="30">
        <f t="shared" si="11"/>
        <v>0.63120000000000076</v>
      </c>
      <c r="AL5" s="25">
        <v>0.7</v>
      </c>
      <c r="AM5" s="26">
        <v>1.5336000000000001</v>
      </c>
      <c r="AN5" s="27">
        <f>Trajectory!AB19*(Parameters!$L$10+(Parameters!$M$10-Parameters!$L$10)*(2025-2025)/25)</f>
        <v>0.22717466223207639</v>
      </c>
      <c r="AO5" s="28">
        <f>Trajectory!AC19*(Parameters!$L$10+(Parameters!$M$10-Parameters!$L$10)*(2025-2025)/25)</f>
        <v>0.28730000000000011</v>
      </c>
      <c r="AP5" s="29">
        <f t="shared" si="12"/>
        <v>0.28730000000000011</v>
      </c>
      <c r="AQ5" s="30">
        <f t="shared" si="13"/>
        <v>0.22717466223207639</v>
      </c>
      <c r="AR5" s="25">
        <v>0.3</v>
      </c>
      <c r="AS5" s="26">
        <v>1.4371</v>
      </c>
      <c r="AT5" s="27">
        <f>Trajectory!AF19*(Parameters!$L$11+(Parameters!$M$11-Parameters!$L$11)*(2025-2025)/25)</f>
        <v>0.56103673147655631</v>
      </c>
      <c r="AU5" s="28">
        <f>Trajectory!AG19*(Parameters!$L$11+(Parameters!$M$11-Parameters!$L$11)*(2025-2025)/25)</f>
        <v>0.42874999999999996</v>
      </c>
      <c r="AV5" s="29">
        <f t="shared" si="14"/>
        <v>0.56103673147655631</v>
      </c>
      <c r="AW5" s="30">
        <f t="shared" si="15"/>
        <v>0.42874999999999996</v>
      </c>
      <c r="AX5" s="25">
        <v>1.2</v>
      </c>
      <c r="AY5" s="26">
        <v>2.2000000000000002</v>
      </c>
      <c r="AZ5" s="27">
        <f>Trajectory!AJ19*(Parameters!$L$12+(Parameters!$M$12-Parameters!$L$12)*(2025-2025)/25)</f>
        <v>0.62544134569741994</v>
      </c>
      <c r="BA5" s="28">
        <f>Trajectory!AK19*(Parameters!$L$12+(Parameters!$M$12-Parameters!$L$12)*(2025-2025)/25)</f>
        <v>0.52520000000000044</v>
      </c>
      <c r="BB5" s="29">
        <f t="shared" si="16"/>
        <v>0.62544134569741994</v>
      </c>
      <c r="BC5" s="30">
        <f t="shared" si="17"/>
        <v>0.52520000000000044</v>
      </c>
      <c r="BD5" s="25">
        <v>0.49690000000000001</v>
      </c>
      <c r="BE5" s="26">
        <v>0.46400000000000002</v>
      </c>
      <c r="BF5" s="27">
        <f>Trajectory!AN19*(Parameters!$L$13+(Parameters!$M$13-Parameters!$L$13)*(2025-2025)/25)</f>
        <v>0.23365655983142061</v>
      </c>
      <c r="BG5" s="28">
        <f>Trajectory!AO19*(Parameters!$L$13+(Parameters!$M$13-Parameters!$L$13)*(2025-2025)/25)</f>
        <v>7.0000000000000053E-3</v>
      </c>
      <c r="BH5" s="29">
        <f t="shared" si="18"/>
        <v>0.23365655983142061</v>
      </c>
      <c r="BI5" s="30">
        <f t="shared" si="19"/>
        <v>7.0000000000000053E-3</v>
      </c>
      <c r="BJ5" s="25">
        <v>0.5</v>
      </c>
      <c r="BK5" s="26">
        <v>0.26240000000000002</v>
      </c>
      <c r="BL5" s="27">
        <f>Trajectory!AR19*(Parameters!$L$14+(Parameters!$M$14-Parameters!$L$14)*(2025-2025)/25)</f>
        <v>0.16545969828613222</v>
      </c>
      <c r="BM5" s="28">
        <f>Trajectory!AS19*(Parameters!$L$14+(Parameters!$M$14-Parameters!$L$14)*(2025-2025)/25)</f>
        <v>8.4500000000000075E-2</v>
      </c>
      <c r="BN5" s="29">
        <f t="shared" si="20"/>
        <v>0.16545969828613222</v>
      </c>
      <c r="BO5" s="30">
        <f t="shared" si="21"/>
        <v>8.4500000000000075E-2</v>
      </c>
      <c r="BP5" s="25">
        <v>0.25</v>
      </c>
      <c r="BQ5" s="26">
        <v>4.4299999999999999E-2</v>
      </c>
      <c r="BR5" s="27">
        <f>Trajectory!AV19*(Parameters!$L$15+(Parameters!$M$15-Parameters!$L$15)*(2025-2025)/25)</f>
        <v>0.13156068134205362</v>
      </c>
      <c r="BS5" s="28">
        <f>Trajectory!AW19*(Parameters!$L$15+(Parameters!$M$15-Parameters!$L$15)*(2025-2025)/25)</f>
        <v>0.30875000000000041</v>
      </c>
      <c r="BT5" s="29">
        <f t="shared" si="22"/>
        <v>0.30875000000000041</v>
      </c>
      <c r="BU5" s="30">
        <f t="shared" si="23"/>
        <v>0.13156068134205362</v>
      </c>
    </row>
    <row r="6" spans="1:73" x14ac:dyDescent="0.3">
      <c r="A6" s="6">
        <v>2026</v>
      </c>
      <c r="B6" s="25">
        <v>5.5</v>
      </c>
      <c r="C6" s="26">
        <v>10</v>
      </c>
      <c r="D6" s="27">
        <f>Trajectory!D20*(Parameters!$L$4+(Parameters!$M$4-Parameters!$L$4)*(2026-2025)/25)</f>
        <v>2.6865505072468987</v>
      </c>
      <c r="E6" s="28">
        <f>Trajectory!E20*(Parameters!$L$4+(Parameters!$M$4-Parameters!$L$4)*(2026-2025)/25)</f>
        <v>4.9333248000000074</v>
      </c>
      <c r="F6" s="29">
        <f t="shared" si="0"/>
        <v>4.9333248000000074</v>
      </c>
      <c r="G6" s="30">
        <f t="shared" si="1"/>
        <v>2.6865505072468987</v>
      </c>
      <c r="H6" s="25">
        <v>3.5</v>
      </c>
      <c r="I6" s="26">
        <v>5</v>
      </c>
      <c r="J6" s="27">
        <f>Trajectory!H20*(Parameters!$L$5+(Parameters!$M$5-Parameters!$L$5)*(2026-2025)/25)</f>
        <v>3.7547471675784805</v>
      </c>
      <c r="K6" s="28">
        <f>Trajectory!I20*(Parameters!$L$5+(Parameters!$M$5-Parameters!$L$5)*(2026-2025)/25)</f>
        <v>4.9885919999999997</v>
      </c>
      <c r="L6" s="29">
        <f t="shared" si="2"/>
        <v>4.9885919999999997</v>
      </c>
      <c r="M6" s="30">
        <f t="shared" si="3"/>
        <v>3.7547471675784805</v>
      </c>
      <c r="N6" s="25">
        <v>1</v>
      </c>
      <c r="O6" s="26">
        <v>4.7994000000000003</v>
      </c>
      <c r="P6" s="27">
        <f>Trajectory!L20*(Parameters!$L$6+(Parameters!$M$6-Parameters!$L$6)*(2026-2025)/25)</f>
        <v>0.90414116589936833</v>
      </c>
      <c r="Q6" s="28">
        <f>Trajectory!M20*(Parameters!$L$6+(Parameters!$M$6-Parameters!$L$6)*(2026-2025)/25)</f>
        <v>0.31173119999999949</v>
      </c>
      <c r="R6" s="29">
        <f t="shared" si="4"/>
        <v>0.90414116589936833</v>
      </c>
      <c r="S6" s="30">
        <f t="shared" si="5"/>
        <v>0.31173119999999949</v>
      </c>
      <c r="T6" s="25">
        <v>0.9</v>
      </c>
      <c r="U6" s="26">
        <v>1.351</v>
      </c>
      <c r="V6" s="27">
        <f>Trajectory!P20*(Parameters!$L$7+(Parameters!$M$7-Parameters!$L$7)*(2026-2025)/25)</f>
        <v>0.88045948692412646</v>
      </c>
      <c r="W6" s="28">
        <f>Trajectory!Q20*(Parameters!$L$7+(Parameters!$M$7-Parameters!$L$7)*(2026-2025)/25)</f>
        <v>0</v>
      </c>
      <c r="X6" s="29">
        <f t="shared" si="6"/>
        <v>0.88045948692412646</v>
      </c>
      <c r="Y6" s="30">
        <f t="shared" si="7"/>
        <v>0</v>
      </c>
      <c r="Z6" s="25">
        <v>2.2000000000000002</v>
      </c>
      <c r="AA6" s="26">
        <v>5.13</v>
      </c>
      <c r="AB6" s="27">
        <f>Trajectory!T20*(Parameters!$L$8+(Parameters!$M$8-Parameters!$L$8)*(2026-2025)/25)</f>
        <v>1.2047600596047248</v>
      </c>
      <c r="AC6" s="28">
        <f>Trajectory!U20*(Parameters!$L$8+(Parameters!$M$8-Parameters!$L$8)*(2026-2025)/25)</f>
        <v>1.5802056000000031</v>
      </c>
      <c r="AD6" s="29">
        <f t="shared" si="8"/>
        <v>1.5802056000000031</v>
      </c>
      <c r="AE6" s="30">
        <f t="shared" si="9"/>
        <v>1.2047600596047248</v>
      </c>
      <c r="AF6" s="25">
        <v>1.2</v>
      </c>
      <c r="AG6" s="26">
        <v>1.2606999999999999</v>
      </c>
      <c r="AH6" s="27">
        <f>Trajectory!X20*(Parameters!$L$9+(Parameters!$M$9-Parameters!$L$9)*(2026-2025)/25)</f>
        <v>0.84629069624560216</v>
      </c>
      <c r="AI6" s="28">
        <f>Trajectory!Y20*(Parameters!$L$9+(Parameters!$M$9-Parameters!$L$9)*(2026-2025)/25)</f>
        <v>0.67576272000000059</v>
      </c>
      <c r="AJ6" s="29">
        <f t="shared" si="10"/>
        <v>0.84629069624560216</v>
      </c>
      <c r="AK6" s="30">
        <f t="shared" si="11"/>
        <v>0.67576272000000059</v>
      </c>
      <c r="AL6" s="25">
        <v>0.7</v>
      </c>
      <c r="AM6" s="26">
        <v>1.5336000000000001</v>
      </c>
      <c r="AN6" s="27">
        <f>Trajectory!AB20*(Parameters!$L$10+(Parameters!$M$10-Parameters!$L$10)*(2026-2025)/25)</f>
        <v>0.26442046154616039</v>
      </c>
      <c r="AO6" s="28">
        <f>Trajectory!AC20*(Parameters!$L$10+(Parameters!$M$10-Parameters!$L$10)*(2026-2025)/25)</f>
        <v>0.31024863999999996</v>
      </c>
      <c r="AP6" s="29">
        <f t="shared" si="12"/>
        <v>0.31024863999999996</v>
      </c>
      <c r="AQ6" s="30">
        <f t="shared" si="13"/>
        <v>0.26442046154616039</v>
      </c>
      <c r="AR6" s="25">
        <v>0.3</v>
      </c>
      <c r="AS6" s="26">
        <v>1.4371</v>
      </c>
      <c r="AT6" s="27">
        <f>Trajectory!AF20*(Parameters!$L$11+(Parameters!$M$11-Parameters!$L$11)*(2026-2025)/25)</f>
        <v>0.63412555033432916</v>
      </c>
      <c r="AU6" s="28">
        <f>Trajectory!AG20*(Parameters!$L$11+(Parameters!$M$11-Parameters!$L$11)*(2026-2025)/25)</f>
        <v>0.45883796000000088</v>
      </c>
      <c r="AV6" s="29">
        <f t="shared" si="14"/>
        <v>0.63412555033432916</v>
      </c>
      <c r="AW6" s="30">
        <f t="shared" si="15"/>
        <v>0.45883796000000088</v>
      </c>
      <c r="AX6" s="25">
        <v>1.2</v>
      </c>
      <c r="AY6" s="26">
        <v>2.2000000000000002</v>
      </c>
      <c r="AZ6" s="27">
        <f>Trajectory!AJ20*(Parameters!$L$12+(Parameters!$M$12-Parameters!$L$12)*(2026-2025)/25)</f>
        <v>0.74066921402916963</v>
      </c>
      <c r="BA6" s="28">
        <f>Trajectory!AK20*(Parameters!$L$12+(Parameters!$M$12-Parameters!$L$12)*(2026-2025)/25)</f>
        <v>0.58305280000000048</v>
      </c>
      <c r="BB6" s="29">
        <f t="shared" si="16"/>
        <v>0.74066921402916963</v>
      </c>
      <c r="BC6" s="30">
        <f t="shared" si="17"/>
        <v>0.58305280000000048</v>
      </c>
      <c r="BD6" s="25">
        <v>0.1</v>
      </c>
      <c r="BE6" s="26">
        <v>0.46400000000000002</v>
      </c>
      <c r="BF6" s="27">
        <f>Trajectory!AN20*(Parameters!$L$13+(Parameters!$M$13-Parameters!$L$13)*(2026-2025)/25)</f>
        <v>0.27830582425798867</v>
      </c>
      <c r="BG6" s="28">
        <f>Trajectory!AO20*(Parameters!$L$13+(Parameters!$M$13-Parameters!$L$13)*(2026-2025)/25)</f>
        <v>7.7660000000000064E-3</v>
      </c>
      <c r="BH6" s="29">
        <f t="shared" si="18"/>
        <v>0.27830582425798867</v>
      </c>
      <c r="BI6" s="30">
        <f t="shared" si="19"/>
        <v>7.7660000000000064E-3</v>
      </c>
      <c r="BJ6" s="25">
        <v>0.5</v>
      </c>
      <c r="BK6" s="26">
        <v>0.26240000000000002</v>
      </c>
      <c r="BL6" s="27">
        <f>Trajectory!AR20*(Parameters!$L$14+(Parameters!$M$14-Parameters!$L$14)*(2026-2025)/25)</f>
        <v>0.19258718977828859</v>
      </c>
      <c r="BM6" s="28">
        <f>Trajectory!AS20*(Parameters!$L$14+(Parameters!$M$14-Parameters!$L$14)*(2026-2025)/25)</f>
        <v>9.3808000000000155E-2</v>
      </c>
      <c r="BN6" s="29">
        <f t="shared" si="20"/>
        <v>0.19258718977828859</v>
      </c>
      <c r="BO6" s="30">
        <f t="shared" si="21"/>
        <v>9.3808000000000155E-2</v>
      </c>
      <c r="BP6" s="25">
        <v>0.25</v>
      </c>
      <c r="BQ6" s="26">
        <v>4.4299999999999999E-2</v>
      </c>
      <c r="BR6" s="27">
        <f>Trajectory!AV20*(Parameters!$L$15+(Parameters!$M$15-Parameters!$L$15)*(2026-2025)/25)</f>
        <v>0.14869969251179965</v>
      </c>
      <c r="BS6" s="28">
        <f>Trajectory!AW20*(Parameters!$L$15+(Parameters!$M$15-Parameters!$L$15)*(2026-2025)/25)</f>
        <v>0.33665112000000014</v>
      </c>
      <c r="BT6" s="29">
        <f t="shared" si="22"/>
        <v>0.33665112000000014</v>
      </c>
      <c r="BU6" s="30">
        <f t="shared" si="23"/>
        <v>0.14869969251179965</v>
      </c>
    </row>
    <row r="7" spans="1:73" x14ac:dyDescent="0.3">
      <c r="A7" s="6">
        <v>2027</v>
      </c>
      <c r="B7" s="25">
        <v>5.5</v>
      </c>
      <c r="C7" s="26">
        <v>10</v>
      </c>
      <c r="D7" s="27">
        <f>Trajectory!D21*(Parameters!$L$4+(Parameters!$M$4-Parameters!$L$4)*(2027-2025)/25)</f>
        <v>3.0601295359633056</v>
      </c>
      <c r="E7" s="28">
        <f>Trajectory!E21*(Parameters!$L$4+(Parameters!$M$4-Parameters!$L$4)*(2027-2025)/25)</f>
        <v>5.2810997760000111</v>
      </c>
      <c r="F7" s="29">
        <f t="shared" si="0"/>
        <v>5.2810997760000111</v>
      </c>
      <c r="G7" s="30">
        <f t="shared" si="1"/>
        <v>3.0601295359633056</v>
      </c>
      <c r="H7" s="25">
        <v>3.5</v>
      </c>
      <c r="I7" s="26">
        <v>5</v>
      </c>
      <c r="J7" s="27">
        <f>Trajectory!H21*(Parameters!$L$5+(Parameters!$M$5-Parameters!$L$5)*(2027-2025)/25)</f>
        <v>4.1124591795902443</v>
      </c>
      <c r="K7" s="28">
        <f>Trajectory!I21*(Parameters!$L$5+(Parameters!$M$5-Parameters!$L$5)*(2027-2025)/25)</f>
        <v>5.2898832000000127</v>
      </c>
      <c r="L7" s="29">
        <f t="shared" si="2"/>
        <v>5.2898832000000127</v>
      </c>
      <c r="M7" s="30">
        <f t="shared" si="3"/>
        <v>4.1124591795902443</v>
      </c>
      <c r="N7" s="25">
        <v>1.4069</v>
      </c>
      <c r="O7" s="26">
        <v>4.7994000000000003</v>
      </c>
      <c r="P7" s="27">
        <f>Trajectory!L21*(Parameters!$L$6+(Parameters!$M$6-Parameters!$L$6)*(2027-2025)/25)</f>
        <v>1.0623046036132751</v>
      </c>
      <c r="Q7" s="28">
        <f>Trajectory!M21*(Parameters!$L$6+(Parameters!$M$6-Parameters!$L$6)*(2027-2025)/25)</f>
        <v>0.33974899200000114</v>
      </c>
      <c r="R7" s="29">
        <f t="shared" si="4"/>
        <v>1.0623046036132751</v>
      </c>
      <c r="S7" s="30">
        <f t="shared" si="5"/>
        <v>0.33974899200000114</v>
      </c>
      <c r="T7" s="25">
        <v>0.9</v>
      </c>
      <c r="U7" s="26">
        <v>1.351</v>
      </c>
      <c r="V7" s="27">
        <f>Trajectory!P21*(Parameters!$L$7+(Parameters!$M$7-Parameters!$L$7)*(2027-2025)/25)</f>
        <v>1.0425832676598061</v>
      </c>
      <c r="W7" s="28">
        <f>Trajectory!Q21*(Parameters!$L$7+(Parameters!$M$7-Parameters!$L$7)*(2027-2025)/25)</f>
        <v>0</v>
      </c>
      <c r="X7" s="29">
        <f t="shared" si="6"/>
        <v>1.0425832676598061</v>
      </c>
      <c r="Y7" s="30">
        <f t="shared" si="7"/>
        <v>0</v>
      </c>
      <c r="Z7" s="25">
        <v>2.2000000000000002</v>
      </c>
      <c r="AA7" s="26">
        <v>5.13</v>
      </c>
      <c r="AB7" s="27">
        <f>Trajectory!T21*(Parameters!$L$8+(Parameters!$M$8-Parameters!$L$8)*(2027-2025)/25)</f>
        <v>1.3722883050962527</v>
      </c>
      <c r="AC7" s="28">
        <f>Trajectory!U21*(Parameters!$L$8+(Parameters!$M$8-Parameters!$L$8)*(2027-2025)/25)</f>
        <v>1.6916022720000043</v>
      </c>
      <c r="AD7" s="29">
        <f t="shared" si="8"/>
        <v>1.6916022720000043</v>
      </c>
      <c r="AE7" s="30">
        <f t="shared" si="9"/>
        <v>1.3722883050962527</v>
      </c>
      <c r="AF7" s="25">
        <v>1.2</v>
      </c>
      <c r="AG7" s="26">
        <v>1.2606999999999999</v>
      </c>
      <c r="AH7" s="27">
        <f>Trajectory!X21*(Parameters!$L$9+(Parameters!$M$9-Parameters!$L$9)*(2027-2025)/25)</f>
        <v>0.94321137427212787</v>
      </c>
      <c r="AI7" s="28">
        <f>Trajectory!Y21*(Parameters!$L$9+(Parameters!$M$9-Parameters!$L$9)*(2027-2025)/25)</f>
        <v>0.72340064640000235</v>
      </c>
      <c r="AJ7" s="29">
        <f t="shared" si="10"/>
        <v>0.94321137427212787</v>
      </c>
      <c r="AK7" s="30">
        <f t="shared" si="11"/>
        <v>0.72340064640000235</v>
      </c>
      <c r="AL7" s="25">
        <v>0.7</v>
      </c>
      <c r="AM7" s="26">
        <v>1.5336000000000001</v>
      </c>
      <c r="AN7" s="27">
        <f>Trajectory!AB21*(Parameters!$L$10+(Parameters!$M$10-Parameters!$L$10)*(2027-2025)/25)</f>
        <v>0.30576401170229517</v>
      </c>
      <c r="AO7" s="28">
        <f>Trajectory!AC21*(Parameters!$L$10+(Parameters!$M$10-Parameters!$L$10)*(2027-2025)/25)</f>
        <v>0.33500231959999993</v>
      </c>
      <c r="AP7" s="29">
        <f t="shared" si="12"/>
        <v>0.33500231959999993</v>
      </c>
      <c r="AQ7" s="30">
        <f t="shared" si="13"/>
        <v>0.30576401170229517</v>
      </c>
      <c r="AR7" s="25">
        <v>0.3</v>
      </c>
      <c r="AS7" s="26">
        <v>1.4371</v>
      </c>
      <c r="AT7" s="27">
        <f>Trajectory!AF21*(Parameters!$L$11+(Parameters!$M$11-Parameters!$L$11)*(2027-2025)/25)</f>
        <v>0.71182353431484224</v>
      </c>
      <c r="AU7" s="28">
        <f>Trajectory!AG21*(Parameters!$L$11+(Parameters!$M$11-Parameters!$L$11)*(2027-2025)/25)</f>
        <v>0.49099297520000146</v>
      </c>
      <c r="AV7" s="29">
        <f t="shared" si="14"/>
        <v>0.71182353431484224</v>
      </c>
      <c r="AW7" s="30">
        <f t="shared" si="15"/>
        <v>0.49099297520000146</v>
      </c>
      <c r="AX7" s="25">
        <v>2.222</v>
      </c>
      <c r="AY7" s="26">
        <v>2.2000000000000002</v>
      </c>
      <c r="AZ7" s="27">
        <f>Trajectory!AJ21*(Parameters!$L$12+(Parameters!$M$12-Parameters!$L$12)*(2027-2025)/25)</f>
        <v>0.87023613733498184</v>
      </c>
      <c r="BA7" s="28">
        <f>Trajectory!AK21*(Parameters!$L$12+(Parameters!$M$12-Parameters!$L$12)*(2027-2025)/25)</f>
        <v>0.64722416000000138</v>
      </c>
      <c r="BB7" s="29">
        <f t="shared" si="16"/>
        <v>0.87023613733498184</v>
      </c>
      <c r="BC7" s="30">
        <f t="shared" si="17"/>
        <v>0.64722416000000138</v>
      </c>
      <c r="BD7" s="25">
        <v>0.76149999999999995</v>
      </c>
      <c r="BE7" s="26">
        <v>0.46400000000000002</v>
      </c>
      <c r="BF7" s="27">
        <f>Trajectory!AN21*(Parameters!$L$13+(Parameters!$M$13-Parameters!$L$13)*(2027-2025)/25)</f>
        <v>0.32776008081928687</v>
      </c>
      <c r="BG7" s="28">
        <f>Trajectory!AO21*(Parameters!$L$13+(Parameters!$M$13-Parameters!$L$13)*(2027-2025)/25)</f>
        <v>8.615200000000019E-3</v>
      </c>
      <c r="BH7" s="29">
        <f t="shared" si="18"/>
        <v>0.32776008081928687</v>
      </c>
      <c r="BI7" s="30">
        <f t="shared" si="19"/>
        <v>8.615200000000019E-3</v>
      </c>
      <c r="BJ7" s="25">
        <v>0.5</v>
      </c>
      <c r="BK7" s="26">
        <v>0.26240000000000002</v>
      </c>
      <c r="BL7" s="27">
        <f>Trajectory!AR21*(Parameters!$L$14+(Parameters!$M$14-Parameters!$L$14)*(2027-2025)/25)</f>
        <v>0.22269922457873392</v>
      </c>
      <c r="BM7" s="28">
        <f>Trajectory!AS21*(Parameters!$L$14+(Parameters!$M$14-Parameters!$L$14)*(2027-2025)/25)</f>
        <v>0.10413260000000014</v>
      </c>
      <c r="BN7" s="29">
        <f t="shared" si="20"/>
        <v>0.22269922457873392</v>
      </c>
      <c r="BO7" s="30">
        <f t="shared" si="21"/>
        <v>0.10413260000000014</v>
      </c>
      <c r="BP7" s="25">
        <v>0.25</v>
      </c>
      <c r="BQ7" s="26">
        <v>4.4299999999999999E-2</v>
      </c>
      <c r="BR7" s="27">
        <f>Trajectory!AV21*(Parameters!$L$15+(Parameters!$M$15-Parameters!$L$15)*(2027-2025)/25)</f>
        <v>0.16691953292131703</v>
      </c>
      <c r="BS7" s="28">
        <f>Trajectory!AW21*(Parameters!$L$15+(Parameters!$M$15-Parameters!$L$15)*(2027-2025)/25)</f>
        <v>0.36704041920000008</v>
      </c>
      <c r="BT7" s="29">
        <f t="shared" si="22"/>
        <v>0.36704041920000008</v>
      </c>
      <c r="BU7" s="30">
        <f t="shared" si="23"/>
        <v>0.16691953292131703</v>
      </c>
    </row>
    <row r="8" spans="1:73" x14ac:dyDescent="0.3">
      <c r="A8" s="6">
        <v>2028</v>
      </c>
      <c r="B8" s="25">
        <v>5.5</v>
      </c>
      <c r="C8" s="26">
        <v>10</v>
      </c>
      <c r="D8" s="27">
        <f>Trajectory!D22*(Parameters!$L$4+(Parameters!$M$4-Parameters!$L$4)*(2028-2025)/25)</f>
        <v>3.4524069021430788</v>
      </c>
      <c r="E8" s="28">
        <f>Trajectory!E22*(Parameters!$L$4+(Parameters!$M$4-Parameters!$L$4)*(2028-2025)/25)</f>
        <v>5.652847779840001</v>
      </c>
      <c r="F8" s="29">
        <f t="shared" si="0"/>
        <v>5.652847779840001</v>
      </c>
      <c r="G8" s="30">
        <f t="shared" si="1"/>
        <v>3.4524069021430788</v>
      </c>
      <c r="H8" s="25">
        <v>3.5</v>
      </c>
      <c r="I8" s="26">
        <v>5</v>
      </c>
      <c r="J8" s="27">
        <f>Trajectory!H22*(Parameters!$L$5+(Parameters!$M$5-Parameters!$L$5)*(2028-2025)/25)</f>
        <v>4.4595799282819781</v>
      </c>
      <c r="K8" s="28">
        <f>Trajectory!I22*(Parameters!$L$5+(Parameters!$M$5-Parameters!$L$5)*(2028-2025)/25)</f>
        <v>5.6088320399999878</v>
      </c>
      <c r="L8" s="29">
        <f t="shared" si="2"/>
        <v>5.6088320399999878</v>
      </c>
      <c r="M8" s="30">
        <f t="shared" si="3"/>
        <v>4.4595799282819781</v>
      </c>
      <c r="N8" s="25">
        <v>1</v>
      </c>
      <c r="O8" s="26">
        <v>4.7994000000000003</v>
      </c>
      <c r="P8" s="27">
        <f>Trajectory!L22*(Parameters!$L$6+(Parameters!$M$6-Parameters!$L$6)*(2028-2025)/25)</f>
        <v>1.2367544758697546</v>
      </c>
      <c r="Q8" s="28">
        <f>Trajectory!M22*(Parameters!$L$6+(Parameters!$M$6-Parameters!$L$6)*(2028-2025)/25)</f>
        <v>0.37025455104000021</v>
      </c>
      <c r="R8" s="29">
        <f t="shared" si="4"/>
        <v>1.2367544758697546</v>
      </c>
      <c r="S8" s="30">
        <f t="shared" si="5"/>
        <v>0.37025455104000021</v>
      </c>
      <c r="T8" s="25">
        <v>2.4946999999999999</v>
      </c>
      <c r="U8" s="26">
        <v>1.351</v>
      </c>
      <c r="V8" s="27">
        <f>Trajectory!P22*(Parameters!$L$7+(Parameters!$M$7-Parameters!$L$7)*(2028-2025)/25)</f>
        <v>1.2248640661096601</v>
      </c>
      <c r="W8" s="28">
        <f>Trajectory!Q22*(Parameters!$L$7+(Parameters!$M$7-Parameters!$L$7)*(2028-2025)/25)</f>
        <v>0</v>
      </c>
      <c r="X8" s="29">
        <f t="shared" si="6"/>
        <v>1.2248640661096601</v>
      </c>
      <c r="Y8" s="30">
        <f t="shared" si="7"/>
        <v>0</v>
      </c>
      <c r="Z8" s="25">
        <v>2.2000000000000002</v>
      </c>
      <c r="AA8" s="26">
        <v>5.13</v>
      </c>
      <c r="AB8" s="27">
        <f>Trajectory!T22*(Parameters!$L$8+(Parameters!$M$8-Parameters!$L$8)*(2028-2025)/25)</f>
        <v>1.5482016563567305</v>
      </c>
      <c r="AC8" s="28">
        <f>Trajectory!U22*(Parameters!$L$8+(Parameters!$M$8-Parameters!$L$8)*(2028-2025)/25)</f>
        <v>1.8106778044800003</v>
      </c>
      <c r="AD8" s="29">
        <f t="shared" si="8"/>
        <v>1.8106778044800003</v>
      </c>
      <c r="AE8" s="30">
        <f t="shared" si="9"/>
        <v>1.5482016563567305</v>
      </c>
      <c r="AF8" s="25">
        <v>1.2</v>
      </c>
      <c r="AG8" s="26">
        <v>1.2606999999999999</v>
      </c>
      <c r="AH8" s="27">
        <f>Trajectory!X22*(Parameters!$L$9+(Parameters!$M$9-Parameters!$L$9)*(2028-2025)/25)</f>
        <v>1.042419151982972</v>
      </c>
      <c r="AI8" s="28">
        <f>Trajectory!Y22*(Parameters!$L$9+(Parameters!$M$9-Parameters!$L$9)*(2028-2025)/25)</f>
        <v>0.77432237817599969</v>
      </c>
      <c r="AJ8" s="29">
        <f t="shared" si="10"/>
        <v>1.042419151982972</v>
      </c>
      <c r="AK8" s="30">
        <f t="shared" si="11"/>
        <v>0.77432237817599969</v>
      </c>
      <c r="AL8" s="25">
        <v>0.7</v>
      </c>
      <c r="AM8" s="26">
        <v>1.5336000000000001</v>
      </c>
      <c r="AN8" s="27">
        <f>Trajectory!AB22*(Parameters!$L$10+(Parameters!$M$10-Parameters!$L$10)*(2028-2025)/25)</f>
        <v>0.35093480158878704</v>
      </c>
      <c r="AO8" s="28">
        <f>Trajectory!AC22*(Parameters!$L$10+(Parameters!$M$10-Parameters!$L$10)*(2028-2025)/25)</f>
        <v>0.36170129600799988</v>
      </c>
      <c r="AP8" s="29">
        <f t="shared" si="12"/>
        <v>0.36170129600799988</v>
      </c>
      <c r="AQ8" s="30">
        <f t="shared" si="13"/>
        <v>0.35093480158878704</v>
      </c>
      <c r="AR8" s="25">
        <v>0.3</v>
      </c>
      <c r="AS8" s="26">
        <v>1.4371</v>
      </c>
      <c r="AT8" s="27">
        <f>Trajectory!AF22*(Parameters!$L$11+(Parameters!$M$11-Parameters!$L$11)*(2028-2025)/25)</f>
        <v>0.79296596630934135</v>
      </c>
      <c r="AU8" s="28">
        <f>Trajectory!AG22*(Parameters!$L$11+(Parameters!$M$11-Parameters!$L$11)*(2028-2025)/25)</f>
        <v>0.52535477556800048</v>
      </c>
      <c r="AV8" s="29">
        <f t="shared" si="14"/>
        <v>0.79296596630934135</v>
      </c>
      <c r="AW8" s="30">
        <f t="shared" si="15"/>
        <v>0.52535477556800048</v>
      </c>
      <c r="AX8" s="25">
        <v>2.222</v>
      </c>
      <c r="AY8" s="26">
        <v>2.2000000000000002</v>
      </c>
      <c r="AZ8" s="27">
        <f>Trajectory!AJ22*(Parameters!$L$12+(Parameters!$M$12-Parameters!$L$12)*(2028-2025)/25)</f>
        <v>1.0131448496522315</v>
      </c>
      <c r="BA8" s="28">
        <f>Trajectory!AK22*(Parameters!$L$12+(Parameters!$M$12-Parameters!$L$12)*(2028-2025)/25)</f>
        <v>0.71839926399999987</v>
      </c>
      <c r="BB8" s="29">
        <f t="shared" si="16"/>
        <v>1.0131448496522315</v>
      </c>
      <c r="BC8" s="30">
        <f t="shared" si="17"/>
        <v>0.71839926399999987</v>
      </c>
      <c r="BD8" s="25">
        <v>0.46860000000000002</v>
      </c>
      <c r="BE8" s="26">
        <v>0.46400000000000002</v>
      </c>
      <c r="BF8" s="27">
        <f>Trajectory!AN22*(Parameters!$L$13+(Parameters!$M$13-Parameters!$L$13)*(2028-2025)/25)</f>
        <v>0.38094873897938214</v>
      </c>
      <c r="BG8" s="28">
        <f>Trajectory!AO22*(Parameters!$L$13+(Parameters!$M$13-Parameters!$L$13)*(2028-2025)/25)</f>
        <v>9.5565799999999916E-3</v>
      </c>
      <c r="BH8" s="29">
        <f t="shared" si="18"/>
        <v>0.38094873897938214</v>
      </c>
      <c r="BI8" s="30">
        <f t="shared" si="19"/>
        <v>9.5565799999999916E-3</v>
      </c>
      <c r="BJ8" s="25">
        <v>0.5</v>
      </c>
      <c r="BK8" s="26">
        <v>0.26240000000000002</v>
      </c>
      <c r="BL8" s="27">
        <f>Trajectory!AR22*(Parameters!$L$14+(Parameters!$M$14-Parameters!$L$14)*(2028-2025)/25)</f>
        <v>0.25559877945219933</v>
      </c>
      <c r="BM8" s="28">
        <f>Trajectory!AS22*(Parameters!$L$14+(Parameters!$M$14-Parameters!$L$14)*(2028-2025)/25)</f>
        <v>0.11558403999999987</v>
      </c>
      <c r="BN8" s="29">
        <f t="shared" si="20"/>
        <v>0.25559877945219933</v>
      </c>
      <c r="BO8" s="30">
        <f t="shared" si="21"/>
        <v>0.11558403999999987</v>
      </c>
      <c r="BP8" s="25">
        <v>0.25</v>
      </c>
      <c r="BQ8" s="26">
        <v>4.4299999999999999E-2</v>
      </c>
      <c r="BR8" s="27">
        <f>Trajectory!AV22*(Parameters!$L$15+(Parameters!$M$15-Parameters!$L$15)*(2028-2025)/25)</f>
        <v>0.18594708145784972</v>
      </c>
      <c r="BS8" s="28">
        <f>Trajectory!AW22*(Parameters!$L$15+(Parameters!$M$15-Parameters!$L$15)*(2028-2025)/25)</f>
        <v>0.40013743910400085</v>
      </c>
      <c r="BT8" s="29">
        <f t="shared" si="22"/>
        <v>0.40013743910400085</v>
      </c>
      <c r="BU8" s="30">
        <f t="shared" si="23"/>
        <v>0.18594708145784972</v>
      </c>
    </row>
    <row r="9" spans="1:73" x14ac:dyDescent="0.3">
      <c r="A9" s="6">
        <v>2029</v>
      </c>
      <c r="B9" s="25">
        <v>5.5</v>
      </c>
      <c r="C9" s="26">
        <v>10</v>
      </c>
      <c r="D9" s="27">
        <f>Trajectory!D23*(Parameters!$L$4+(Parameters!$M$4-Parameters!$L$4)*(2029-2025)/25)</f>
        <v>3.8535566264023178</v>
      </c>
      <c r="E9" s="28">
        <f>Trajectory!E23*(Parameters!$L$4+(Parameters!$M$4-Parameters!$L$4)*(2029-2025)/25)</f>
        <v>6.0501935849472233</v>
      </c>
      <c r="F9" s="29">
        <f t="shared" si="0"/>
        <v>6.0501935849472233</v>
      </c>
      <c r="G9" s="30">
        <f t="shared" si="1"/>
        <v>3.8535566264023178</v>
      </c>
      <c r="H9" s="25">
        <v>3.5</v>
      </c>
      <c r="I9" s="26">
        <v>5</v>
      </c>
      <c r="J9" s="27">
        <f>Trajectory!H23*(Parameters!$L$5+(Parameters!$M$5-Parameters!$L$5)*(2029-2025)/25)</f>
        <v>4.7845767859059709</v>
      </c>
      <c r="K9" s="28">
        <f>Trajectory!I23*(Parameters!$L$5+(Parameters!$M$5-Parameters!$L$5)*(2029-2025)/25)</f>
        <v>5.9464510560000061</v>
      </c>
      <c r="L9" s="29">
        <f t="shared" si="2"/>
        <v>5.9464510560000061</v>
      </c>
      <c r="M9" s="30">
        <f t="shared" si="3"/>
        <v>4.7845767859059709</v>
      </c>
      <c r="N9" s="25">
        <v>1</v>
      </c>
      <c r="O9" s="26">
        <v>4.7994000000000003</v>
      </c>
      <c r="P9" s="27">
        <f>Trajectory!L23*(Parameters!$L$6+(Parameters!$M$6-Parameters!$L$6)*(2029-2025)/25)</f>
        <v>1.4247448259261326</v>
      </c>
      <c r="Q9" s="28">
        <f>Trajectory!M23*(Parameters!$L$6+(Parameters!$M$6-Parameters!$L$6)*(2029-2025)/25)</f>
        <v>0.40346660597759998</v>
      </c>
      <c r="R9" s="29">
        <f t="shared" si="4"/>
        <v>1.4247448259261326</v>
      </c>
      <c r="S9" s="30">
        <f t="shared" si="5"/>
        <v>0.40346660597759998</v>
      </c>
      <c r="T9" s="25">
        <v>0.9</v>
      </c>
      <c r="U9" s="26">
        <v>1.351</v>
      </c>
      <c r="V9" s="27">
        <f>Trajectory!P23*(Parameters!$L$7+(Parameters!$M$7-Parameters!$L$7)*(2029-2025)/25)</f>
        <v>1.4258941333215147</v>
      </c>
      <c r="W9" s="28">
        <f>Trajectory!Q23*(Parameters!$L$7+(Parameters!$M$7-Parameters!$L$7)*(2029-2025)/25)</f>
        <v>0</v>
      </c>
      <c r="X9" s="29">
        <f t="shared" si="6"/>
        <v>1.4258941333215147</v>
      </c>
      <c r="Y9" s="30">
        <f t="shared" si="7"/>
        <v>0</v>
      </c>
      <c r="Z9" s="25">
        <v>2.2000000000000002</v>
      </c>
      <c r="AA9" s="26">
        <v>5.13</v>
      </c>
      <c r="AB9" s="27">
        <f>Trajectory!T23*(Parameters!$L$8+(Parameters!$M$8-Parameters!$L$8)*(2029-2025)/25)</f>
        <v>1.7280937389382092</v>
      </c>
      <c r="AC9" s="28">
        <f>Trajectory!U23*(Parameters!$L$8+(Parameters!$M$8-Parameters!$L$8)*(2029-2025)/25)</f>
        <v>1.9379526326784047</v>
      </c>
      <c r="AD9" s="29">
        <f t="shared" si="8"/>
        <v>1.9379526326784047</v>
      </c>
      <c r="AE9" s="30">
        <f t="shared" si="9"/>
        <v>1.7280937389382092</v>
      </c>
      <c r="AF9" s="25">
        <v>1.2</v>
      </c>
      <c r="AG9" s="26">
        <v>1.2606999999999999</v>
      </c>
      <c r="AH9" s="27">
        <f>Trajectory!X23*(Parameters!$L$9+(Parameters!$M$9-Parameters!$L$9)*(2029-2025)/25)</f>
        <v>1.141512312822087</v>
      </c>
      <c r="AI9" s="28">
        <f>Trajectory!Y23*(Parameters!$L$9+(Parameters!$M$9-Parameters!$L$9)*(2029-2025)/25)</f>
        <v>0.82875047543808278</v>
      </c>
      <c r="AJ9" s="29">
        <f t="shared" si="10"/>
        <v>1.141512312822087</v>
      </c>
      <c r="AK9" s="30">
        <f t="shared" si="11"/>
        <v>0.82875047543808278</v>
      </c>
      <c r="AL9" s="25">
        <v>0.7</v>
      </c>
      <c r="AM9" s="26">
        <v>1.5336000000000001</v>
      </c>
      <c r="AN9" s="27">
        <f>Trajectory!AB23*(Parameters!$L$10+(Parameters!$M$10-Parameters!$L$10)*(2029-2025)/25)</f>
        <v>0.39937040211651631</v>
      </c>
      <c r="AO9" s="28">
        <f>Trajectory!AC23*(Parameters!$L$10+(Parameters!$M$10-Parameters!$L$10)*(2029-2025)/25)</f>
        <v>0.39049661774708061</v>
      </c>
      <c r="AP9" s="29">
        <f t="shared" si="12"/>
        <v>0.39937040211651631</v>
      </c>
      <c r="AQ9" s="30">
        <f t="shared" si="13"/>
        <v>0.39049661774708061</v>
      </c>
      <c r="AR9" s="25">
        <v>0.3</v>
      </c>
      <c r="AS9" s="26">
        <v>1.4371</v>
      </c>
      <c r="AT9" s="27">
        <f>Trajectory!AF23*(Parameters!$L$11+(Parameters!$M$11-Parameters!$L$11)*(2029-2025)/25)</f>
        <v>0.87596059830067374</v>
      </c>
      <c r="AU9" s="28">
        <f>Trajectory!AG23*(Parameters!$L$11+(Parameters!$M$11-Parameters!$L$11)*(2029-2025)/25)</f>
        <v>0.56207241726944124</v>
      </c>
      <c r="AV9" s="29">
        <f t="shared" si="14"/>
        <v>0.87596059830067374</v>
      </c>
      <c r="AW9" s="30">
        <f t="shared" si="15"/>
        <v>0.56207241726944124</v>
      </c>
      <c r="AX9" s="25">
        <v>1.2</v>
      </c>
      <c r="AY9" s="26">
        <v>2.2000000000000002</v>
      </c>
      <c r="AZ9" s="27">
        <f>Trajectory!AJ23*(Parameters!$L$12+(Parameters!$M$12-Parameters!$L$12)*(2029-2025)/25)</f>
        <v>1.1671458730243105</v>
      </c>
      <c r="BA9" s="28">
        <f>Trajectory!AK23*(Parameters!$L$12+(Parameters!$M$12-Parameters!$L$12)*(2029-2025)/25)</f>
        <v>0.79733714720000071</v>
      </c>
      <c r="BB9" s="29">
        <f t="shared" si="16"/>
        <v>1.1671458730243105</v>
      </c>
      <c r="BC9" s="30">
        <f t="shared" si="17"/>
        <v>0.79733714720000071</v>
      </c>
      <c r="BD9" s="25">
        <v>0.3</v>
      </c>
      <c r="BE9" s="26">
        <v>0.46400000000000002</v>
      </c>
      <c r="BF9" s="27">
        <f>Trajectory!AN23*(Parameters!$L$13+(Parameters!$M$13-Parameters!$L$13)*(2029-2025)/25)</f>
        <v>0.43610624131560538</v>
      </c>
      <c r="BG9" s="28">
        <f>Trajectory!AO23*(Parameters!$L$13+(Parameters!$M$13-Parameters!$L$13)*(2029-2025)/25)</f>
        <v>1.0600084000000011E-2</v>
      </c>
      <c r="BH9" s="29">
        <f t="shared" si="18"/>
        <v>0.43610624131560538</v>
      </c>
      <c r="BI9" s="30">
        <f t="shared" si="19"/>
        <v>1.0600084000000011E-2</v>
      </c>
      <c r="BJ9" s="25">
        <v>0.5</v>
      </c>
      <c r="BK9" s="26">
        <v>0.26240000000000002</v>
      </c>
      <c r="BL9" s="27">
        <f>Trajectory!AR23*(Parameters!$L$14+(Parameters!$M$14-Parameters!$L$14)*(2029-2025)/25)</f>
        <v>0.29087621651707146</v>
      </c>
      <c r="BM9" s="28">
        <f>Trajectory!AS23*(Parameters!$L$14+(Parameters!$M$14-Parameters!$L$14)*(2029-2025)/25)</f>
        <v>0.12828444200000022</v>
      </c>
      <c r="BN9" s="29">
        <f t="shared" si="20"/>
        <v>0.29087621651707146</v>
      </c>
      <c r="BO9" s="30">
        <f t="shared" si="21"/>
        <v>0.12828444200000022</v>
      </c>
      <c r="BP9" s="25">
        <v>0.31309999999999999</v>
      </c>
      <c r="BQ9" s="26">
        <v>4.4299999999999999E-2</v>
      </c>
      <c r="BR9" s="27">
        <f>Trajectory!AV23*(Parameters!$L$15+(Parameters!$M$15-Parameters!$L$15)*(2029-2025)/25)</f>
        <v>0.20540896286403831</v>
      </c>
      <c r="BS9" s="28">
        <f>Trajectory!AW23*(Parameters!$L$15+(Parameters!$M$15-Parameters!$L$15)*(2029-2025)/25)</f>
        <v>0.43618092350975962</v>
      </c>
      <c r="BT9" s="29">
        <f t="shared" si="22"/>
        <v>0.43618092350975962</v>
      </c>
      <c r="BU9" s="30">
        <f t="shared" si="23"/>
        <v>0.20540896286403831</v>
      </c>
    </row>
    <row r="10" spans="1:73" x14ac:dyDescent="0.3">
      <c r="A10" s="6">
        <v>2030</v>
      </c>
      <c r="B10" s="25">
        <v>5.5</v>
      </c>
      <c r="C10" s="26">
        <v>10</v>
      </c>
      <c r="D10" s="27">
        <f>Trajectory!D24*(Parameters!$L$4+(Parameters!$M$4-Parameters!$L$4)*(2030-2025)/25)</f>
        <v>4.2508663805276425</v>
      </c>
      <c r="E10" s="28">
        <f>Trajectory!E24*(Parameters!$L$4+(Parameters!$M$4-Parameters!$L$4)*(2030-2025)/25)</f>
        <v>6.4748706346598377</v>
      </c>
      <c r="F10" s="29">
        <f t="shared" si="0"/>
        <v>6.4748706346598377</v>
      </c>
      <c r="G10" s="30">
        <f t="shared" si="1"/>
        <v>4.2508663805276425</v>
      </c>
      <c r="H10" s="25">
        <v>3.5</v>
      </c>
      <c r="I10" s="26">
        <v>5</v>
      </c>
      <c r="J10" s="27">
        <f>Trajectory!H24*(Parameters!$L$5+(Parameters!$M$5-Parameters!$L$5)*(2030-2025)/25)</f>
        <v>5.0753364462846671</v>
      </c>
      <c r="K10" s="28">
        <f>Trajectory!I24*(Parameters!$L$5+(Parameters!$M$5-Parameters!$L$5)*(2030-2025)/25)</f>
        <v>6.3038098934999889</v>
      </c>
      <c r="L10" s="29">
        <f t="shared" si="2"/>
        <v>6.3038098934999889</v>
      </c>
      <c r="M10" s="30">
        <f t="shared" si="3"/>
        <v>5.0753364462846671</v>
      </c>
      <c r="N10" s="25">
        <v>1</v>
      </c>
      <c r="O10" s="26">
        <v>4.7994000000000003</v>
      </c>
      <c r="P10" s="27">
        <f>Trajectory!L24*(Parameters!$L$6+(Parameters!$M$6-Parameters!$L$6)*(2030-2025)/25)</f>
        <v>1.62169790350845</v>
      </c>
      <c r="Q10" s="28">
        <f>Trajectory!M24*(Parameters!$L$6+(Parameters!$M$6-Parameters!$L$6)*(2030-2025)/25)</f>
        <v>0.43962296057856026</v>
      </c>
      <c r="R10" s="29">
        <f t="shared" si="4"/>
        <v>1.62169790350845</v>
      </c>
      <c r="S10" s="30">
        <f t="shared" si="5"/>
        <v>0.43962296057856026</v>
      </c>
      <c r="T10" s="25">
        <v>0.9</v>
      </c>
      <c r="U10" s="26">
        <v>1.351</v>
      </c>
      <c r="V10" s="27">
        <f>Trajectory!P24*(Parameters!$L$7+(Parameters!$M$7-Parameters!$L$7)*(2030-2025)/25)</f>
        <v>1.6425040987283586</v>
      </c>
      <c r="W10" s="28">
        <f>Trajectory!Q24*(Parameters!$L$7+(Parameters!$M$7-Parameters!$L$7)*(2030-2025)/25)</f>
        <v>0</v>
      </c>
      <c r="X10" s="29">
        <f t="shared" si="6"/>
        <v>1.6425040987283586</v>
      </c>
      <c r="Y10" s="30">
        <f t="shared" si="7"/>
        <v>0</v>
      </c>
      <c r="Z10" s="25">
        <v>2.2000000000000002</v>
      </c>
      <c r="AA10" s="26">
        <v>5.13</v>
      </c>
      <c r="AB10" s="27">
        <f>Trajectory!T24*(Parameters!$L$8+(Parameters!$M$8-Parameters!$L$8)*(2030-2025)/25)</f>
        <v>1.9062638205243876</v>
      </c>
      <c r="AC10" s="28">
        <f>Trajectory!U24*(Parameters!$L$8+(Parameters!$M$8-Parameters!$L$8)*(2030-2025)/25)</f>
        <v>2.0739820001644804</v>
      </c>
      <c r="AD10" s="29">
        <f t="shared" si="8"/>
        <v>2.0739820001644804</v>
      </c>
      <c r="AE10" s="30">
        <f t="shared" si="9"/>
        <v>1.9062638205243876</v>
      </c>
      <c r="AF10" s="25">
        <v>3.3420999999999998</v>
      </c>
      <c r="AG10" s="26">
        <v>1.2606999999999999</v>
      </c>
      <c r="AH10" s="27">
        <f>Trajectory!X24*(Parameters!$L$9+(Parameters!$M$9-Parameters!$L$9)*(2030-2025)/25)</f>
        <v>1.2376329382433895</v>
      </c>
      <c r="AI10" s="28">
        <f>Trajectory!Y24*(Parameters!$L$9+(Parameters!$M$9-Parameters!$L$9)*(2030-2025)/25)</f>
        <v>0.88692238381017707</v>
      </c>
      <c r="AJ10" s="29">
        <f t="shared" si="10"/>
        <v>1.2376329382433895</v>
      </c>
      <c r="AK10" s="30">
        <f t="shared" si="11"/>
        <v>0.88692238381017707</v>
      </c>
      <c r="AL10" s="25">
        <v>0.7</v>
      </c>
      <c r="AM10" s="26">
        <v>1.5336000000000001</v>
      </c>
      <c r="AN10" s="27">
        <f>Trajectory!AB24*(Parameters!$L$10+(Parameters!$M$10-Parameters!$L$10)*(2030-2025)/25)</f>
        <v>0.45016321553362509</v>
      </c>
      <c r="AO10" s="28">
        <f>Trajectory!AC24*(Parameters!$L$10+(Parameters!$M$10-Parameters!$L$10)*(2030-2025)/25)</f>
        <v>0.42155094817919125</v>
      </c>
      <c r="AP10" s="29">
        <f t="shared" si="12"/>
        <v>0.45016321553362509</v>
      </c>
      <c r="AQ10" s="30">
        <f t="shared" si="13"/>
        <v>0.42155094817919125</v>
      </c>
      <c r="AR10" s="25">
        <v>0.3</v>
      </c>
      <c r="AS10" s="26">
        <v>1.4371</v>
      </c>
      <c r="AT10" s="27">
        <f>Trajectory!AF24*(Parameters!$L$11+(Parameters!$M$11-Parameters!$L$11)*(2030-2025)/25)</f>
        <v>0.95878952047321975</v>
      </c>
      <c r="AU10" s="28">
        <f>Trajectory!AG24*(Parameters!$L$11+(Parameters!$M$11-Parameters!$L$11)*(2030-2025)/25)</f>
        <v>0.60130489878300919</v>
      </c>
      <c r="AV10" s="29">
        <f t="shared" si="14"/>
        <v>0.95878952047321975</v>
      </c>
      <c r="AW10" s="30">
        <f t="shared" si="15"/>
        <v>0.60130489878300919</v>
      </c>
      <c r="AX10" s="25">
        <v>1.2</v>
      </c>
      <c r="AY10" s="26">
        <v>2.2000000000000002</v>
      </c>
      <c r="AZ10" s="27">
        <f>Trajectory!AJ24*(Parameters!$L$12+(Parameters!$M$12-Parameters!$L$12)*(2030-2025)/25)</f>
        <v>1.3284891307758968</v>
      </c>
      <c r="BA10" s="28">
        <f>Trajectory!AK24*(Parameters!$L$12+(Parameters!$M$12-Parameters!$L$12)*(2030-2025)/25)</f>
        <v>0.88487861440000282</v>
      </c>
      <c r="BB10" s="29">
        <f t="shared" si="16"/>
        <v>1.3284891307758968</v>
      </c>
      <c r="BC10" s="30">
        <f t="shared" si="17"/>
        <v>0.88487861440000282</v>
      </c>
      <c r="BD10" s="25">
        <v>0.35549999999999998</v>
      </c>
      <c r="BE10" s="26">
        <v>0.46400000000000002</v>
      </c>
      <c r="BF10" s="27">
        <f>Trajectory!AN24*(Parameters!$L$13+(Parameters!$M$13-Parameters!$L$13)*(2030-2025)/25)</f>
        <v>0.49074351226189511</v>
      </c>
      <c r="BG10" s="28">
        <f>Trajectory!AO24*(Parameters!$L$13+(Parameters!$M$13-Parameters!$L$13)*(2030-2025)/25)</f>
        <v>1.1756723000000007E-2</v>
      </c>
      <c r="BH10" s="29">
        <f t="shared" si="18"/>
        <v>0.49074351226189511</v>
      </c>
      <c r="BI10" s="30">
        <f t="shared" si="19"/>
        <v>1.1756723000000007E-2</v>
      </c>
      <c r="BJ10" s="25">
        <v>0.5</v>
      </c>
      <c r="BK10" s="26">
        <v>0.26240000000000002</v>
      </c>
      <c r="BL10" s="27">
        <f>Trajectory!AR24*(Parameters!$L$14+(Parameters!$M$14-Parameters!$L$14)*(2030-2025)/25)</f>
        <v>0.32787049880420965</v>
      </c>
      <c r="BM10" s="28">
        <f>Trajectory!AS24*(Parameters!$L$14+(Parameters!$M$14-Parameters!$L$14)*(2030-2025)/25)</f>
        <v>0.1423690840000004</v>
      </c>
      <c r="BN10" s="29">
        <f t="shared" si="20"/>
        <v>0.32787049880420965</v>
      </c>
      <c r="BO10" s="30">
        <f t="shared" si="21"/>
        <v>0.1423690840000004</v>
      </c>
      <c r="BP10" s="25">
        <v>0.25</v>
      </c>
      <c r="BQ10" s="26">
        <v>4.4299999999999999E-2</v>
      </c>
      <c r="BR10" s="27">
        <f>Trajectory!AV24*(Parameters!$L$15+(Parameters!$M$15-Parameters!$L$15)*(2030-2025)/25)</f>
        <v>0.22483198603610219</v>
      </c>
      <c r="BS10" s="28">
        <f>Trajectory!AW24*(Parameters!$L$15+(Parameters!$M$15-Parameters!$L$15)*(2030-2025)/25)</f>
        <v>0.47543048581017733</v>
      </c>
      <c r="BT10" s="29">
        <f t="shared" si="22"/>
        <v>0.47543048581017733</v>
      </c>
      <c r="BU10" s="30">
        <f t="shared" si="23"/>
        <v>0.22483198603610219</v>
      </c>
    </row>
    <row r="11" spans="1:73" x14ac:dyDescent="0.3">
      <c r="A11" s="6">
        <v>2031</v>
      </c>
      <c r="B11" s="25">
        <v>5.5</v>
      </c>
      <c r="C11" s="26">
        <v>10</v>
      </c>
      <c r="D11" s="27">
        <f>Trajectory!D25*(Parameters!$L$4+(Parameters!$M$4-Parameters!$L$4)*(2031-2025)/25)</f>
        <v>4.6291591162414205</v>
      </c>
      <c r="E11" s="28">
        <f>Trajectory!E25*(Parameters!$L$4+(Parameters!$M$4-Parameters!$L$4)*(2031-2025)/25)</f>
        <v>6.9287282334322065</v>
      </c>
      <c r="F11" s="29">
        <f t="shared" si="0"/>
        <v>6.9287282334322065</v>
      </c>
      <c r="G11" s="30">
        <f t="shared" si="1"/>
        <v>4.6291591162414205</v>
      </c>
      <c r="H11" s="25">
        <v>3.5</v>
      </c>
      <c r="I11" s="26">
        <v>5</v>
      </c>
      <c r="J11" s="27">
        <f>Trajectory!H25*(Parameters!$L$5+(Parameters!$M$5-Parameters!$L$5)*(2031-2025)/25)</f>
        <v>5.3200097420371391</v>
      </c>
      <c r="K11" s="28">
        <f>Trajectory!I25*(Parameters!$L$5+(Parameters!$M$5-Parameters!$L$5)*(2031-2025)/25)</f>
        <v>6.6820384871100176</v>
      </c>
      <c r="L11" s="29">
        <f t="shared" si="2"/>
        <v>6.6820384871100176</v>
      </c>
      <c r="M11" s="30">
        <f t="shared" si="3"/>
        <v>5.3200097420371391</v>
      </c>
      <c r="N11" s="25">
        <v>1.3</v>
      </c>
      <c r="O11" s="26">
        <v>4.7994000000000003</v>
      </c>
      <c r="P11" s="27">
        <f>Trajectory!L25*(Parameters!$L$6+(Parameters!$M$6-Parameters!$L$6)*(2031-2025)/25)</f>
        <v>1.821051790302197</v>
      </c>
      <c r="Q11" s="28">
        <f>Trajectory!M25*(Parameters!$L$6+(Parameters!$M$6-Parameters!$L$6)*(2031-2025)/25)</f>
        <v>0.47898214563741653</v>
      </c>
      <c r="R11" s="29">
        <f t="shared" si="4"/>
        <v>1.821051790302197</v>
      </c>
      <c r="S11" s="30">
        <f t="shared" si="5"/>
        <v>0.47898214563741653</v>
      </c>
      <c r="T11" s="25">
        <v>1.05</v>
      </c>
      <c r="U11" s="26">
        <v>1.351</v>
      </c>
      <c r="V11" s="27">
        <f>Trajectory!P25*(Parameters!$L$7+(Parameters!$M$7-Parameters!$L$7)*(2031-2025)/25)</f>
        <v>1.8694141067957972</v>
      </c>
      <c r="W11" s="28">
        <f>Trajectory!Q25*(Parameters!$L$7+(Parameters!$M$7-Parameters!$L$7)*(2031-2025)/25)</f>
        <v>0</v>
      </c>
      <c r="X11" s="29">
        <f t="shared" si="6"/>
        <v>1.8694141067957972</v>
      </c>
      <c r="Y11" s="30">
        <f t="shared" si="7"/>
        <v>0</v>
      </c>
      <c r="Z11" s="25">
        <v>2.7</v>
      </c>
      <c r="AA11" s="26">
        <v>5.13</v>
      </c>
      <c r="AB11" s="27">
        <f>Trajectory!T25*(Parameters!$L$8+(Parameters!$M$8-Parameters!$L$8)*(2031-2025)/25)</f>
        <v>2.0759058866598212</v>
      </c>
      <c r="AC11" s="28">
        <f>Trajectory!U25*(Parameters!$L$8+(Parameters!$M$8-Parameters!$L$8)*(2031-2025)/25)</f>
        <v>2.2193582622712564</v>
      </c>
      <c r="AD11" s="29">
        <f t="shared" si="8"/>
        <v>2.2193582622712564</v>
      </c>
      <c r="AE11" s="30">
        <f t="shared" si="9"/>
        <v>2.0759058866598212</v>
      </c>
      <c r="AF11" s="25">
        <v>1.7</v>
      </c>
      <c r="AG11" s="26">
        <v>1.2606999999999999</v>
      </c>
      <c r="AH11" s="27">
        <f>Trajectory!X25*(Parameters!$L$9+(Parameters!$M$9-Parameters!$L$9)*(2031-2025)/25)</f>
        <v>1.32758362627612</v>
      </c>
      <c r="AI11" s="28">
        <f>Trajectory!Y25*(Parameters!$L$9+(Parameters!$M$9-Parameters!$L$9)*(2031-2025)/25)</f>
        <v>0.94909141947534714</v>
      </c>
      <c r="AJ11" s="29">
        <f t="shared" si="10"/>
        <v>1.32758362627612</v>
      </c>
      <c r="AK11" s="30">
        <f t="shared" si="11"/>
        <v>0.94909141947534714</v>
      </c>
      <c r="AL11" s="25">
        <v>0.9</v>
      </c>
      <c r="AM11" s="26">
        <v>1.5336000000000001</v>
      </c>
      <c r="AN11" s="27">
        <f>Trajectory!AB25*(Parameters!$L$10+(Parameters!$M$10-Parameters!$L$10)*(2031-2025)/25)</f>
        <v>0.50202906537434544</v>
      </c>
      <c r="AO11" s="28">
        <f>Trajectory!AC25*(Parameters!$L$10+(Parameters!$M$10-Parameters!$L$10)*(2031-2025)/25)</f>
        <v>0.4550394514448397</v>
      </c>
      <c r="AP11" s="29">
        <f t="shared" si="12"/>
        <v>0.50202906537434544</v>
      </c>
      <c r="AQ11" s="30">
        <f t="shared" si="13"/>
        <v>0.4550394514448397</v>
      </c>
      <c r="AR11" s="25">
        <v>0.5</v>
      </c>
      <c r="AS11" s="26">
        <v>1.4371</v>
      </c>
      <c r="AT11" s="27">
        <f>Trajectory!AF25*(Parameters!$L$11+(Parameters!$M$11-Parameters!$L$11)*(2031-2025)/25)</f>
        <v>1.0390554797608929</v>
      </c>
      <c r="AU11" s="28">
        <f>Trajectory!AG25*(Parameters!$L$11+(Parameters!$M$11-Parameters!$L$11)*(2031-2025)/25)</f>
        <v>0.64322181737603579</v>
      </c>
      <c r="AV11" s="29">
        <f t="shared" si="14"/>
        <v>1.0390554797608929</v>
      </c>
      <c r="AW11" s="30">
        <f t="shared" si="15"/>
        <v>0.64322181737603579</v>
      </c>
      <c r="AX11" s="25">
        <v>1.4</v>
      </c>
      <c r="AY11" s="26">
        <v>2.2000000000000002</v>
      </c>
      <c r="AZ11" s="27">
        <f>Trajectory!AJ25*(Parameters!$L$12+(Parameters!$M$12-Parameters!$L$12)*(2031-2025)/25)</f>
        <v>1.4917991228591632</v>
      </c>
      <c r="BA11" s="28">
        <f>Trajectory!AK25*(Parameters!$L$12+(Parameters!$M$12-Parameters!$L$12)*(2031-2025)/25)</f>
        <v>0.98195500356800203</v>
      </c>
      <c r="BB11" s="29">
        <f t="shared" si="16"/>
        <v>1.4917991228591632</v>
      </c>
      <c r="BC11" s="30">
        <f t="shared" si="17"/>
        <v>0.98195500356800203</v>
      </c>
      <c r="BD11" s="25">
        <v>0.5</v>
      </c>
      <c r="BE11" s="26">
        <v>0.46400000000000002</v>
      </c>
      <c r="BF11" s="27">
        <f>Trajectory!AN25*(Parameters!$L$13+(Parameters!$M$13-Parameters!$L$13)*(2031-2025)/25)</f>
        <v>0.54175064274301854</v>
      </c>
      <c r="BG11" s="28">
        <f>Trajectory!AO25*(Parameters!$L$13+(Parameters!$M$13-Parameters!$L$13)*(2031-2025)/25)</f>
        <v>1.3038688960000036E-2</v>
      </c>
      <c r="BH11" s="29">
        <f t="shared" si="18"/>
        <v>0.54175064274301854</v>
      </c>
      <c r="BI11" s="30">
        <f t="shared" si="19"/>
        <v>1.3038688960000036E-2</v>
      </c>
      <c r="BJ11" s="25">
        <v>0.75</v>
      </c>
      <c r="BK11" s="26">
        <v>0.26240000000000002</v>
      </c>
      <c r="BL11" s="27">
        <f>Trajectory!AR25*(Parameters!$L$14+(Parameters!$M$14-Parameters!$L$14)*(2031-2025)/25)</f>
        <v>0.36564631315639518</v>
      </c>
      <c r="BM11" s="28">
        <f>Trajectory!AS25*(Parameters!$L$14+(Parameters!$M$14-Parameters!$L$14)*(2031-2025)/25)</f>
        <v>0.15798780998000039</v>
      </c>
      <c r="BN11" s="29">
        <f t="shared" si="20"/>
        <v>0.36564631315639518</v>
      </c>
      <c r="BO11" s="30">
        <f t="shared" si="21"/>
        <v>0.15798780998000039</v>
      </c>
      <c r="BP11" s="25">
        <v>0.42499999999999999</v>
      </c>
      <c r="BQ11" s="26">
        <v>4.4299999999999999E-2</v>
      </c>
      <c r="BR11" s="27">
        <f>Trajectory!AV25*(Parameters!$L$15+(Parameters!$M$15-Parameters!$L$15)*(2031-2025)/25)</f>
        <v>0.2436540055225408</v>
      </c>
      <c r="BS11" s="28">
        <f>Trajectory!AW25*(Parameters!$L$15+(Parameters!$M$15-Parameters!$L$15)*(2031-2025)/25)</f>
        <v>0.51816842016819664</v>
      </c>
      <c r="BT11" s="29">
        <f t="shared" si="22"/>
        <v>0.51816842016819664</v>
      </c>
      <c r="BU11" s="30">
        <f t="shared" si="23"/>
        <v>0.2436540055225408</v>
      </c>
    </row>
    <row r="12" spans="1:73" x14ac:dyDescent="0.3">
      <c r="A12" s="6">
        <v>2032</v>
      </c>
      <c r="B12" s="25">
        <v>5.5</v>
      </c>
      <c r="C12" s="26">
        <v>10</v>
      </c>
      <c r="D12" s="27">
        <f>Trajectory!D26*(Parameters!$L$4+(Parameters!$M$4-Parameters!$L$4)*(2032-2025)/25)</f>
        <v>4.9716715625366135</v>
      </c>
      <c r="E12" s="28">
        <f>Trajectory!E26*(Parameters!$L$4+(Parameters!$M$4-Parameters!$L$4)*(2032-2025)/25)</f>
        <v>7.4137392097724311</v>
      </c>
      <c r="F12" s="29">
        <f t="shared" si="0"/>
        <v>7.4137392097724311</v>
      </c>
      <c r="G12" s="30">
        <f t="shared" si="1"/>
        <v>4.9716715625366135</v>
      </c>
      <c r="H12" s="25">
        <v>3.5</v>
      </c>
      <c r="I12" s="26">
        <v>5</v>
      </c>
      <c r="J12" s="27">
        <f>Trajectory!H26*(Parameters!$L$5+(Parameters!$M$5-Parameters!$L$5)*(2032-2025)/25)</f>
        <v>5.5079691299513582</v>
      </c>
      <c r="K12" s="28">
        <f>Trajectory!I26*(Parameters!$L$5+(Parameters!$M$5-Parameters!$L$5)*(2032-2025)/25)</f>
        <v>7.0823304153472364</v>
      </c>
      <c r="L12" s="29">
        <f t="shared" si="2"/>
        <v>7.0823304153472364</v>
      </c>
      <c r="M12" s="30">
        <f t="shared" si="3"/>
        <v>5.5079691299513582</v>
      </c>
      <c r="N12" s="25">
        <v>1.3</v>
      </c>
      <c r="O12" s="26">
        <v>4.7994000000000003</v>
      </c>
      <c r="P12" s="27">
        <f>Trajectory!L26*(Parameters!$L$6+(Parameters!$M$6-Parameters!$L$6)*(2032-2025)/25)</f>
        <v>2.0143657270853756</v>
      </c>
      <c r="Q12" s="28">
        <f>Trajectory!M26*(Parameters!$L$6+(Parameters!$M$6-Parameters!$L$6)*(2032-2025)/25)</f>
        <v>0.52182521335798859</v>
      </c>
      <c r="R12" s="29">
        <f t="shared" si="4"/>
        <v>2.0143657270853756</v>
      </c>
      <c r="S12" s="30">
        <f t="shared" si="5"/>
        <v>0.52182521335798859</v>
      </c>
      <c r="T12" s="25">
        <v>1.05</v>
      </c>
      <c r="U12" s="26">
        <v>1.351</v>
      </c>
      <c r="V12" s="27">
        <f>Trajectory!P26*(Parameters!$L$7+(Parameters!$M$7-Parameters!$L$7)*(2032-2025)/25)</f>
        <v>2.0990589393908725</v>
      </c>
      <c r="W12" s="28">
        <f>Trajectory!Q26*(Parameters!$L$7+(Parameters!$M$7-Parameters!$L$7)*(2032-2025)/25)</f>
        <v>0</v>
      </c>
      <c r="X12" s="29">
        <f t="shared" si="6"/>
        <v>2.0990589393908725</v>
      </c>
      <c r="Y12" s="30">
        <f t="shared" si="7"/>
        <v>0</v>
      </c>
      <c r="Z12" s="25">
        <v>2.7</v>
      </c>
      <c r="AA12" s="26">
        <v>5.13</v>
      </c>
      <c r="AB12" s="27">
        <f>Trajectory!T26*(Parameters!$L$8+(Parameters!$M$8-Parameters!$L$8)*(2032-2025)/25)</f>
        <v>2.2295025951902798</v>
      </c>
      <c r="AC12" s="28">
        <f>Trajectory!U26*(Parameters!$L$8+(Parameters!$M$8-Parameters!$L$8)*(2032-2025)/25)</f>
        <v>2.3747133406302314</v>
      </c>
      <c r="AD12" s="29">
        <f t="shared" si="8"/>
        <v>2.3747133406302314</v>
      </c>
      <c r="AE12" s="30">
        <f t="shared" si="9"/>
        <v>2.2295025951902798</v>
      </c>
      <c r="AF12" s="25">
        <v>1.7</v>
      </c>
      <c r="AG12" s="26">
        <v>1.2606999999999999</v>
      </c>
      <c r="AH12" s="27">
        <f>Trajectory!X26*(Parameters!$L$9+(Parameters!$M$9-Parameters!$L$9)*(2032-2025)/25)</f>
        <v>1.4080080842346396</v>
      </c>
      <c r="AI12" s="28">
        <f>Trajectory!Y26*(Parameters!$L$9+(Parameters!$M$9-Parameters!$L$9)*(2032-2025)/25)</f>
        <v>1.0155278188386201</v>
      </c>
      <c r="AJ12" s="29">
        <f t="shared" si="10"/>
        <v>1.4080080842346396</v>
      </c>
      <c r="AK12" s="30">
        <f t="shared" si="11"/>
        <v>1.0155278188386201</v>
      </c>
      <c r="AL12" s="25">
        <v>0.9</v>
      </c>
      <c r="AM12" s="26">
        <v>1.5336000000000001</v>
      </c>
      <c r="AN12" s="27">
        <f>Trajectory!AB26*(Parameters!$L$10+(Parameters!$M$10-Parameters!$L$10)*(2032-2025)/25)</f>
        <v>0.5533126373041144</v>
      </c>
      <c r="AO12" s="28">
        <f>Trajectory!AC26*(Parameters!$L$10+(Parameters!$M$10-Parameters!$L$10)*(2032-2025)/25)</f>
        <v>0.49115074552159882</v>
      </c>
      <c r="AP12" s="29">
        <f t="shared" si="12"/>
        <v>0.5533126373041144</v>
      </c>
      <c r="AQ12" s="30">
        <f t="shared" si="13"/>
        <v>0.49115074552159882</v>
      </c>
      <c r="AR12" s="25">
        <v>0.5</v>
      </c>
      <c r="AS12" s="26">
        <v>1.4371</v>
      </c>
      <c r="AT12" s="27">
        <f>Trajectory!AF26*(Parameters!$L$11+(Parameters!$M$11-Parameters!$L$11)*(2032-2025)/25)</f>
        <v>1.1140805022089519</v>
      </c>
      <c r="AU12" s="28">
        <f>Trajectory!AG26*(Parameters!$L$11+(Parameters!$M$11-Parameters!$L$11)*(2032-2025)/25)</f>
        <v>0.6880040685646045</v>
      </c>
      <c r="AV12" s="29">
        <f t="shared" si="14"/>
        <v>1.1140805022089519</v>
      </c>
      <c r="AW12" s="30">
        <f t="shared" si="15"/>
        <v>0.6880040685646045</v>
      </c>
      <c r="AX12" s="25">
        <v>1.4</v>
      </c>
      <c r="AY12" s="26">
        <v>2.2000000000000002</v>
      </c>
      <c r="AZ12" s="27">
        <f>Trajectory!AJ26*(Parameters!$L$12+(Parameters!$M$12-Parameters!$L$12)*(2032-2025)/25)</f>
        <v>1.6501612094650311</v>
      </c>
      <c r="BA12" s="28">
        <f>Trajectory!AK26*(Parameters!$L$12+(Parameters!$M$12-Parameters!$L$12)*(2032-2025)/25)</f>
        <v>1.0895978844255991</v>
      </c>
      <c r="BB12" s="29">
        <f t="shared" si="16"/>
        <v>1.6501612094650311</v>
      </c>
      <c r="BC12" s="30">
        <f t="shared" si="17"/>
        <v>1.0895978844255991</v>
      </c>
      <c r="BD12" s="25">
        <v>0.5</v>
      </c>
      <c r="BE12" s="26">
        <v>0.46400000000000002</v>
      </c>
      <c r="BF12" s="27">
        <f>Trajectory!AN26*(Parameters!$L$13+(Parameters!$M$13-Parameters!$L$13)*(2032-2025)/25)</f>
        <v>0.58566420771641525</v>
      </c>
      <c r="BG12" s="28">
        <f>Trajectory!AO26*(Parameters!$L$13+(Parameters!$M$13-Parameters!$L$13)*(2032-2025)/25)</f>
        <v>1.4459480881999998E-2</v>
      </c>
      <c r="BH12" s="29">
        <f t="shared" si="18"/>
        <v>0.58566420771641525</v>
      </c>
      <c r="BI12" s="30">
        <f t="shared" si="19"/>
        <v>1.4459480881999998E-2</v>
      </c>
      <c r="BJ12" s="25">
        <v>0.75</v>
      </c>
      <c r="BK12" s="26">
        <v>0.26240000000000002</v>
      </c>
      <c r="BL12" s="27">
        <f>Trajectory!AR26*(Parameters!$L$14+(Parameters!$M$14-Parameters!$L$14)*(2032-2025)/25)</f>
        <v>0.40299803299681602</v>
      </c>
      <c r="BM12" s="28">
        <f>Trajectory!AS26*(Parameters!$L$14+(Parameters!$M$14-Parameters!$L$14)*(2032-2025)/25)</f>
        <v>0.1753065903159996</v>
      </c>
      <c r="BN12" s="29">
        <f t="shared" si="20"/>
        <v>0.40299803299681602</v>
      </c>
      <c r="BO12" s="30">
        <f t="shared" si="21"/>
        <v>0.1753065903159996</v>
      </c>
      <c r="BP12" s="25">
        <v>0.42499999999999999</v>
      </c>
      <c r="BQ12" s="26">
        <v>4.4299999999999999E-2</v>
      </c>
      <c r="BR12" s="27">
        <f>Trajectory!AV26*(Parameters!$L$15+(Parameters!$M$15-Parameters!$L$15)*(2032-2025)/25)</f>
        <v>0.26124704804043947</v>
      </c>
      <c r="BS12" s="28">
        <f>Trajectory!AW26*(Parameters!$L$15+(Parameters!$M$15-Parameters!$L$15)*(2032-2025)/25)</f>
        <v>0.56470166891431439</v>
      </c>
      <c r="BT12" s="29">
        <f t="shared" si="22"/>
        <v>0.56470166891431439</v>
      </c>
      <c r="BU12" s="30">
        <f t="shared" si="23"/>
        <v>0.26124704804043947</v>
      </c>
    </row>
    <row r="13" spans="1:73" x14ac:dyDescent="0.3">
      <c r="A13" s="6">
        <v>2033</v>
      </c>
      <c r="B13" s="25">
        <v>5.5</v>
      </c>
      <c r="C13" s="26">
        <v>10</v>
      </c>
      <c r="D13" s="27">
        <f>Trajectory!D27*(Parameters!$L$4+(Parameters!$M$4-Parameters!$L$4)*(2033-2025)/25)</f>
        <v>5.2613734491138135</v>
      </c>
      <c r="E13" s="28">
        <f>Trajectory!E27*(Parameters!$L$4+(Parameters!$M$4-Parameters!$L$4)*(2033-2025)/25)</f>
        <v>7.9320080816331711</v>
      </c>
      <c r="F13" s="29">
        <f t="shared" si="0"/>
        <v>7.9320080816331711</v>
      </c>
      <c r="G13" s="30">
        <f t="shared" si="1"/>
        <v>5.2613734491138135</v>
      </c>
      <c r="H13" s="25">
        <v>3.5</v>
      </c>
      <c r="I13" s="26">
        <v>5</v>
      </c>
      <c r="J13" s="27">
        <f>Trajectory!H27*(Parameters!$L$5+(Parameters!$M$5-Parameters!$L$5)*(2033-2025)/25)</f>
        <v>5.6307583185935295</v>
      </c>
      <c r="K13" s="28">
        <f>Trajectory!I27*(Parameters!$L$5+(Parameters!$M$5-Parameters!$L$5)*(2033-2025)/25)</f>
        <v>7.5059464401904661</v>
      </c>
      <c r="L13" s="29">
        <f t="shared" si="2"/>
        <v>7.5059464401904661</v>
      </c>
      <c r="M13" s="30">
        <f t="shared" si="3"/>
        <v>5.6307583185935295</v>
      </c>
      <c r="N13" s="25">
        <v>1.3</v>
      </c>
      <c r="O13" s="26">
        <v>4.7994000000000003</v>
      </c>
      <c r="P13" s="27">
        <f>Trajectory!L27*(Parameters!$L$6+(Parameters!$M$6-Parameters!$L$6)*(2033-2025)/25)</f>
        <v>2.1917739842254358</v>
      </c>
      <c r="Q13" s="28">
        <f>Trajectory!M27*(Parameters!$L$6+(Parameters!$M$6-Parameters!$L$6)*(2033-2025)/25)</f>
        <v>0.56845768618177261</v>
      </c>
      <c r="R13" s="29">
        <f t="shared" si="4"/>
        <v>2.1917739842254358</v>
      </c>
      <c r="S13" s="30">
        <f t="shared" si="5"/>
        <v>0.56845768618177261</v>
      </c>
      <c r="T13" s="25">
        <v>1.05</v>
      </c>
      <c r="U13" s="26">
        <v>1.351</v>
      </c>
      <c r="V13" s="27">
        <f>Trajectory!P27*(Parameters!$L$7+(Parameters!$M$7-Parameters!$L$7)*(2033-2025)/25)</f>
        <v>2.3217101987043316</v>
      </c>
      <c r="W13" s="28">
        <f>Trajectory!Q27*(Parameters!$L$7+(Parameters!$M$7-Parameters!$L$7)*(2033-2025)/25)</f>
        <v>0</v>
      </c>
      <c r="X13" s="29">
        <f t="shared" si="6"/>
        <v>2.3217101987043316</v>
      </c>
      <c r="Y13" s="30">
        <f t="shared" si="7"/>
        <v>0</v>
      </c>
      <c r="Z13" s="25">
        <v>2.7</v>
      </c>
      <c r="AA13" s="26">
        <v>5.13</v>
      </c>
      <c r="AB13" s="27">
        <f>Trajectory!T27*(Parameters!$L$8+(Parameters!$M$8-Parameters!$L$8)*(2033-2025)/25)</f>
        <v>2.3594168704659015</v>
      </c>
      <c r="AC13" s="28">
        <f>Trajectory!U27*(Parameters!$L$8+(Parameters!$M$8-Parameters!$L$8)*(2033-2025)/25)</f>
        <v>2.5407213386481247</v>
      </c>
      <c r="AD13" s="29">
        <f t="shared" si="8"/>
        <v>2.5407213386481247</v>
      </c>
      <c r="AE13" s="30">
        <f t="shared" si="9"/>
        <v>2.3594168704659015</v>
      </c>
      <c r="AF13" s="25">
        <v>1.7</v>
      </c>
      <c r="AG13" s="26">
        <v>1.2606999999999999</v>
      </c>
      <c r="AH13" s="27">
        <f>Trajectory!X27*(Parameters!$L$9+(Parameters!$M$9-Parameters!$L$9)*(2033-2025)/25)</f>
        <v>1.4756254961205835</v>
      </c>
      <c r="AI13" s="28">
        <f>Trajectory!Y27*(Parameters!$L$9+(Parameters!$M$9-Parameters!$L$9)*(2033-2025)/25)</f>
        <v>1.0865198570153791</v>
      </c>
      <c r="AJ13" s="29">
        <f t="shared" si="10"/>
        <v>1.4756254961205835</v>
      </c>
      <c r="AK13" s="30">
        <f t="shared" si="11"/>
        <v>1.0865198570153791</v>
      </c>
      <c r="AL13" s="25">
        <v>0.9</v>
      </c>
      <c r="AM13" s="26">
        <v>1.5336000000000001</v>
      </c>
      <c r="AN13" s="27">
        <f>Trajectory!AB27*(Parameters!$L$10+(Parameters!$M$10-Parameters!$L$10)*(2033-2025)/25)</f>
        <v>0.60204368646187945</v>
      </c>
      <c r="AO13" s="28">
        <f>Trajectory!AC27*(Parameters!$L$10+(Parameters!$M$10-Parameters!$L$10)*(2033-2025)/25)</f>
        <v>0.53008792745702538</v>
      </c>
      <c r="AP13" s="29">
        <f t="shared" si="12"/>
        <v>0.60204368646187945</v>
      </c>
      <c r="AQ13" s="30">
        <f t="shared" si="13"/>
        <v>0.53008792745702538</v>
      </c>
      <c r="AR13" s="25">
        <v>0.5</v>
      </c>
      <c r="AS13" s="26">
        <v>1.4371</v>
      </c>
      <c r="AT13" s="27">
        <f>Trajectory!AF27*(Parameters!$L$11+(Parameters!$M$11-Parameters!$L$11)*(2033-2025)/25)</f>
        <v>1.1810578008080046</v>
      </c>
      <c r="AU13" s="28">
        <f>Trajectory!AG27*(Parameters!$L$11+(Parameters!$M$11-Parameters!$L$11)*(2033-2025)/25)</f>
        <v>0.7358445913532492</v>
      </c>
      <c r="AV13" s="29">
        <f t="shared" si="14"/>
        <v>1.1810578008080046</v>
      </c>
      <c r="AW13" s="30">
        <f t="shared" si="15"/>
        <v>0.7358445913532492</v>
      </c>
      <c r="AX13" s="25">
        <v>1.4</v>
      </c>
      <c r="AY13" s="26">
        <v>2.2000000000000002</v>
      </c>
      <c r="AZ13" s="27">
        <f>Trajectory!AJ27*(Parameters!$L$12+(Parameters!$M$12-Parameters!$L$12)*(2033-2025)/25)</f>
        <v>1.795493420113248</v>
      </c>
      <c r="BA13" s="28">
        <f>Trajectory!AK27*(Parameters!$L$12+(Parameters!$M$12-Parameters!$L$12)*(2033-2025)/25)</f>
        <v>1.2089497914190426</v>
      </c>
      <c r="BB13" s="29">
        <f t="shared" si="16"/>
        <v>1.795493420113248</v>
      </c>
      <c r="BC13" s="30">
        <f t="shared" si="17"/>
        <v>1.2089497914190426</v>
      </c>
      <c r="BD13" s="25">
        <v>0.72519999999999996</v>
      </c>
      <c r="BE13" s="26">
        <v>0.46400000000000002</v>
      </c>
      <c r="BF13" s="27">
        <f>Trajectory!AN27*(Parameters!$L$13+(Parameters!$M$13-Parameters!$L$13)*(2033-2025)/25)</f>
        <v>0.61909083873781645</v>
      </c>
      <c r="BG13" s="28">
        <f>Trajectory!AO27*(Parameters!$L$13+(Parameters!$M$13-Parameters!$L$13)*(2033-2025)/25)</f>
        <v>1.6034044298800017E-2</v>
      </c>
      <c r="BH13" s="29">
        <f t="shared" si="18"/>
        <v>0.61909083873781645</v>
      </c>
      <c r="BI13" s="30">
        <f t="shared" si="19"/>
        <v>1.6034044298800017E-2</v>
      </c>
      <c r="BJ13" s="25">
        <v>0.75</v>
      </c>
      <c r="BK13" s="26">
        <v>0.26240000000000002</v>
      </c>
      <c r="BL13" s="27">
        <f>Trajectory!AR27*(Parameters!$L$14+(Parameters!$M$14-Parameters!$L$14)*(2033-2025)/25)</f>
        <v>0.43849065621275113</v>
      </c>
      <c r="BM13" s="28">
        <f>Trajectory!AS27*(Parameters!$L$14+(Parameters!$M$14-Parameters!$L$14)*(2033-2025)/25)</f>
        <v>0.19450924861940042</v>
      </c>
      <c r="BN13" s="29">
        <f t="shared" si="20"/>
        <v>0.43849065621275113</v>
      </c>
      <c r="BO13" s="30">
        <f t="shared" si="21"/>
        <v>0.19450924861940042</v>
      </c>
      <c r="BP13" s="25">
        <v>0.42499999999999999</v>
      </c>
      <c r="BQ13" s="26">
        <v>4.4299999999999999E-2</v>
      </c>
      <c r="BR13" s="27">
        <f>Trajectory!AV27*(Parameters!$L$15+(Parameters!$M$15-Parameters!$L$15)*(2033-2025)/25)</f>
        <v>0.27695293420399059</v>
      </c>
      <c r="BS13" s="28">
        <f>Trajectory!AW27*(Parameters!$L$15+(Parameters!$M$15-Parameters!$L$15)*(2033-2025)/25)</f>
        <v>0.61536395957073553</v>
      </c>
      <c r="BT13" s="29">
        <f t="shared" si="22"/>
        <v>0.61536395957073553</v>
      </c>
      <c r="BU13" s="30">
        <f t="shared" si="23"/>
        <v>0.27695293420399059</v>
      </c>
    </row>
    <row r="14" spans="1:73" x14ac:dyDescent="0.3">
      <c r="A14" s="6">
        <v>2034</v>
      </c>
      <c r="B14" s="25">
        <v>5.5</v>
      </c>
      <c r="C14" s="26">
        <v>10</v>
      </c>
      <c r="D14" s="27">
        <f>Trajectory!D28*(Parameters!$L$4+(Parameters!$M$4-Parameters!$L$4)*(2034-2025)/25)</f>
        <v>5.4826018103659404</v>
      </c>
      <c r="E14" s="28">
        <f>Trajectory!E28*(Parameters!$L$4+(Parameters!$M$4-Parameters!$L$4)*(2034-2025)/25)</f>
        <v>8.4857797569620281</v>
      </c>
      <c r="F14" s="29">
        <f t="shared" si="0"/>
        <v>8.4857797569620281</v>
      </c>
      <c r="G14" s="30">
        <f t="shared" si="1"/>
        <v>5.4826018103659404</v>
      </c>
      <c r="H14" s="25">
        <v>3.5</v>
      </c>
      <c r="I14" s="26">
        <v>5</v>
      </c>
      <c r="J14" s="27">
        <f>Trajectory!H28*(Parameters!$L$5+(Parameters!$M$5-Parameters!$L$5)*(2034-2025)/25)</f>
        <v>5.6828949696916178</v>
      </c>
      <c r="K14" s="28">
        <f>Trajectory!I28*(Parameters!$L$5+(Parameters!$M$5-Parameters!$L$5)*(2034-2025)/25)</f>
        <v>7.9542182414795928</v>
      </c>
      <c r="L14" s="29">
        <f t="shared" si="2"/>
        <v>7.9542182414795928</v>
      </c>
      <c r="M14" s="30">
        <f t="shared" si="3"/>
        <v>5.6828949696916178</v>
      </c>
      <c r="N14" s="25">
        <v>1.3</v>
      </c>
      <c r="O14" s="26">
        <v>4.7994000000000003</v>
      </c>
      <c r="P14" s="27">
        <f>Trajectory!L28*(Parameters!$L$6+(Parameters!$M$6-Parameters!$L$6)*(2034-2025)/25)</f>
        <v>2.3428213807092506</v>
      </c>
      <c r="Q14" s="28">
        <f>Trajectory!M28*(Parameters!$L$6+(Parameters!$M$6-Parameters!$L$6)*(2034-2025)/25)</f>
        <v>0.61921167329186899</v>
      </c>
      <c r="R14" s="29">
        <f t="shared" si="4"/>
        <v>2.3428213807092506</v>
      </c>
      <c r="S14" s="30">
        <f t="shared" si="5"/>
        <v>0.61921167329186899</v>
      </c>
      <c r="T14" s="25">
        <v>1.05</v>
      </c>
      <c r="U14" s="26">
        <v>1.351</v>
      </c>
      <c r="V14" s="27">
        <f>Trajectory!P28*(Parameters!$L$7+(Parameters!$M$7-Parameters!$L$7)*(2034-2025)/25)</f>
        <v>2.5260000889830101</v>
      </c>
      <c r="W14" s="28">
        <f>Trajectory!Q28*(Parameters!$L$7+(Parameters!$M$7-Parameters!$L$7)*(2034-2025)/25)</f>
        <v>0</v>
      </c>
      <c r="X14" s="29">
        <f t="shared" si="6"/>
        <v>2.5260000889830101</v>
      </c>
      <c r="Y14" s="30">
        <f t="shared" si="7"/>
        <v>0</v>
      </c>
      <c r="Z14" s="25">
        <v>2.7</v>
      </c>
      <c r="AA14" s="26">
        <v>5.13</v>
      </c>
      <c r="AB14" s="27">
        <f>Trajectory!T28*(Parameters!$L$8+(Parameters!$M$8-Parameters!$L$8)*(2034-2025)/25)</f>
        <v>2.4586247926581084</v>
      </c>
      <c r="AC14" s="28">
        <f>Trajectory!U28*(Parameters!$L$8+(Parameters!$M$8-Parameters!$L$8)*(2034-2025)/25)</f>
        <v>2.7181013284018953</v>
      </c>
      <c r="AD14" s="29">
        <f t="shared" si="8"/>
        <v>2.7181013284018953</v>
      </c>
      <c r="AE14" s="30">
        <f t="shared" si="9"/>
        <v>2.4586247926581084</v>
      </c>
      <c r="AF14" s="25">
        <v>1.7</v>
      </c>
      <c r="AG14" s="26">
        <v>1.2606999999999999</v>
      </c>
      <c r="AH14" s="27">
        <f>Trajectory!X28*(Parameters!$L$9+(Parameters!$M$9-Parameters!$L$9)*(2034-2025)/25)</f>
        <v>1.5274958902123561</v>
      </c>
      <c r="AI14" s="28">
        <f>Trajectory!Y28*(Parameters!$L$9+(Parameters!$M$9-Parameters!$L$9)*(2034-2025)/25)</f>
        <v>1.1623750396255259</v>
      </c>
      <c r="AJ14" s="29">
        <f t="shared" si="10"/>
        <v>1.5274958902123561</v>
      </c>
      <c r="AK14" s="30">
        <f t="shared" si="11"/>
        <v>1.1623750396255259</v>
      </c>
      <c r="AL14" s="25">
        <v>0.9</v>
      </c>
      <c r="AM14" s="26">
        <v>1.5336000000000001</v>
      </c>
      <c r="AN14" s="27">
        <f>Trajectory!AB28*(Parameters!$L$10+(Parameters!$M$10-Parameters!$L$10)*(2034-2025)/25)</f>
        <v>0.64605226327088283</v>
      </c>
      <c r="AO14" s="28">
        <f>Trajectory!AC28*(Parameters!$L$10+(Parameters!$M$10-Parameters!$L$10)*(2034-2025)/25)</f>
        <v>0.57206967621035432</v>
      </c>
      <c r="AP14" s="29">
        <f t="shared" si="12"/>
        <v>0.64605226327088283</v>
      </c>
      <c r="AQ14" s="30">
        <f t="shared" si="13"/>
        <v>0.57206967621035432</v>
      </c>
      <c r="AR14" s="25">
        <v>0.5</v>
      </c>
      <c r="AS14" s="26">
        <v>1.4371</v>
      </c>
      <c r="AT14" s="27">
        <f>Trajectory!AF28*(Parameters!$L$11+(Parameters!$M$11-Parameters!$L$11)*(2034-2025)/25)</f>
        <v>1.2372483598817845</v>
      </c>
      <c r="AU14" s="28">
        <f>Trajectory!AG28*(Parameters!$L$11+(Parameters!$M$11-Parameters!$L$11)*(2034-2025)/25)</f>
        <v>0.78694916222970168</v>
      </c>
      <c r="AV14" s="29">
        <f t="shared" si="14"/>
        <v>1.2372483598817845</v>
      </c>
      <c r="AW14" s="30">
        <f t="shared" si="15"/>
        <v>0.78694916222970168</v>
      </c>
      <c r="AX14" s="25">
        <v>1.4</v>
      </c>
      <c r="AY14" s="26">
        <v>2.2000000000000002</v>
      </c>
      <c r="AZ14" s="27">
        <f>Trajectory!AJ28*(Parameters!$L$12+(Parameters!$M$12-Parameters!$L$12)*(2034-2025)/25)</f>
        <v>1.9192309078577963</v>
      </c>
      <c r="BA14" s="28">
        <f>Trajectory!AK28*(Parameters!$L$12+(Parameters!$M$12-Parameters!$L$12)*(2034-2025)/25)</f>
        <v>1.3412761009669136</v>
      </c>
      <c r="BB14" s="29">
        <f t="shared" si="16"/>
        <v>1.9192309078577963</v>
      </c>
      <c r="BC14" s="30">
        <f t="shared" si="17"/>
        <v>1.3412761009669136</v>
      </c>
      <c r="BD14" s="25">
        <v>0.5</v>
      </c>
      <c r="BE14" s="26">
        <v>0.46400000000000002</v>
      </c>
      <c r="BF14" s="27">
        <f>Trajectory!AN28*(Parameters!$L$13+(Parameters!$M$13-Parameters!$L$13)*(2034-2025)/25)</f>
        <v>0.63921999324824497</v>
      </c>
      <c r="BG14" s="28">
        <f>Trajectory!AO28*(Parameters!$L$13+(Parameters!$M$13-Parameters!$L$13)*(2034-2025)/25)</f>
        <v>1.7778925590140049E-2</v>
      </c>
      <c r="BH14" s="29">
        <f t="shared" si="18"/>
        <v>0.63921999324824497</v>
      </c>
      <c r="BI14" s="30">
        <f t="shared" si="19"/>
        <v>1.7778925590140049E-2</v>
      </c>
      <c r="BJ14" s="25">
        <v>0.75</v>
      </c>
      <c r="BK14" s="26">
        <v>0.26240000000000002</v>
      </c>
      <c r="BL14" s="27">
        <f>Trajectory!AR28*(Parameters!$L$14+(Parameters!$M$14-Parameters!$L$14)*(2034-2025)/25)</f>
        <v>0.47054372836998376</v>
      </c>
      <c r="BM14" s="28">
        <f>Trajectory!AS28*(Parameters!$L$14+(Parameters!$M$14-Parameters!$L$14)*(2034-2025)/25)</f>
        <v>0.21579937268032007</v>
      </c>
      <c r="BN14" s="29">
        <f t="shared" si="20"/>
        <v>0.47054372836998376</v>
      </c>
      <c r="BO14" s="30">
        <f t="shared" si="21"/>
        <v>0.21579937268032007</v>
      </c>
      <c r="BP14" s="25">
        <v>0.42499999999999999</v>
      </c>
      <c r="BQ14" s="26">
        <v>4.4299999999999999E-2</v>
      </c>
      <c r="BR14" s="27">
        <f>Trajectory!AV28*(Parameters!$L$15+(Parameters!$M$15-Parameters!$L$15)*(2034-2025)/25)</f>
        <v>0.29012937671120603</v>
      </c>
      <c r="BS14" s="28">
        <f>Trajectory!AW28*(Parameters!$L$15+(Parameters!$M$15-Parameters!$L$15)*(2034-2025)/25)</f>
        <v>0.67051812605113248</v>
      </c>
      <c r="BT14" s="29">
        <f t="shared" si="22"/>
        <v>0.67051812605113248</v>
      </c>
      <c r="BU14" s="30">
        <f t="shared" si="23"/>
        <v>0.29012937671120603</v>
      </c>
    </row>
    <row r="15" spans="1:73" x14ac:dyDescent="0.3">
      <c r="A15" s="6">
        <v>2035</v>
      </c>
      <c r="B15" s="25">
        <v>5.5</v>
      </c>
      <c r="C15" s="26">
        <v>10</v>
      </c>
      <c r="D15" s="27">
        <f>Trajectory!D29*(Parameters!$L$4+(Parameters!$M$4-Parameters!$L$4)*(2035-2025)/25)</f>
        <v>5.6227761748850797</v>
      </c>
      <c r="E15" s="28">
        <f>Trajectory!E29*(Parameters!$L$4+(Parameters!$M$4-Parameters!$L$4)*(2035-2025)/25)</f>
        <v>9.0774488042364467</v>
      </c>
      <c r="F15" s="29">
        <f t="shared" si="0"/>
        <v>9.0774488042364467</v>
      </c>
      <c r="G15" s="30">
        <f t="shared" si="1"/>
        <v>5.6227761748850797</v>
      </c>
      <c r="H15" s="25">
        <v>3.5</v>
      </c>
      <c r="I15" s="26">
        <v>5</v>
      </c>
      <c r="J15" s="27">
        <f>Trajectory!H29*(Parameters!$L$5+(Parameters!$M$5-Parameters!$L$5)*(2035-2025)/25)</f>
        <v>5.6623981709780509</v>
      </c>
      <c r="K15" s="28">
        <f>Trajectory!I29*(Parameters!$L$5+(Parameters!$M$5-Parameters!$L$5)*(2035-2025)/25)</f>
        <v>8.4285523567972085</v>
      </c>
      <c r="L15" s="29">
        <f t="shared" si="2"/>
        <v>8.4285523567972085</v>
      </c>
      <c r="M15" s="30">
        <f t="shared" si="3"/>
        <v>5.6623981709780509</v>
      </c>
      <c r="N15" s="25">
        <v>1.3</v>
      </c>
      <c r="O15" s="26">
        <v>4.7994000000000003</v>
      </c>
      <c r="P15" s="27">
        <f>Trajectory!L29*(Parameters!$L$6+(Parameters!$M$6-Parameters!$L$6)*(2035-2025)/25)</f>
        <v>2.4576156115537771</v>
      </c>
      <c r="Q15" s="28">
        <f>Trajectory!M29*(Parameters!$L$6+(Parameters!$M$6-Parameters!$L$6)*(2035-2025)/25)</f>
        <v>0.67444816914801942</v>
      </c>
      <c r="R15" s="29">
        <f t="shared" si="4"/>
        <v>2.4576156115537771</v>
      </c>
      <c r="S15" s="30">
        <f t="shared" si="5"/>
        <v>0.67444816914801942</v>
      </c>
      <c r="T15" s="25">
        <v>1.05</v>
      </c>
      <c r="U15" s="26">
        <v>1.351</v>
      </c>
      <c r="V15" s="27">
        <f>Trajectory!P29*(Parameters!$L$7+(Parameters!$M$7-Parameters!$L$7)*(2035-2025)/25)</f>
        <v>2.6998847490988611</v>
      </c>
      <c r="W15" s="28">
        <f>Trajectory!Q29*(Parameters!$L$7+(Parameters!$M$7-Parameters!$L$7)*(2035-2025)/25)</f>
        <v>0</v>
      </c>
      <c r="X15" s="29">
        <f t="shared" si="6"/>
        <v>2.6998847490988611</v>
      </c>
      <c r="Y15" s="30">
        <f t="shared" si="7"/>
        <v>0</v>
      </c>
      <c r="Z15" s="25">
        <v>2.7</v>
      </c>
      <c r="AA15" s="26">
        <v>5.13</v>
      </c>
      <c r="AB15" s="27">
        <f>Trajectory!T29*(Parameters!$L$8+(Parameters!$M$8-Parameters!$L$8)*(2035-2025)/25)</f>
        <v>2.5214847594808458</v>
      </c>
      <c r="AC15" s="28">
        <f>Trajectory!U29*(Parameters!$L$8+(Parameters!$M$8-Parameters!$L$8)*(2035-2025)/25)</f>
        <v>2.9076203201069868</v>
      </c>
      <c r="AD15" s="29">
        <f t="shared" si="8"/>
        <v>2.9076203201069868</v>
      </c>
      <c r="AE15" s="30">
        <f t="shared" si="9"/>
        <v>2.5214847594808458</v>
      </c>
      <c r="AF15" s="25">
        <v>1.7</v>
      </c>
      <c r="AG15" s="26">
        <v>1.2606999999999999</v>
      </c>
      <c r="AH15" s="27">
        <f>Trajectory!X29*(Parameters!$L$9+(Parameters!$M$9-Parameters!$L$9)*(2035-2025)/25)</f>
        <v>1.561283066460065</v>
      </c>
      <c r="AI15" s="28">
        <f>Trajectory!Y29*(Parameters!$L$9+(Parameters!$M$9-Parameters!$L$9)*(2035-2025)/25)</f>
        <v>1.2434213726636372</v>
      </c>
      <c r="AJ15" s="29">
        <f t="shared" si="10"/>
        <v>1.561283066460065</v>
      </c>
      <c r="AK15" s="30">
        <f t="shared" si="11"/>
        <v>1.2434213726636372</v>
      </c>
      <c r="AL15" s="25">
        <v>0.9</v>
      </c>
      <c r="AM15" s="26">
        <v>1.5336000000000001</v>
      </c>
      <c r="AN15" s="27">
        <f>Trajectory!AB29*(Parameters!$L$10+(Parameters!$M$10-Parameters!$L$10)*(2035-2025)/25)</f>
        <v>0.68314054557616299</v>
      </c>
      <c r="AO15" s="28">
        <f>Trajectory!AC29*(Parameters!$L$10+(Parameters!$M$10-Parameters!$L$10)*(2035-2025)/25)</f>
        <v>0.61733143894461207</v>
      </c>
      <c r="AP15" s="29">
        <f t="shared" si="12"/>
        <v>0.68314054557616299</v>
      </c>
      <c r="AQ15" s="30">
        <f t="shared" si="13"/>
        <v>0.61733143894461207</v>
      </c>
      <c r="AR15" s="25">
        <v>0.5</v>
      </c>
      <c r="AS15" s="26">
        <v>1.4371</v>
      </c>
      <c r="AT15" s="27">
        <f>Trajectory!AF29*(Parameters!$L$11+(Parameters!$M$11-Parameters!$L$11)*(2035-2025)/25)</f>
        <v>1.2802030027969737</v>
      </c>
      <c r="AU15" s="28">
        <f>Trajectory!AG29*(Parameters!$L$11+(Parameters!$M$11-Parameters!$L$11)*(2035-2025)/25)</f>
        <v>0.84153724108245498</v>
      </c>
      <c r="AV15" s="29">
        <f t="shared" si="14"/>
        <v>1.2802030027969737</v>
      </c>
      <c r="AW15" s="30">
        <f t="shared" si="15"/>
        <v>0.84153724108245498</v>
      </c>
      <c r="AX15" s="25">
        <v>1.4</v>
      </c>
      <c r="AY15" s="26">
        <v>2.2000000000000002</v>
      </c>
      <c r="AZ15" s="27">
        <f>Trajectory!AJ29*(Parameters!$L$12+(Parameters!$M$12-Parameters!$L$12)*(2035-2025)/25)</f>
        <v>2.0132699317862413</v>
      </c>
      <c r="BA15" s="28">
        <f>Trajectory!AK29*(Parameters!$L$12+(Parameters!$M$12-Parameters!$L$12)*(2035-2025)/25)</f>
        <v>1.487978174510171</v>
      </c>
      <c r="BB15" s="29">
        <f t="shared" si="16"/>
        <v>2.0132699317862413</v>
      </c>
      <c r="BC15" s="30">
        <f t="shared" si="17"/>
        <v>1.487978174510171</v>
      </c>
      <c r="BD15" s="25">
        <v>0.5</v>
      </c>
      <c r="BE15" s="26">
        <v>0.46400000000000002</v>
      </c>
      <c r="BF15" s="27">
        <f>Trajectory!AN29*(Parameters!$L$13+(Parameters!$M$13-Parameters!$L$13)*(2035-2025)/25)</f>
        <v>0.64430662449425224</v>
      </c>
      <c r="BG15" s="28">
        <f>Trajectory!AO29*(Parameters!$L$13+(Parameters!$M$13-Parameters!$L$13)*(2035-2025)/25)</f>
        <v>1.9712442696760032E-2</v>
      </c>
      <c r="BH15" s="29">
        <f t="shared" si="18"/>
        <v>0.64430662449425224</v>
      </c>
      <c r="BI15" s="30">
        <f t="shared" si="19"/>
        <v>1.9712442696760032E-2</v>
      </c>
      <c r="BJ15" s="25">
        <v>0.75</v>
      </c>
      <c r="BK15" s="26">
        <v>0.26240000000000002</v>
      </c>
      <c r="BL15" s="27">
        <f>Trajectory!AR29*(Parameters!$L$14+(Parameters!$M$14-Parameters!$L$14)*(2035-2025)/25)</f>
        <v>0.49755649440598593</v>
      </c>
      <c r="BM15" s="28">
        <f>Trajectory!AS29*(Parameters!$L$14+(Parameters!$M$14-Parameters!$L$14)*(2035-2025)/25)</f>
        <v>0.23940242906723111</v>
      </c>
      <c r="BN15" s="29">
        <f t="shared" si="20"/>
        <v>0.49755649440598593</v>
      </c>
      <c r="BO15" s="30">
        <f t="shared" si="21"/>
        <v>0.23940242906723111</v>
      </c>
      <c r="BP15" s="25">
        <v>0.42499999999999999</v>
      </c>
      <c r="BQ15" s="26">
        <v>4.4299999999999999E-2</v>
      </c>
      <c r="BR15" s="27">
        <f>Trajectory!AV29*(Parameters!$L$15+(Parameters!$M$15-Parameters!$L$15)*(2035-2025)/25)</f>
        <v>0.30020205425917074</v>
      </c>
      <c r="BS15" s="28">
        <f>Trajectory!AW29*(Parameters!$L$15+(Parameters!$M$15-Parameters!$L$15)*(2035-2025)/25)</f>
        <v>0.73055862982713859</v>
      </c>
      <c r="BT15" s="29">
        <f t="shared" si="22"/>
        <v>0.73055862982713859</v>
      </c>
      <c r="BU15" s="30">
        <f t="shared" si="23"/>
        <v>0.30020205425917074</v>
      </c>
    </row>
    <row r="16" spans="1:73" x14ac:dyDescent="0.3">
      <c r="A16" s="6">
        <v>2036</v>
      </c>
      <c r="B16" s="25">
        <v>5.5</v>
      </c>
      <c r="C16" s="26">
        <v>10</v>
      </c>
      <c r="D16" s="27">
        <f>Trajectory!D30*(Parameters!$L$4+(Parameters!$M$4-Parameters!$L$4)*(2036-2025)/25)</f>
        <v>5.6738923219295083</v>
      </c>
      <c r="E16" s="28">
        <f>Trajectory!E30*(Parameters!$L$4+(Parameters!$M$4-Parameters!$L$4)*(2036-2025)/25)</f>
        <v>9.7095693300586952</v>
      </c>
      <c r="F16" s="29">
        <f t="shared" si="0"/>
        <v>9.7095693300586952</v>
      </c>
      <c r="G16" s="30">
        <f t="shared" si="1"/>
        <v>5.6738923219295083</v>
      </c>
      <c r="H16" s="25">
        <v>3.5</v>
      </c>
      <c r="I16" s="26">
        <v>3.2222</v>
      </c>
      <c r="J16" s="27">
        <f>Trajectory!H30*(Parameters!$L$5+(Parameters!$M$5-Parameters!$L$5)*(2036-2025)/25)</f>
        <v>5.5709535977935989</v>
      </c>
      <c r="K16" s="28">
        <f>Trajectory!I30*(Parameters!$L$5+(Parameters!$M$5-Parameters!$L$5)*(2036-2025)/25)</f>
        <v>8.9304343380428151</v>
      </c>
      <c r="L16" s="29">
        <f t="shared" si="2"/>
        <v>8.9304343380428151</v>
      </c>
      <c r="M16" s="30">
        <f t="shared" si="3"/>
        <v>5.5709535977935989</v>
      </c>
      <c r="N16" s="25">
        <v>1.3</v>
      </c>
      <c r="O16" s="26">
        <v>3.8683999999999998</v>
      </c>
      <c r="P16" s="27">
        <f>Trajectory!L30*(Parameters!$L$6+(Parameters!$M$6-Parameters!$L$6)*(2036-2025)/25)</f>
        <v>2.528117324141534</v>
      </c>
      <c r="Q16" s="28">
        <f>Trajectory!M30*(Parameters!$L$6+(Parameters!$M$6-Parameters!$L$6)*(2036-2025)/25)</f>
        <v>0.73455954963208536</v>
      </c>
      <c r="R16" s="29">
        <f t="shared" si="4"/>
        <v>2.528117324141534</v>
      </c>
      <c r="S16" s="30">
        <f t="shared" si="5"/>
        <v>0.73455954963208536</v>
      </c>
      <c r="T16" s="25">
        <v>1.05</v>
      </c>
      <c r="U16" s="26">
        <v>0.7419</v>
      </c>
      <c r="V16" s="27">
        <f>Trajectory!P30*(Parameters!$L$7+(Parameters!$M$7-Parameters!$L$7)*(2036-2025)/25)</f>
        <v>2.831972214756723</v>
      </c>
      <c r="W16" s="28">
        <f>Trajectory!Q30*(Parameters!$L$7+(Parameters!$M$7-Parameters!$L$7)*(2036-2025)/25)</f>
        <v>0</v>
      </c>
      <c r="X16" s="29">
        <f t="shared" si="6"/>
        <v>2.831972214756723</v>
      </c>
      <c r="Y16" s="30">
        <f t="shared" si="7"/>
        <v>0</v>
      </c>
      <c r="Z16" s="25">
        <v>2.7</v>
      </c>
      <c r="AA16" s="26">
        <v>4.1349</v>
      </c>
      <c r="AB16" s="27">
        <f>Trajectory!T30*(Parameters!$L$8+(Parameters!$M$8-Parameters!$L$8)*(2036-2025)/25)</f>
        <v>2.5444073482033991</v>
      </c>
      <c r="AC16" s="28">
        <f>Trajectory!U30*(Parameters!$L$8+(Parameters!$M$8-Parameters!$L$8)*(2036-2025)/25)</f>
        <v>3.1100964260344326</v>
      </c>
      <c r="AD16" s="29">
        <f t="shared" si="8"/>
        <v>3.1100964260344326</v>
      </c>
      <c r="AE16" s="30">
        <f t="shared" si="9"/>
        <v>2.5444073482033991</v>
      </c>
      <c r="AF16" s="25">
        <v>1.7</v>
      </c>
      <c r="AG16" s="26">
        <v>0.69240000000000002</v>
      </c>
      <c r="AH16" s="27">
        <f>Trajectory!X30*(Parameters!$L$9+(Parameters!$M$9-Parameters!$L$9)*(2036-2025)/25)</f>
        <v>1.5754765488824245</v>
      </c>
      <c r="AI16" s="28">
        <f>Trajectory!Y30*(Parameters!$L$9+(Parameters!$M$9-Parameters!$L$9)*(2036-2025)/25)</f>
        <v>1.3300087155236677</v>
      </c>
      <c r="AJ16" s="29">
        <f t="shared" si="10"/>
        <v>1.5754765488824245</v>
      </c>
      <c r="AK16" s="30">
        <f t="shared" si="11"/>
        <v>1.3300087155236677</v>
      </c>
      <c r="AL16" s="25">
        <v>0.9</v>
      </c>
      <c r="AM16" s="26">
        <v>1.2361</v>
      </c>
      <c r="AN16" s="27">
        <f>Trajectory!AB30*(Parameters!$L$10+(Parameters!$M$10-Parameters!$L$10)*(2036-2025)/25)</f>
        <v>0.71129469503728093</v>
      </c>
      <c r="AO16" s="28">
        <f>Trajectory!AC30*(Parameters!$L$10+(Parameters!$M$10-Parameters!$L$10)*(2036-2025)/25)</f>
        <v>0.66612670704823251</v>
      </c>
      <c r="AP16" s="29">
        <f t="shared" si="12"/>
        <v>0.71129469503728093</v>
      </c>
      <c r="AQ16" s="30">
        <f t="shared" si="13"/>
        <v>0.66612670704823251</v>
      </c>
      <c r="AR16" s="25">
        <v>0.5</v>
      </c>
      <c r="AS16" s="26">
        <v>0.78920000000000001</v>
      </c>
      <c r="AT16" s="27">
        <f>Trajectory!AF30*(Parameters!$L$11+(Parameters!$M$11-Parameters!$L$11)*(2036-2025)/25)</f>
        <v>1.3079818848254012</v>
      </c>
      <c r="AU16" s="28">
        <f>Trajectory!AG30*(Parameters!$L$11+(Parameters!$M$11-Parameters!$L$11)*(2036-2025)/25)</f>
        <v>0.89984287241351013</v>
      </c>
      <c r="AV16" s="29">
        <f t="shared" si="14"/>
        <v>1.3079818848254012</v>
      </c>
      <c r="AW16" s="30">
        <f t="shared" si="15"/>
        <v>0.89984287241351013</v>
      </c>
      <c r="AX16" s="25">
        <v>1.4</v>
      </c>
      <c r="AY16" s="26">
        <v>0.30530000000000002</v>
      </c>
      <c r="AZ16" s="27">
        <f>Trajectory!AJ30*(Parameters!$L$12+(Parameters!$M$12-Parameters!$L$12)*(2036-2025)/25)</f>
        <v>2.0710246829463084</v>
      </c>
      <c r="BA16" s="28">
        <f>Trajectory!AK30*(Parameters!$L$12+(Parameters!$M$12-Parameters!$L$12)*(2036-2025)/25)</f>
        <v>1.6506079017524078</v>
      </c>
      <c r="BB16" s="29">
        <f t="shared" si="16"/>
        <v>2.0710246829463084</v>
      </c>
      <c r="BC16" s="30">
        <f t="shared" si="17"/>
        <v>1.6506079017524078</v>
      </c>
      <c r="BD16" s="25">
        <v>0.5</v>
      </c>
      <c r="BE16" s="26">
        <v>4.7600000000000003E-2</v>
      </c>
      <c r="BF16" s="27">
        <f>Trajectory!AN30*(Parameters!$L$13+(Parameters!$M$13-Parameters!$L$13)*(2036-2025)/25)</f>
        <v>0.63398874662188154</v>
      </c>
      <c r="BG16" s="28">
        <f>Trajectory!AO30*(Parameters!$L$13+(Parameters!$M$13-Parameters!$L$13)*(2036-2025)/25)</f>
        <v>2.1854873968802587E-2</v>
      </c>
      <c r="BH16" s="29">
        <f t="shared" si="18"/>
        <v>0.63398874662188154</v>
      </c>
      <c r="BI16" s="30">
        <f t="shared" si="19"/>
        <v>2.1854873968802587E-2</v>
      </c>
      <c r="BJ16" s="25">
        <v>0.75</v>
      </c>
      <c r="BK16" s="26">
        <v>0.21149999999999999</v>
      </c>
      <c r="BL16" s="27">
        <f>Trajectory!AR30*(Parameters!$L$14+(Parameters!$M$14-Parameters!$L$14)*(2036-2025)/25)</f>
        <v>0.51806220146666249</v>
      </c>
      <c r="BM16" s="28">
        <f>Trajectory!AS30*(Parameters!$L$14+(Parameters!$M$14-Parameters!$L$14)*(2036-2025)/25)</f>
        <v>0.26556810300471895</v>
      </c>
      <c r="BN16" s="29">
        <f t="shared" si="20"/>
        <v>0.51806220146666249</v>
      </c>
      <c r="BO16" s="30">
        <f t="shared" si="21"/>
        <v>0.26556810300471895</v>
      </c>
      <c r="BP16" s="25">
        <v>0.42499999999999999</v>
      </c>
      <c r="BQ16" s="26">
        <v>2.4299999999999999E-2</v>
      </c>
      <c r="BR16" s="27">
        <f>Trajectory!AV30*(Parameters!$L$15+(Parameters!$M$15-Parameters!$L$15)*(2036-2025)/25)</f>
        <v>0.30671608166868031</v>
      </c>
      <c r="BS16" s="28">
        <f>Trajectory!AW30*(Parameters!$L$15+(Parameters!$M$15-Parameters!$L$15)*(2036-2025)/25)</f>
        <v>0.79591429820057891</v>
      </c>
      <c r="BT16" s="29">
        <f t="shared" si="22"/>
        <v>0.79591429820057891</v>
      </c>
      <c r="BU16" s="30">
        <f t="shared" si="23"/>
        <v>0.30671608166868031</v>
      </c>
    </row>
    <row r="17" spans="1:73" x14ac:dyDescent="0.3">
      <c r="A17" s="6">
        <v>2037</v>
      </c>
      <c r="B17" s="25">
        <v>5.5</v>
      </c>
      <c r="C17" s="26">
        <v>10</v>
      </c>
      <c r="D17" s="27">
        <f>Trajectory!D31*(Parameters!$L$4+(Parameters!$M$4-Parameters!$L$4)*(2037-2025)/25)</f>
        <v>5.6334991078989374</v>
      </c>
      <c r="E17" s="28">
        <f>Trajectory!E31*(Parameters!$L$4+(Parameters!$M$4-Parameters!$L$4)*(2037-2025)/25)</f>
        <v>10.384865503284425</v>
      </c>
      <c r="F17" s="29">
        <f t="shared" si="0"/>
        <v>10.384865503284425</v>
      </c>
      <c r="G17" s="30">
        <f t="shared" si="1"/>
        <v>5.6334991078989374</v>
      </c>
      <c r="H17" s="25">
        <v>3.5</v>
      </c>
      <c r="I17" s="26">
        <v>3.2222</v>
      </c>
      <c r="J17" s="27">
        <f>Trajectory!H31*(Parameters!$L$5+(Parameters!$M$5-Parameters!$L$5)*(2037-2025)/25)</f>
        <v>5.4136922093703017</v>
      </c>
      <c r="K17" s="28">
        <f>Trajectory!I31*(Parameters!$L$5+(Parameters!$M$5-Parameters!$L$5)*(2037-2025)/25)</f>
        <v>9.4614331365211086</v>
      </c>
      <c r="L17" s="29">
        <f t="shared" si="2"/>
        <v>9.4614331365211086</v>
      </c>
      <c r="M17" s="30">
        <f t="shared" si="3"/>
        <v>5.4136922093703017</v>
      </c>
      <c r="N17" s="25">
        <v>1.3</v>
      </c>
      <c r="O17" s="26">
        <v>3.8683999999999998</v>
      </c>
      <c r="P17" s="27">
        <f>Trajectory!L31*(Parameters!$L$6+(Parameters!$M$6-Parameters!$L$6)*(2037-2025)/25)</f>
        <v>2.5493026648466452</v>
      </c>
      <c r="Q17" s="28">
        <f>Trajectory!M31*(Parameters!$L$6+(Parameters!$M$6-Parameters!$L$6)*(2037-2025)/25)</f>
        <v>0.79997228271105458</v>
      </c>
      <c r="R17" s="29">
        <f t="shared" si="4"/>
        <v>2.5493026648466452</v>
      </c>
      <c r="S17" s="30">
        <f t="shared" si="5"/>
        <v>0.79997228271105458</v>
      </c>
      <c r="T17" s="25">
        <v>1.05</v>
      </c>
      <c r="U17" s="26">
        <v>0.7419</v>
      </c>
      <c r="V17" s="27">
        <f>Trajectory!P31*(Parameters!$L$7+(Parameters!$M$7-Parameters!$L$7)*(2037-2025)/25)</f>
        <v>2.9130085362815668</v>
      </c>
      <c r="W17" s="28">
        <f>Trajectory!Q31*(Parameters!$L$7+(Parameters!$M$7-Parameters!$L$7)*(2037-2025)/25)</f>
        <v>0</v>
      </c>
      <c r="X17" s="29">
        <f t="shared" si="6"/>
        <v>2.9130085362815668</v>
      </c>
      <c r="Y17" s="30">
        <f t="shared" si="7"/>
        <v>0</v>
      </c>
      <c r="Z17" s="25">
        <v>2.7</v>
      </c>
      <c r="AA17" s="26">
        <v>4.1349</v>
      </c>
      <c r="AB17" s="27">
        <f>Trajectory!T31*(Parameters!$L$8+(Parameters!$M$8-Parameters!$L$8)*(2037-2025)/25)</f>
        <v>2.5262933649330921</v>
      </c>
      <c r="AC17" s="28">
        <f>Trajectory!U31*(Parameters!$L$8+(Parameters!$M$8-Parameters!$L$8)*(2037-2025)/25)</f>
        <v>3.3264022315207935</v>
      </c>
      <c r="AD17" s="29">
        <f t="shared" si="8"/>
        <v>3.3264022315207935</v>
      </c>
      <c r="AE17" s="30">
        <f t="shared" si="9"/>
        <v>2.5262933649330921</v>
      </c>
      <c r="AF17" s="25">
        <v>1.7</v>
      </c>
      <c r="AG17" s="26">
        <v>0.69240000000000002</v>
      </c>
      <c r="AH17" s="27">
        <f>Trajectory!X31*(Parameters!$L$9+(Parameters!$M$9-Parameters!$L$9)*(2037-2025)/25)</f>
        <v>1.5695370615026136</v>
      </c>
      <c r="AI17" s="28">
        <f>Trajectory!Y31*(Parameters!$L$9+(Parameters!$M$9-Parameters!$L$9)*(2037-2025)/25)</f>
        <v>1.4225102225853139</v>
      </c>
      <c r="AJ17" s="29">
        <f t="shared" si="10"/>
        <v>1.5695370615026136</v>
      </c>
      <c r="AK17" s="30">
        <f t="shared" si="11"/>
        <v>1.4225102225853139</v>
      </c>
      <c r="AL17" s="25">
        <v>0.9</v>
      </c>
      <c r="AM17" s="26">
        <v>1.2361</v>
      </c>
      <c r="AN17" s="27">
        <f>Trajectory!AB31*(Parameters!$L$10+(Parameters!$M$10-Parameters!$L$10)*(2037-2025)/25)</f>
        <v>0.72890620704964015</v>
      </c>
      <c r="AO17" s="28">
        <f>Trajectory!AC31*(Parameters!$L$10+(Parameters!$M$10-Parameters!$L$10)*(2037-2025)/25)</f>
        <v>0.71872838863553401</v>
      </c>
      <c r="AP17" s="29">
        <f t="shared" si="12"/>
        <v>0.72890620704964015</v>
      </c>
      <c r="AQ17" s="30">
        <f t="shared" si="13"/>
        <v>0.71872838863553401</v>
      </c>
      <c r="AR17" s="25">
        <v>0.5</v>
      </c>
      <c r="AS17" s="26">
        <v>0.78920000000000001</v>
      </c>
      <c r="AT17" s="27">
        <f>Trajectory!AF31*(Parameters!$L$11+(Parameters!$M$11-Parameters!$L$11)*(2037-2025)/25)</f>
        <v>1.319339180496818</v>
      </c>
      <c r="AU17" s="28">
        <f>Trajectory!AG31*(Parameters!$L$11+(Parameters!$M$11-Parameters!$L$11)*(2037-2025)/25)</f>
        <v>0.96211564543639494</v>
      </c>
      <c r="AV17" s="29">
        <f t="shared" si="14"/>
        <v>1.319339180496818</v>
      </c>
      <c r="AW17" s="30">
        <f t="shared" si="15"/>
        <v>0.96211564543639494</v>
      </c>
      <c r="AX17" s="25">
        <v>1.4</v>
      </c>
      <c r="AY17" s="26">
        <v>0.30530000000000002</v>
      </c>
      <c r="AZ17" s="27">
        <f>Trajectory!AJ31*(Parameters!$L$12+(Parameters!$M$12-Parameters!$L$12)*(2037-2025)/25)</f>
        <v>2.0883796383899949</v>
      </c>
      <c r="BA17" s="28">
        <f>Trajectory!AK31*(Parameters!$L$12+(Parameters!$M$12-Parameters!$L$12)*(2037-2025)/25)</f>
        <v>1.8308837926979922</v>
      </c>
      <c r="BB17" s="29">
        <f t="shared" si="16"/>
        <v>2.0883796383899949</v>
      </c>
      <c r="BC17" s="30">
        <f t="shared" si="17"/>
        <v>1.8308837926979922</v>
      </c>
      <c r="BD17" s="25">
        <v>0.5</v>
      </c>
      <c r="BE17" s="26">
        <v>4.7600000000000003E-2</v>
      </c>
      <c r="BF17" s="27">
        <f>Trajectory!AN31*(Parameters!$L$13+(Parameters!$M$13-Parameters!$L$13)*(2037-2025)/25)</f>
        <v>0.60934335358096281</v>
      </c>
      <c r="BG17" s="28">
        <f>Trajectory!AO31*(Parameters!$L$13+(Parameters!$M$13-Parameters!$L$13)*(2037-2025)/25)</f>
        <v>2.4228667068286143E-2</v>
      </c>
      <c r="BH17" s="29">
        <f t="shared" si="18"/>
        <v>0.60934335358096281</v>
      </c>
      <c r="BI17" s="30">
        <f t="shared" si="19"/>
        <v>2.4228667068286143E-2</v>
      </c>
      <c r="BJ17" s="25">
        <v>0.75</v>
      </c>
      <c r="BK17" s="26">
        <v>0.21149999999999999</v>
      </c>
      <c r="BL17" s="27">
        <f>Trajectory!AR31*(Parameters!$L$14+(Parameters!$M$14-Parameters!$L$14)*(2037-2025)/25)</f>
        <v>0.5308893162306787</v>
      </c>
      <c r="BM17" s="28">
        <f>Trajectory!AS31*(Parameters!$L$14+(Parameters!$M$14-Parameters!$L$14)*(2037-2025)/25)</f>
        <v>0.29457288743903315</v>
      </c>
      <c r="BN17" s="29">
        <f t="shared" si="20"/>
        <v>0.5308893162306787</v>
      </c>
      <c r="BO17" s="30">
        <f t="shared" si="21"/>
        <v>0.29457288743903315</v>
      </c>
      <c r="BP17" s="25">
        <v>0.42499999999999999</v>
      </c>
      <c r="BQ17" s="26">
        <v>2.4299999999999999E-2</v>
      </c>
      <c r="BR17" s="27">
        <f>Trajectory!AV31*(Parameters!$L$15+(Parameters!$M$15-Parameters!$L$15)*(2037-2025)/25)</f>
        <v>0.3093793182678295</v>
      </c>
      <c r="BS17" s="28">
        <f>Trajectory!AW31*(Parameters!$L$15+(Parameters!$M$15-Parameters!$L$15)*(2037-2025)/25)</f>
        <v>0.22575797146403265</v>
      </c>
      <c r="BT17" s="29">
        <f t="shared" si="22"/>
        <v>0.3093793182678295</v>
      </c>
      <c r="BU17" s="30">
        <f t="shared" si="23"/>
        <v>0.22575797146403265</v>
      </c>
    </row>
    <row r="18" spans="1:73" x14ac:dyDescent="0.3">
      <c r="A18" s="6">
        <v>2038</v>
      </c>
      <c r="B18" s="25">
        <v>5.5</v>
      </c>
      <c r="C18" s="26">
        <v>10</v>
      </c>
      <c r="D18" s="27">
        <f>Trajectory!D32*(Parameters!$L$4+(Parameters!$M$4-Parameters!$L$4)*(2038-2025)/25)</f>
        <v>5.5049555532394425</v>
      </c>
      <c r="E18" s="28">
        <f>Trajectory!E32*(Parameters!$L$4+(Parameters!$M$4-Parameters!$L$4)*(2038-2025)/25)</f>
        <v>11.106242767708977</v>
      </c>
      <c r="F18" s="29">
        <f t="shared" si="0"/>
        <v>11.106242767708977</v>
      </c>
      <c r="G18" s="30">
        <f t="shared" si="1"/>
        <v>5.5049555532394425</v>
      </c>
      <c r="H18" s="25">
        <v>3.5</v>
      </c>
      <c r="I18" s="26">
        <v>3.2222</v>
      </c>
      <c r="J18" s="27">
        <f>Trajectory!H32*(Parameters!$L$5+(Parameters!$M$5-Parameters!$L$5)*(2038-2025)/25)</f>
        <v>5.1986267000709487</v>
      </c>
      <c r="K18" s="28">
        <f>Trajectory!I32*(Parameters!$L$5+(Parameters!$M$5-Parameters!$L$5)*(2038-2025)/25)</f>
        <v>10.023205729001942</v>
      </c>
      <c r="L18" s="29">
        <f t="shared" si="2"/>
        <v>10.023205729001942</v>
      </c>
      <c r="M18" s="30">
        <f t="shared" si="3"/>
        <v>5.1986267000709487</v>
      </c>
      <c r="N18" s="25">
        <v>1.3</v>
      </c>
      <c r="O18" s="26">
        <v>3.8683999999999998</v>
      </c>
      <c r="P18" s="27">
        <f>Trajectory!L32*(Parameters!$L$6+(Parameters!$M$6-Parameters!$L$6)*(2038-2025)/25)</f>
        <v>2.5199213594523182</v>
      </c>
      <c r="Q18" s="28">
        <f>Trajectory!M32*(Parameters!$L$6+(Parameters!$M$6-Parameters!$L$6)*(2038-2025)/25)</f>
        <v>0.87114987196501248</v>
      </c>
      <c r="R18" s="29">
        <f t="shared" si="4"/>
        <v>2.5199213594523182</v>
      </c>
      <c r="S18" s="30">
        <f t="shared" si="5"/>
        <v>0.87114987196501248</v>
      </c>
      <c r="T18" s="25">
        <v>1.05</v>
      </c>
      <c r="U18" s="26">
        <v>0.7419</v>
      </c>
      <c r="V18" s="27">
        <f>Trajectory!P32*(Parameters!$L$7+(Parameters!$M$7-Parameters!$L$7)*(2038-2025)/25)</f>
        <v>2.9372163634528921</v>
      </c>
      <c r="W18" s="28">
        <f>Trajectory!Q32*(Parameters!$L$7+(Parameters!$M$7-Parameters!$L$7)*(2038-2025)/25)</f>
        <v>0</v>
      </c>
      <c r="X18" s="29">
        <f t="shared" si="6"/>
        <v>2.9372163634528921</v>
      </c>
      <c r="Y18" s="30">
        <f t="shared" si="7"/>
        <v>0</v>
      </c>
      <c r="Z18" s="25">
        <v>2.7</v>
      </c>
      <c r="AA18" s="26">
        <v>4.1349</v>
      </c>
      <c r="AB18" s="27">
        <f>Trajectory!T32*(Parameters!$L$8+(Parameters!$M$8-Parameters!$L$8)*(2038-2025)/25)</f>
        <v>2.4686491329874709</v>
      </c>
      <c r="AC18" s="28">
        <f>Trajectory!U32*(Parameters!$L$8+(Parameters!$M$8-Parameters!$L$8)*(2038-2025)/25)</f>
        <v>3.5574683865317835</v>
      </c>
      <c r="AD18" s="29">
        <f t="shared" si="8"/>
        <v>3.5574683865317835</v>
      </c>
      <c r="AE18" s="30">
        <f t="shared" si="9"/>
        <v>2.4686491329874709</v>
      </c>
      <c r="AF18" s="25">
        <v>1.7</v>
      </c>
      <c r="AG18" s="26">
        <v>0.69240000000000002</v>
      </c>
      <c r="AH18" s="27">
        <f>Trajectory!X32*(Parameters!$L$9+(Parameters!$M$9-Parameters!$L$9)*(2038-2025)/25)</f>
        <v>1.5439414913113463</v>
      </c>
      <c r="AI18" s="28">
        <f>Trajectory!Y32*(Parameters!$L$9+(Parameters!$M$9-Parameters!$L$9)*(2038-2025)/25)</f>
        <v>1.521323879118468</v>
      </c>
      <c r="AJ18" s="29">
        <f t="shared" si="10"/>
        <v>1.5439414913113463</v>
      </c>
      <c r="AK18" s="30">
        <f t="shared" si="11"/>
        <v>1.521323879118468</v>
      </c>
      <c r="AL18" s="25">
        <v>0.9</v>
      </c>
      <c r="AM18" s="26">
        <v>1.2361</v>
      </c>
      <c r="AN18" s="27">
        <f>Trajectory!AB32*(Parameters!$L$10+(Parameters!$M$10-Parameters!$L$10)*(2038-2025)/25)</f>
        <v>0.73496359935199174</v>
      </c>
      <c r="AO18" s="28">
        <f>Trajectory!AC32*(Parameters!$L$10+(Parameters!$M$10-Parameters!$L$10)*(2038-2025)/25)</f>
        <v>0.77543028478051845</v>
      </c>
      <c r="AP18" s="29">
        <f t="shared" si="12"/>
        <v>0.77543028478051845</v>
      </c>
      <c r="AQ18" s="30">
        <f t="shared" si="13"/>
        <v>0.73496359935199174</v>
      </c>
      <c r="AR18" s="25">
        <v>0.5</v>
      </c>
      <c r="AS18" s="26">
        <v>0.78920000000000001</v>
      </c>
      <c r="AT18" s="27">
        <f>Trajectory!AF32*(Parameters!$L$11+(Parameters!$M$11-Parameters!$L$11)*(2038-2025)/25)</f>
        <v>1.3138433736733954</v>
      </c>
      <c r="AU18" s="28">
        <f>Trajectory!AG32*(Parameters!$L$11+(Parameters!$M$11-Parameters!$L$11)*(2038-2025)/25)</f>
        <v>1.0286217168813414</v>
      </c>
      <c r="AV18" s="29">
        <f t="shared" si="14"/>
        <v>1.3138433736733954</v>
      </c>
      <c r="AW18" s="30">
        <f t="shared" si="15"/>
        <v>1.0286217168813414</v>
      </c>
      <c r="AX18" s="25">
        <v>1.4</v>
      </c>
      <c r="AY18" s="26">
        <v>0.30530000000000002</v>
      </c>
      <c r="AZ18" s="27">
        <f>Trajectory!AJ32*(Parameters!$L$12+(Parameters!$M$12-Parameters!$L$12)*(2038-2025)/25)</f>
        <v>2.0643105779441968</v>
      </c>
      <c r="BA18" s="28">
        <f>Trajectory!AK32*(Parameters!$L$12+(Parameters!$M$12-Parameters!$L$12)*(2038-2025)/25)</f>
        <v>2.030708782815172</v>
      </c>
      <c r="BB18" s="29">
        <f t="shared" si="16"/>
        <v>2.0643105779441968</v>
      </c>
      <c r="BC18" s="30">
        <f t="shared" si="17"/>
        <v>2.030708782815172</v>
      </c>
      <c r="BD18" s="25">
        <v>0.5</v>
      </c>
      <c r="BE18" s="26">
        <v>4.7600000000000003E-2</v>
      </c>
      <c r="BF18" s="27">
        <f>Trajectory!AN32*(Parameters!$L$13+(Parameters!$M$13-Parameters!$L$13)*(2038-2025)/25)</f>
        <v>0.57266576094302701</v>
      </c>
      <c r="BG18" s="28">
        <f>Trajectory!AO32*(Parameters!$L$13+(Parameters!$M$13-Parameters!$L$13)*(2038-2025)/25)</f>
        <v>2.6858670047978438E-2</v>
      </c>
      <c r="BH18" s="29">
        <f t="shared" si="18"/>
        <v>0.57266576094302701</v>
      </c>
      <c r="BI18" s="30">
        <f t="shared" si="19"/>
        <v>2.6858670047978438E-2</v>
      </c>
      <c r="BJ18" s="25">
        <v>0.75</v>
      </c>
      <c r="BK18" s="26">
        <v>0.21149999999999999</v>
      </c>
      <c r="BL18" s="27">
        <f>Trajectory!AR32*(Parameters!$L$14+(Parameters!$M$14-Parameters!$L$14)*(2038-2025)/25)</f>
        <v>0.53530113880323349</v>
      </c>
      <c r="BM18" s="28">
        <f>Trajectory!AS32*(Parameters!$L$14+(Parameters!$M$14-Parameters!$L$14)*(2038-2025)/25)</f>
        <v>0.32672294773016408</v>
      </c>
      <c r="BN18" s="29">
        <f t="shared" si="20"/>
        <v>0.53530113880323349</v>
      </c>
      <c r="BO18" s="30">
        <f t="shared" si="21"/>
        <v>0.32672294773016408</v>
      </c>
      <c r="BP18" s="25">
        <v>0.42499999999999999</v>
      </c>
      <c r="BQ18" s="26">
        <v>2.4299999999999999E-2</v>
      </c>
      <c r="BR18" s="27">
        <f>Trajectory!AV32*(Parameters!$L$15+(Parameters!$M$15-Parameters!$L$15)*(2038-2025)/25)</f>
        <v>0.30809057539298901</v>
      </c>
      <c r="BS18" s="28">
        <f>Trajectory!AW32*(Parameters!$L$15+(Parameters!$M$15-Parameters!$L$15)*(2038-2025)/25)</f>
        <v>0</v>
      </c>
      <c r="BT18" s="29">
        <f t="shared" si="22"/>
        <v>0.30809057539298901</v>
      </c>
      <c r="BU18" s="30">
        <f t="shared" si="23"/>
        <v>0</v>
      </c>
    </row>
    <row r="19" spans="1:73" x14ac:dyDescent="0.3">
      <c r="A19" s="6">
        <v>2039</v>
      </c>
      <c r="B19" s="25">
        <v>5.5</v>
      </c>
      <c r="C19" s="26">
        <v>10</v>
      </c>
      <c r="D19" s="27">
        <f>Trajectory!D33*(Parameters!$L$4+(Parameters!$M$4-Parameters!$L$4)*(2039-2025)/25)</f>
        <v>5.2969211040109707</v>
      </c>
      <c r="E19" s="28">
        <f>Trajectory!E33*(Parameters!$L$4+(Parameters!$M$4-Parameters!$L$4)*(2039-2025)/25)</f>
        <v>3.6965368657884889</v>
      </c>
      <c r="F19" s="29">
        <f t="shared" si="0"/>
        <v>5.2969211040109707</v>
      </c>
      <c r="G19" s="30">
        <f t="shared" si="1"/>
        <v>3.6965368657884889</v>
      </c>
      <c r="H19" s="25">
        <v>3.5</v>
      </c>
      <c r="I19" s="26">
        <v>3.2222</v>
      </c>
      <c r="J19" s="27">
        <f>Trajectory!H33*(Parameters!$L$5+(Parameters!$M$5-Parameters!$L$5)*(2039-2025)/25)</f>
        <v>4.9358457458654508</v>
      </c>
      <c r="K19" s="28">
        <f>Trajectory!I33*(Parameters!$L$5+(Parameters!$M$5-Parameters!$L$5)*(2039-2025)/25)</f>
        <v>10.617501997889825</v>
      </c>
      <c r="L19" s="29">
        <f t="shared" si="2"/>
        <v>10.617501997889825</v>
      </c>
      <c r="M19" s="30">
        <f t="shared" si="3"/>
        <v>4.9358457458654508</v>
      </c>
      <c r="N19" s="25">
        <v>1.3</v>
      </c>
      <c r="O19" s="26">
        <v>3.8683999999999998</v>
      </c>
      <c r="P19" s="27">
        <f>Trajectory!L33*(Parameters!$L$6+(Parameters!$M$6-Parameters!$L$6)*(2039-2025)/25)</f>
        <v>2.4426575190917412</v>
      </c>
      <c r="Q19" s="28">
        <f>Trajectory!M33*(Parameters!$L$6+(Parameters!$M$6-Parameters!$L$6)*(2039-2025)/25)</f>
        <v>0.94859605289025561</v>
      </c>
      <c r="R19" s="29">
        <f t="shared" si="4"/>
        <v>2.4426575190917412</v>
      </c>
      <c r="S19" s="30">
        <f t="shared" si="5"/>
        <v>0.94859605289025561</v>
      </c>
      <c r="T19" s="25">
        <v>1.05</v>
      </c>
      <c r="U19" s="26">
        <v>0.7419</v>
      </c>
      <c r="V19" s="27">
        <f>Trajectory!P33*(Parameters!$L$7+(Parameters!$M$7-Parameters!$L$7)*(2039-2025)/25)</f>
        <v>2.9031670469712667</v>
      </c>
      <c r="W19" s="28">
        <f>Trajectory!Q33*(Parameters!$L$7+(Parameters!$M$7-Parameters!$L$7)*(2039-2025)/25)</f>
        <v>0</v>
      </c>
      <c r="X19" s="29">
        <f t="shared" si="6"/>
        <v>2.9031670469712667</v>
      </c>
      <c r="Y19" s="30">
        <f t="shared" si="7"/>
        <v>0</v>
      </c>
      <c r="Z19" s="25">
        <v>2.7</v>
      </c>
      <c r="AA19" s="26">
        <v>4.1349</v>
      </c>
      <c r="AB19" s="27">
        <f>Trajectory!T33*(Parameters!$L$8+(Parameters!$M$8-Parameters!$L$8)*(2039-2025)/25)</f>
        <v>2.3753579051559988</v>
      </c>
      <c r="AC19" s="28">
        <f>Trajectory!U33*(Parameters!$L$8+(Parameters!$M$8-Parameters!$L$8)*(2039-2025)/25)</f>
        <v>3.8042874321106432</v>
      </c>
      <c r="AD19" s="29">
        <f t="shared" si="8"/>
        <v>3.8042874321106432</v>
      </c>
      <c r="AE19" s="30">
        <f t="shared" si="9"/>
        <v>2.3753579051559988</v>
      </c>
      <c r="AF19" s="25">
        <v>1.7</v>
      </c>
      <c r="AG19" s="26">
        <v>0.69240000000000002</v>
      </c>
      <c r="AH19" s="27">
        <f>Trajectory!X33*(Parameters!$L$9+(Parameters!$M$9-Parameters!$L$9)*(2039-2025)/25)</f>
        <v>1.5001207626425157</v>
      </c>
      <c r="AI19" s="28">
        <f>Trajectory!Y33*(Parameters!$L$9+(Parameters!$M$9-Parameters!$L$9)*(2039-2025)/25)</f>
        <v>1.6268741376343117</v>
      </c>
      <c r="AJ19" s="29">
        <f t="shared" si="10"/>
        <v>1.6268741376343117</v>
      </c>
      <c r="AK19" s="30">
        <f t="shared" si="11"/>
        <v>1.5001207626425157</v>
      </c>
      <c r="AL19" s="25">
        <v>0.9</v>
      </c>
      <c r="AM19" s="26">
        <v>1.2361</v>
      </c>
      <c r="AN19" s="27">
        <f>Trajectory!AB33*(Parameters!$L$10+(Parameters!$M$10-Parameters!$L$10)*(2039-2025)/25)</f>
        <v>0.72917640524771654</v>
      </c>
      <c r="AO19" s="28">
        <f>Trajectory!AC33*(Parameters!$L$10+(Parameters!$M$10-Parameters!$L$10)*(2039-2025)/25)</f>
        <v>0.83654867728149274</v>
      </c>
      <c r="AP19" s="29">
        <f t="shared" si="12"/>
        <v>0.83654867728149274</v>
      </c>
      <c r="AQ19" s="30">
        <f t="shared" si="13"/>
        <v>0.72917640524771654</v>
      </c>
      <c r="AR19" s="25">
        <v>0.5</v>
      </c>
      <c r="AS19" s="26">
        <v>0.78920000000000001</v>
      </c>
      <c r="AT19" s="27">
        <f>Trajectory!AF33*(Parameters!$L$11+(Parameters!$M$11-Parameters!$L$11)*(2039-2025)/25)</f>
        <v>1.2919132358706704</v>
      </c>
      <c r="AU19" s="28">
        <f>Trajectory!AG33*(Parameters!$L$11+(Parameters!$M$11-Parameters!$L$11)*(2039-2025)/25)</f>
        <v>1.0996449005761062</v>
      </c>
      <c r="AV19" s="29">
        <f t="shared" si="14"/>
        <v>1.2919132358706704</v>
      </c>
      <c r="AW19" s="30">
        <f t="shared" si="15"/>
        <v>1.0996449005761062</v>
      </c>
      <c r="AX19" s="25">
        <v>1.4</v>
      </c>
      <c r="AY19" s="26">
        <v>0.30530000000000002</v>
      </c>
      <c r="AZ19" s="27">
        <f>Trajectory!AJ33*(Parameters!$L$12+(Parameters!$M$12-Parameters!$L$12)*(2039-2025)/25)</f>
        <v>2.0010163158631027</v>
      </c>
      <c r="BA19" s="28">
        <f>Trajectory!AK33*(Parameters!$L$12+(Parameters!$M$12-Parameters!$L$12)*(2039-2025)/25)</f>
        <v>2.2521899330288031</v>
      </c>
      <c r="BB19" s="29">
        <f t="shared" si="16"/>
        <v>2.2521899330288031</v>
      </c>
      <c r="BC19" s="30">
        <f t="shared" si="17"/>
        <v>2.0010163158631027</v>
      </c>
      <c r="BD19" s="25">
        <v>0.5</v>
      </c>
      <c r="BE19" s="26">
        <v>4.7600000000000003E-2</v>
      </c>
      <c r="BF19" s="27">
        <f>Trajectory!AN33*(Parameters!$L$13+(Parameters!$M$13-Parameters!$L$13)*(2039-2025)/25)</f>
        <v>0.52704508714154252</v>
      </c>
      <c r="BG19" s="28">
        <f>Trajectory!AO33*(Parameters!$L$13+(Parameters!$M$13-Parameters!$L$13)*(2039-2025)/25)</f>
        <v>2.9772386952926146E-2</v>
      </c>
      <c r="BH19" s="29">
        <f t="shared" si="18"/>
        <v>0.52704508714154252</v>
      </c>
      <c r="BI19" s="30">
        <f t="shared" si="19"/>
        <v>2.9772386952926146E-2</v>
      </c>
      <c r="BJ19" s="25">
        <v>0.75</v>
      </c>
      <c r="BK19" s="26">
        <v>0.21149999999999999</v>
      </c>
      <c r="BL19" s="27">
        <f>Trajectory!AR33*(Parameters!$L$14+(Parameters!$M$14-Parameters!$L$14)*(2039-2025)/25)</f>
        <v>0.53108611155939978</v>
      </c>
      <c r="BM19" s="28">
        <f>Trajectory!AS33*(Parameters!$L$14+(Parameters!$M$14-Parameters!$L$14)*(2039-2025)/25)</f>
        <v>0.36235729120512861</v>
      </c>
      <c r="BN19" s="29">
        <f t="shared" si="20"/>
        <v>0.53108611155939978</v>
      </c>
      <c r="BO19" s="30">
        <f t="shared" si="21"/>
        <v>0.36235729120512861</v>
      </c>
      <c r="BP19" s="25">
        <v>0.42499999999999999</v>
      </c>
      <c r="BQ19" s="26">
        <v>2.4299999999999999E-2</v>
      </c>
      <c r="BR19" s="27">
        <f>Trajectory!AV33*(Parameters!$L$15+(Parameters!$M$15-Parameters!$L$15)*(2039-2025)/25)</f>
        <v>0.30294805314910911</v>
      </c>
      <c r="BS19" s="28">
        <f>Trajectory!AW33*(Parameters!$L$15+(Parameters!$M$15-Parameters!$L$15)*(2039-2025)/25)</f>
        <v>0</v>
      </c>
      <c r="BT19" s="29">
        <f t="shared" si="22"/>
        <v>0.30294805314910911</v>
      </c>
      <c r="BU19" s="30">
        <f t="shared" si="23"/>
        <v>0</v>
      </c>
    </row>
    <row r="20" spans="1:73" x14ac:dyDescent="0.3">
      <c r="A20" s="6">
        <v>2040</v>
      </c>
      <c r="B20" s="25">
        <v>5.5</v>
      </c>
      <c r="C20" s="26">
        <v>10</v>
      </c>
      <c r="D20" s="27">
        <f>Trajectory!D34*(Parameters!$L$4+(Parameters!$M$4-Parameters!$L$4)*(2040-2025)/25)</f>
        <v>5.0222009279977478</v>
      </c>
      <c r="E20" s="28">
        <f>Trajectory!E34*(Parameters!$L$4+(Parameters!$M$4-Parameters!$L$4)*(2040-2025)/25)</f>
        <v>0</v>
      </c>
      <c r="F20" s="29">
        <f t="shared" si="0"/>
        <v>5.0222009279977478</v>
      </c>
      <c r="G20" s="30">
        <f t="shared" si="1"/>
        <v>0</v>
      </c>
      <c r="H20" s="25">
        <v>3.5</v>
      </c>
      <c r="I20" s="26">
        <v>3.2222</v>
      </c>
      <c r="J20" s="27">
        <f>Trajectory!H34*(Parameters!$L$5+(Parameters!$M$5-Parameters!$L$5)*(2040-2025)/25)</f>
        <v>4.6365961338517554</v>
      </c>
      <c r="K20" s="28">
        <f>Trajectory!I34*(Parameters!$L$5+(Parameters!$M$5-Parameters!$L$5)*(2040-2025)/25)</f>
        <v>4.708602413125285</v>
      </c>
      <c r="L20" s="29">
        <f t="shared" si="2"/>
        <v>4.708602413125285</v>
      </c>
      <c r="M20" s="30">
        <f t="shared" si="3"/>
        <v>4.6365961338517554</v>
      </c>
      <c r="N20" s="25">
        <v>1.3</v>
      </c>
      <c r="O20" s="26">
        <v>3.8683999999999998</v>
      </c>
      <c r="P20" s="27">
        <f>Trajectory!L34*(Parameters!$L$6+(Parameters!$M$6-Parameters!$L$6)*(2040-2025)/25)</f>
        <v>2.3236572325599227</v>
      </c>
      <c r="Q20" s="28">
        <f>Trajectory!M34*(Parameters!$L$6+(Parameters!$M$6-Parameters!$L$6)*(2040-2025)/25)</f>
        <v>1.0328582635829568</v>
      </c>
      <c r="R20" s="29">
        <f t="shared" si="4"/>
        <v>2.3236572325599227</v>
      </c>
      <c r="S20" s="30">
        <f t="shared" si="5"/>
        <v>1.0328582635829568</v>
      </c>
      <c r="T20" s="25">
        <v>1.05</v>
      </c>
      <c r="U20" s="26">
        <v>0.7419</v>
      </c>
      <c r="V20" s="27">
        <f>Trajectory!P34*(Parameters!$L$7+(Parameters!$M$7-Parameters!$L$7)*(2040-2025)/25)</f>
        <v>2.8139643863847179</v>
      </c>
      <c r="W20" s="28">
        <f>Trajectory!Q34*(Parameters!$L$7+(Parameters!$M$7-Parameters!$L$7)*(2040-2025)/25)</f>
        <v>0</v>
      </c>
      <c r="X20" s="29">
        <f t="shared" si="6"/>
        <v>2.8139643863847179</v>
      </c>
      <c r="Y20" s="30">
        <f t="shared" si="7"/>
        <v>0</v>
      </c>
      <c r="Z20" s="25">
        <v>2.7</v>
      </c>
      <c r="AA20" s="26">
        <v>4.1349</v>
      </c>
      <c r="AB20" s="27">
        <f>Trajectory!T34*(Parameters!$L$8+(Parameters!$M$8-Parameters!$L$8)*(2040-2025)/25)</f>
        <v>2.2521620468479067</v>
      </c>
      <c r="AC20" s="28">
        <f>Trajectory!U34*(Parameters!$L$8+(Parameters!$M$8-Parameters!$L$8)*(2040-2025)/25)</f>
        <v>4.0679178769674014</v>
      </c>
      <c r="AD20" s="29">
        <f t="shared" si="8"/>
        <v>4.0679178769674014</v>
      </c>
      <c r="AE20" s="30">
        <f t="shared" si="9"/>
        <v>2.2521620468479067</v>
      </c>
      <c r="AF20" s="25">
        <v>1.7</v>
      </c>
      <c r="AG20" s="26">
        <v>0.69240000000000002</v>
      </c>
      <c r="AH20" s="27">
        <f>Trajectory!X34*(Parameters!$L$9+(Parameters!$M$9-Parameters!$L$9)*(2040-2025)/25)</f>
        <v>1.4403029907712623</v>
      </c>
      <c r="AI20" s="28">
        <f>Trajectory!Y34*(Parameters!$L$9+(Parameters!$M$9-Parameters!$L$9)*(2040-2025)/25)</f>
        <v>1.7396136612071995</v>
      </c>
      <c r="AJ20" s="29">
        <f t="shared" si="10"/>
        <v>1.7396136612071995</v>
      </c>
      <c r="AK20" s="30">
        <f t="shared" si="11"/>
        <v>1.4403029907712623</v>
      </c>
      <c r="AL20" s="25">
        <v>0.9</v>
      </c>
      <c r="AM20" s="26">
        <v>1.2361</v>
      </c>
      <c r="AN20" s="27">
        <f>Trajectory!AB34*(Parameters!$L$10+(Parameters!$M$10-Parameters!$L$10)*(2040-2025)/25)</f>
        <v>0.7120056390512095</v>
      </c>
      <c r="AO20" s="28">
        <f>Trajectory!AC34*(Parameters!$L$10+(Parameters!$M$10-Parameters!$L$10)*(2040-2025)/25)</f>
        <v>0.90242403633716939</v>
      </c>
      <c r="AP20" s="29">
        <f t="shared" si="12"/>
        <v>0.90242403633716939</v>
      </c>
      <c r="AQ20" s="30">
        <f t="shared" si="13"/>
        <v>0.7120056390512095</v>
      </c>
      <c r="AR20" s="25">
        <v>0.5</v>
      </c>
      <c r="AS20" s="26">
        <v>0.78920000000000001</v>
      </c>
      <c r="AT20" s="27">
        <f>Trajectory!AF34*(Parameters!$L$11+(Parameters!$M$11-Parameters!$L$11)*(2040-2025)/25)</f>
        <v>1.2547642311704656</v>
      </c>
      <c r="AU20" s="28">
        <f>Trajectory!AG34*(Parameters!$L$11+(Parameters!$M$11-Parameters!$L$11)*(2040-2025)/25)</f>
        <v>1.1754878281334635</v>
      </c>
      <c r="AV20" s="29">
        <f t="shared" si="14"/>
        <v>1.2547642311704656</v>
      </c>
      <c r="AW20" s="30">
        <f t="shared" si="15"/>
        <v>1.1754878281334635</v>
      </c>
      <c r="AX20" s="25">
        <v>1.4</v>
      </c>
      <c r="AY20" s="26">
        <v>0.30530000000000002</v>
      </c>
      <c r="AZ20" s="27">
        <f>Trajectory!AJ34*(Parameters!$L$12+(Parameters!$M$12-Parameters!$L$12)*(2040-2025)/25)</f>
        <v>1.9035317061372514</v>
      </c>
      <c r="BA20" s="28">
        <f>Trajectory!AK34*(Parameters!$L$12+(Parameters!$M$12-Parameters!$L$12)*(2040-2025)/25)</f>
        <v>2.4976602254570093</v>
      </c>
      <c r="BB20" s="29">
        <f t="shared" si="16"/>
        <v>2.4976602254570093</v>
      </c>
      <c r="BC20" s="30">
        <f t="shared" si="17"/>
        <v>1.9035317061372514</v>
      </c>
      <c r="BD20" s="25">
        <v>0.5</v>
      </c>
      <c r="BE20" s="26">
        <v>4.7600000000000003E-2</v>
      </c>
      <c r="BF20" s="27">
        <f>Trajectory!AN34*(Parameters!$L$13+(Parameters!$M$13-Parameters!$L$13)*(2040-2025)/25)</f>
        <v>0.47586178265100731</v>
      </c>
      <c r="BG20" s="28">
        <f>Trajectory!AO34*(Parameters!$L$13+(Parameters!$M$13-Parameters!$L$13)*(2040-2025)/25)</f>
        <v>3.3000260538383668E-2</v>
      </c>
      <c r="BH20" s="29">
        <f t="shared" si="18"/>
        <v>0.47586178265100731</v>
      </c>
      <c r="BI20" s="30">
        <f t="shared" si="19"/>
        <v>3.3000260538383668E-2</v>
      </c>
      <c r="BJ20" s="25">
        <v>0.75</v>
      </c>
      <c r="BK20" s="26">
        <v>0.21149999999999999</v>
      </c>
      <c r="BL20" s="27">
        <f>Trajectory!AR34*(Parameters!$L$14+(Parameters!$M$14-Parameters!$L$14)*(2040-2025)/25)</f>
        <v>0.51858000825412343</v>
      </c>
      <c r="BM20" s="28">
        <f>Trajectory!AS34*(Parameters!$L$14+(Parameters!$M$14-Parameters!$L$14)*(2040-2025)/25)</f>
        <v>0.40185127389778602</v>
      </c>
      <c r="BN20" s="29">
        <f t="shared" si="20"/>
        <v>0.51858000825412343</v>
      </c>
      <c r="BO20" s="30">
        <f t="shared" si="21"/>
        <v>0.40185127389778602</v>
      </c>
      <c r="BP20" s="25">
        <v>0.42499999999999999</v>
      </c>
      <c r="BQ20" s="26">
        <v>2.4299999999999999E-2</v>
      </c>
      <c r="BR20" s="27">
        <f>Trajectory!AV34*(Parameters!$L$15+(Parameters!$M$15-Parameters!$L$15)*(2040-2025)/25)</f>
        <v>0.294236772594135</v>
      </c>
      <c r="BS20" s="28">
        <f>Trajectory!AW34*(Parameters!$L$15+(Parameters!$M$15-Parameters!$L$15)*(2040-2025)/25)</f>
        <v>0</v>
      </c>
      <c r="BT20" s="29">
        <f t="shared" si="22"/>
        <v>0.294236772594135</v>
      </c>
      <c r="BU20" s="30">
        <f t="shared" si="23"/>
        <v>0</v>
      </c>
    </row>
    <row r="21" spans="1:73" x14ac:dyDescent="0.3">
      <c r="A21" s="6">
        <v>2041</v>
      </c>
      <c r="B21" s="25">
        <v>5.5</v>
      </c>
      <c r="C21" s="26">
        <v>10</v>
      </c>
      <c r="D21" s="27">
        <f>Trajectory!D35*(Parameters!$L$4+(Parameters!$M$4-Parameters!$L$4)*(2041-2025)/25)</f>
        <v>4.6961952394400965</v>
      </c>
      <c r="E21" s="28">
        <f>Trajectory!E35*(Parameters!$L$4+(Parameters!$M$4-Parameters!$L$4)*(2041-2025)/25)</f>
        <v>0</v>
      </c>
      <c r="F21" s="29">
        <f t="shared" si="0"/>
        <v>4.6961952394400965</v>
      </c>
      <c r="G21" s="30">
        <f t="shared" si="1"/>
        <v>0</v>
      </c>
      <c r="H21" s="25">
        <v>3.5</v>
      </c>
      <c r="I21" s="26">
        <v>3.2222</v>
      </c>
      <c r="J21" s="27">
        <f>Trajectory!H35*(Parameters!$L$5+(Parameters!$M$5-Parameters!$L$5)*(2041-2025)/25)</f>
        <v>4.312382885535671</v>
      </c>
      <c r="K21" s="28">
        <f>Trajectory!I35*(Parameters!$L$5+(Parameters!$M$5-Parameters!$L$5)*(2041-2025)/25)</f>
        <v>0</v>
      </c>
      <c r="L21" s="29">
        <f t="shared" si="2"/>
        <v>4.312382885535671</v>
      </c>
      <c r="M21" s="30">
        <f t="shared" si="3"/>
        <v>0</v>
      </c>
      <c r="N21" s="25">
        <v>1.6</v>
      </c>
      <c r="O21" s="26">
        <v>3.8683999999999998</v>
      </c>
      <c r="P21" s="27">
        <f>Trajectory!L35*(Parameters!$L$6+(Parameters!$M$6-Parameters!$L$6)*(2041-2025)/25)</f>
        <v>2.171556116193194</v>
      </c>
      <c r="Q21" s="28">
        <f>Trajectory!M35*(Parameters!$L$6+(Parameters!$M$6-Parameters!$L$6)*(2041-2025)/25)</f>
        <v>1.1245314132479955</v>
      </c>
      <c r="R21" s="29">
        <f t="shared" si="4"/>
        <v>2.171556116193194</v>
      </c>
      <c r="S21" s="30">
        <f t="shared" si="5"/>
        <v>1.1245314132479955</v>
      </c>
      <c r="T21" s="25">
        <v>1.2</v>
      </c>
      <c r="U21" s="26">
        <v>0.7419</v>
      </c>
      <c r="V21" s="27">
        <f>Trajectory!P35*(Parameters!$L$7+(Parameters!$M$7-Parameters!$L$7)*(2041-2025)/25)</f>
        <v>2.67669895792804</v>
      </c>
      <c r="W21" s="28">
        <f>Trajectory!Q35*(Parameters!$L$7+(Parameters!$M$7-Parameters!$L$7)*(2041-2025)/25)</f>
        <v>0</v>
      </c>
      <c r="X21" s="29">
        <f t="shared" si="6"/>
        <v>2.67669895792804</v>
      </c>
      <c r="Y21" s="30">
        <f t="shared" si="7"/>
        <v>0</v>
      </c>
      <c r="Z21" s="25">
        <v>3.2</v>
      </c>
      <c r="AA21" s="26">
        <v>4.1349</v>
      </c>
      <c r="AB21" s="27">
        <f>Trajectory!T35*(Parameters!$L$8+(Parameters!$M$8-Parameters!$L$8)*(2041-2025)/25)</f>
        <v>2.1059676493412405</v>
      </c>
      <c r="AC21" s="28">
        <f>Trajectory!U35*(Parameters!$L$8+(Parameters!$M$8-Parameters!$L$8)*(2041-2025)/25)</f>
        <v>4.3494885404514321</v>
      </c>
      <c r="AD21" s="29">
        <f t="shared" si="8"/>
        <v>4.3494885404514321</v>
      </c>
      <c r="AE21" s="30">
        <f t="shared" si="9"/>
        <v>2.1059676493412405</v>
      </c>
      <c r="AF21" s="25">
        <v>2.2000000000000002</v>
      </c>
      <c r="AG21" s="26">
        <v>0.69240000000000002</v>
      </c>
      <c r="AH21" s="27">
        <f>Trajectory!X35*(Parameters!$L$9+(Parameters!$M$9-Parameters!$L$9)*(2041-2025)/25)</f>
        <v>1.3672897222498397</v>
      </c>
      <c r="AI21" s="28">
        <f>Trajectory!Y35*(Parameters!$L$9+(Parameters!$M$9-Parameters!$L$9)*(2041-2025)/25)</f>
        <v>1.8600251807133725</v>
      </c>
      <c r="AJ21" s="29">
        <f t="shared" si="10"/>
        <v>1.8600251807133725</v>
      </c>
      <c r="AK21" s="30">
        <f t="shared" si="11"/>
        <v>1.3672897222498397</v>
      </c>
      <c r="AL21" s="25">
        <v>1.1000000000000001</v>
      </c>
      <c r="AM21" s="26">
        <v>1.2361</v>
      </c>
      <c r="AN21" s="27">
        <f>Trajectory!AB35*(Parameters!$L$10+(Parameters!$M$10-Parameters!$L$10)*(2041-2025)/25)</f>
        <v>0.68459515397738568</v>
      </c>
      <c r="AO21" s="28">
        <f>Trajectory!AC35*(Parameters!$L$10+(Parameters!$M$10-Parameters!$L$10)*(2041-2025)/25)</f>
        <v>0.97342285714197019</v>
      </c>
      <c r="AP21" s="29">
        <f t="shared" si="12"/>
        <v>0.97342285714197019</v>
      </c>
      <c r="AQ21" s="30">
        <f t="shared" si="13"/>
        <v>0.68459515397738568</v>
      </c>
      <c r="AR21" s="25">
        <v>0.7</v>
      </c>
      <c r="AS21" s="26">
        <v>0.78920000000000001</v>
      </c>
      <c r="AT21" s="27">
        <f>Trajectory!AF35*(Parameters!$L$11+(Parameters!$M$11-Parameters!$L$11)*(2041-2025)/25)</f>
        <v>1.204275925176393</v>
      </c>
      <c r="AU21" s="28">
        <f>Trajectory!AG35*(Parameters!$L$11+(Parameters!$M$11-Parameters!$L$11)*(2041-2025)/25)</f>
        <v>1.2564731853556443</v>
      </c>
      <c r="AV21" s="29">
        <f t="shared" si="14"/>
        <v>1.2564731853556443</v>
      </c>
      <c r="AW21" s="30">
        <f t="shared" si="15"/>
        <v>1.204275925176393</v>
      </c>
      <c r="AX21" s="25">
        <v>1.6</v>
      </c>
      <c r="AY21" s="26">
        <v>0.30530000000000002</v>
      </c>
      <c r="AZ21" s="27">
        <f>Trajectory!AJ35*(Parameters!$L$12+(Parameters!$M$12-Parameters!$L$12)*(2041-2025)/25)</f>
        <v>1.7789310148279132</v>
      </c>
      <c r="BA21" s="28">
        <f>Trajectory!AK35*(Parameters!$L$12+(Parameters!$M$12-Parameters!$L$12)*(2041-2025)/25)</f>
        <v>2.7697026770405699</v>
      </c>
      <c r="BB21" s="29">
        <f t="shared" si="16"/>
        <v>2.7697026770405699</v>
      </c>
      <c r="BC21" s="30">
        <f t="shared" si="17"/>
        <v>1.7789310148279132</v>
      </c>
      <c r="BD21" s="25">
        <v>0.7</v>
      </c>
      <c r="BE21" s="26">
        <v>4.7600000000000003E-2</v>
      </c>
      <c r="BF21" s="27">
        <f>Trajectory!AN35*(Parameters!$L$13+(Parameters!$M$13-Parameters!$L$13)*(2041-2025)/25)</f>
        <v>0.42233314237825509</v>
      </c>
      <c r="BG21" s="28">
        <f>Trajectory!AO35*(Parameters!$L$13+(Parameters!$M$13-Parameters!$L$13)*(2041-2025)/25)</f>
        <v>3.6575984971403477E-2</v>
      </c>
      <c r="BH21" s="29">
        <f t="shared" si="18"/>
        <v>0.42233314237825509</v>
      </c>
      <c r="BI21" s="30">
        <f t="shared" si="19"/>
        <v>3.6575984971403477E-2</v>
      </c>
      <c r="BJ21" s="25">
        <v>1</v>
      </c>
      <c r="BK21" s="26">
        <v>0.21149999999999999</v>
      </c>
      <c r="BL21" s="27">
        <f>Trajectory!AR35*(Parameters!$L$14+(Parameters!$M$14-Parameters!$L$14)*(2041-2025)/25)</f>
        <v>0.49861593943751314</v>
      </c>
      <c r="BM21" s="28">
        <f>Trajectory!AS35*(Parameters!$L$14+(Parameters!$M$14-Parameters!$L$14)*(2041-2025)/25)</f>
        <v>0.44562048021692396</v>
      </c>
      <c r="BN21" s="29">
        <f t="shared" si="20"/>
        <v>0.49861593943751314</v>
      </c>
      <c r="BO21" s="30">
        <f t="shared" si="21"/>
        <v>0.44562048021692396</v>
      </c>
      <c r="BP21" s="25">
        <v>0.6</v>
      </c>
      <c r="BQ21" s="26">
        <v>2.4299999999999999E-2</v>
      </c>
      <c r="BR21" s="27">
        <f>Trajectory!AV35*(Parameters!$L$15+(Parameters!$M$15-Parameters!$L$15)*(2041-2025)/25)</f>
        <v>0.28239748371387829</v>
      </c>
      <c r="BS21" s="28">
        <f>Trajectory!AW35*(Parameters!$L$15+(Parameters!$M$15-Parameters!$L$15)*(2041-2025)/25)</f>
        <v>0</v>
      </c>
      <c r="BT21" s="29">
        <f t="shared" si="22"/>
        <v>0.28239748371387829</v>
      </c>
      <c r="BU21" s="30">
        <f t="shared" si="23"/>
        <v>0</v>
      </c>
    </row>
    <row r="22" spans="1:73" x14ac:dyDescent="0.3">
      <c r="A22" s="6">
        <v>2042</v>
      </c>
      <c r="B22" s="25">
        <v>5.5</v>
      </c>
      <c r="C22" s="26">
        <v>10</v>
      </c>
      <c r="D22" s="27">
        <f>Trajectory!D36*(Parameters!$L$4+(Parameters!$M$4-Parameters!$L$4)*(2042-2025)/25)</f>
        <v>4.3352512047025824</v>
      </c>
      <c r="E22" s="28">
        <f>Trajectory!E36*(Parameters!$L$4+(Parameters!$M$4-Parameters!$L$4)*(2042-2025)/25)</f>
        <v>0</v>
      </c>
      <c r="F22" s="29">
        <f t="shared" si="0"/>
        <v>4.3352512047025824</v>
      </c>
      <c r="G22" s="30">
        <f t="shared" si="1"/>
        <v>0</v>
      </c>
      <c r="H22" s="25">
        <v>3.5</v>
      </c>
      <c r="I22" s="26">
        <v>3.2222</v>
      </c>
      <c r="J22" s="27">
        <f>Trajectory!H36*(Parameters!$L$5+(Parameters!$M$5-Parameters!$L$5)*(2042-2025)/25)</f>
        <v>3.9741923831945054</v>
      </c>
      <c r="K22" s="28">
        <f>Trajectory!I36*(Parameters!$L$5+(Parameters!$M$5-Parameters!$L$5)*(2042-2025)/25)</f>
        <v>0</v>
      </c>
      <c r="L22" s="29">
        <f t="shared" si="2"/>
        <v>3.9741923831945054</v>
      </c>
      <c r="M22" s="30">
        <f t="shared" si="3"/>
        <v>0</v>
      </c>
      <c r="N22" s="25">
        <v>1.6</v>
      </c>
      <c r="O22" s="26">
        <v>3.8683999999999998</v>
      </c>
      <c r="P22" s="27">
        <f>Trajectory!L36*(Parameters!$L$6+(Parameters!$M$6-Parameters!$L$6)*(2042-2025)/25)</f>
        <v>1.9962550237715044</v>
      </c>
      <c r="Q22" s="28">
        <f>Trajectory!M36*(Parameters!$L$6+(Parameters!$M$6-Parameters!$L$6)*(2042-2025)/25)</f>
        <v>1.224261973972512</v>
      </c>
      <c r="R22" s="29">
        <f t="shared" si="4"/>
        <v>1.9962550237715044</v>
      </c>
      <c r="S22" s="30">
        <f t="shared" si="5"/>
        <v>1.224261973972512</v>
      </c>
      <c r="T22" s="25">
        <v>1.2</v>
      </c>
      <c r="U22" s="26">
        <v>0.7419</v>
      </c>
      <c r="V22" s="27">
        <f>Trajectory!P36*(Parameters!$L$7+(Parameters!$M$7-Parameters!$L$7)*(2042-2025)/25)</f>
        <v>2.5013267470281568</v>
      </c>
      <c r="W22" s="28">
        <f>Trajectory!Q36*(Parameters!$L$7+(Parameters!$M$7-Parameters!$L$7)*(2042-2025)/25)</f>
        <v>0</v>
      </c>
      <c r="X22" s="29">
        <f t="shared" si="6"/>
        <v>2.5013267470281568</v>
      </c>
      <c r="Y22" s="30">
        <f t="shared" si="7"/>
        <v>0</v>
      </c>
      <c r="Z22" s="25">
        <v>3.2</v>
      </c>
      <c r="AA22" s="26">
        <v>4.1349</v>
      </c>
      <c r="AB22" s="27">
        <f>Trajectory!T36*(Parameters!$L$8+(Parameters!$M$8-Parameters!$L$8)*(2042-2025)/25)</f>
        <v>1.9441054563054851</v>
      </c>
      <c r="AC22" s="28">
        <f>Trajectory!U36*(Parameters!$L$8+(Parameters!$M$8-Parameters!$L$8)*(2042-2025)/25)</f>
        <v>3.7882136800595578</v>
      </c>
      <c r="AD22" s="29">
        <f t="shared" si="8"/>
        <v>3.7882136800595578</v>
      </c>
      <c r="AE22" s="30">
        <f t="shared" si="9"/>
        <v>1.9441054563054851</v>
      </c>
      <c r="AF22" s="25">
        <v>2.2000000000000002</v>
      </c>
      <c r="AG22" s="26">
        <v>0.69240000000000002</v>
      </c>
      <c r="AH22" s="27">
        <f>Trajectory!X36*(Parameters!$L$9+(Parameters!$M$9-Parameters!$L$9)*(2042-2025)/25)</f>
        <v>1.2842013519248452</v>
      </c>
      <c r="AI22" s="28">
        <f>Trajectory!Y36*(Parameters!$L$9+(Parameters!$M$9-Parameters!$L$9)*(2042-2025)/25)</f>
        <v>1.9886234733799353</v>
      </c>
      <c r="AJ22" s="29">
        <f t="shared" si="10"/>
        <v>1.9886234733799353</v>
      </c>
      <c r="AK22" s="30">
        <f t="shared" si="11"/>
        <v>1.2842013519248452</v>
      </c>
      <c r="AL22" s="25">
        <v>1.1000000000000001</v>
      </c>
      <c r="AM22" s="26">
        <v>1.2361</v>
      </c>
      <c r="AN22" s="27">
        <f>Trajectory!AB36*(Parameters!$L$10+(Parameters!$M$10-Parameters!$L$10)*(2042-2025)/25)</f>
        <v>0.64862013211938729</v>
      </c>
      <c r="AO22" s="28">
        <f>Trajectory!AC36*(Parameters!$L$10+(Parameters!$M$10-Parameters!$L$10)*(2042-2025)/25)</f>
        <v>1.0499396350813837</v>
      </c>
      <c r="AP22" s="29">
        <f t="shared" si="12"/>
        <v>1.0499396350813837</v>
      </c>
      <c r="AQ22" s="30">
        <f t="shared" si="13"/>
        <v>0.64862013211938729</v>
      </c>
      <c r="AR22" s="25">
        <v>0.7</v>
      </c>
      <c r="AS22" s="26">
        <v>0.78920000000000001</v>
      </c>
      <c r="AT22" s="27">
        <f>Trajectory!AF36*(Parameters!$L$11+(Parameters!$M$11-Parameters!$L$11)*(2042-2025)/25)</f>
        <v>1.1428038332619843</v>
      </c>
      <c r="AU22" s="28">
        <f>Trajectory!AG36*(Parameters!$L$11+(Parameters!$M$11-Parameters!$L$11)*(2042-2025)/25)</f>
        <v>1.3429450292631986</v>
      </c>
      <c r="AV22" s="29">
        <f t="shared" si="14"/>
        <v>1.3429450292631986</v>
      </c>
      <c r="AW22" s="30">
        <f t="shared" si="15"/>
        <v>1.1428038332619843</v>
      </c>
      <c r="AX22" s="25">
        <v>1.6</v>
      </c>
      <c r="AY22" s="26">
        <v>0.30530000000000002</v>
      </c>
      <c r="AZ22" s="27">
        <f>Trajectory!AJ36*(Parameters!$L$12+(Parameters!$M$12-Parameters!$L$12)*(2042-2025)/25)</f>
        <v>1.6353249859913872</v>
      </c>
      <c r="BA22" s="28">
        <f>Trajectory!AK36*(Parameters!$L$12+(Parameters!$M$12-Parameters!$L$12)*(2042-2025)/25)</f>
        <v>3.0711770166862777</v>
      </c>
      <c r="BB22" s="29">
        <f t="shared" si="16"/>
        <v>3.0711770166862777</v>
      </c>
      <c r="BC22" s="30">
        <f t="shared" si="17"/>
        <v>1.6353249859913872</v>
      </c>
      <c r="BD22" s="25">
        <v>0.7</v>
      </c>
      <c r="BE22" s="26">
        <v>4.7600000000000003E-2</v>
      </c>
      <c r="BF22" s="27">
        <f>Trajectory!AN36*(Parameters!$L$13+(Parameters!$M$13-Parameters!$L$13)*(2042-2025)/25)</f>
        <v>0.36919042811386066</v>
      </c>
      <c r="BG22" s="28">
        <f>Trajectory!AO36*(Parameters!$L$13+(Parameters!$M$13-Parameters!$L$13)*(2042-2025)/25)</f>
        <v>4.0536851685643423E-2</v>
      </c>
      <c r="BH22" s="29">
        <f t="shared" si="18"/>
        <v>0.36919042811386066</v>
      </c>
      <c r="BI22" s="30">
        <f t="shared" si="19"/>
        <v>4.0536851685643423E-2</v>
      </c>
      <c r="BJ22" s="25">
        <v>1</v>
      </c>
      <c r="BK22" s="26">
        <v>0.21149999999999999</v>
      </c>
      <c r="BL22" s="27">
        <f>Trajectory!AR36*(Parameters!$L$14+(Parameters!$M$14-Parameters!$L$14)*(2042-2025)/25)</f>
        <v>0.4724140021088658</v>
      </c>
      <c r="BM22" s="28">
        <f>Trajectory!AS36*(Parameters!$L$14+(Parameters!$M$14-Parameters!$L$14)*(2042-2025)/25)</f>
        <v>0.49412501506090972</v>
      </c>
      <c r="BN22" s="29">
        <f t="shared" si="20"/>
        <v>0.49412501506090972</v>
      </c>
      <c r="BO22" s="30">
        <f t="shared" si="21"/>
        <v>0.4724140021088658</v>
      </c>
      <c r="BP22" s="25">
        <v>0.6</v>
      </c>
      <c r="BQ22" s="26">
        <v>2.4299999999999999E-2</v>
      </c>
      <c r="BR22" s="27">
        <f>Trajectory!AV36*(Parameters!$L$15+(Parameters!$M$15-Parameters!$L$15)*(2042-2025)/25)</f>
        <v>0.26798254465187293</v>
      </c>
      <c r="BS22" s="28">
        <f>Trajectory!AW36*(Parameters!$L$15+(Parameters!$M$15-Parameters!$L$15)*(2042-2025)/25)</f>
        <v>0</v>
      </c>
      <c r="BT22" s="29">
        <f t="shared" si="22"/>
        <v>0.26798254465187293</v>
      </c>
      <c r="BU22" s="30">
        <f t="shared" si="23"/>
        <v>0</v>
      </c>
    </row>
    <row r="23" spans="1:73" x14ac:dyDescent="0.3">
      <c r="A23" s="6">
        <v>2043</v>
      </c>
      <c r="B23" s="25">
        <v>5.5</v>
      </c>
      <c r="C23" s="26">
        <v>10</v>
      </c>
      <c r="D23" s="27">
        <f>Trajectory!D37*(Parameters!$L$4+(Parameters!$M$4-Parameters!$L$4)*(2043-2025)/25)</f>
        <v>3.9551846063386931</v>
      </c>
      <c r="E23" s="28">
        <f>Trajectory!E37*(Parameters!$L$4+(Parameters!$M$4-Parameters!$L$4)*(2043-2025)/25)</f>
        <v>0</v>
      </c>
      <c r="F23" s="29">
        <f t="shared" si="0"/>
        <v>3.9551846063386931</v>
      </c>
      <c r="G23" s="30">
        <f t="shared" si="1"/>
        <v>0</v>
      </c>
      <c r="H23" s="25">
        <v>3.5</v>
      </c>
      <c r="I23" s="26">
        <v>3.2222</v>
      </c>
      <c r="J23" s="27">
        <f>Trajectory!H37*(Parameters!$L$5+(Parameters!$M$5-Parameters!$L$5)*(2043-2025)/25)</f>
        <v>3.6319040568209688</v>
      </c>
      <c r="K23" s="28">
        <f>Trajectory!I37*(Parameters!$L$5+(Parameters!$M$5-Parameters!$L$5)*(2043-2025)/25)</f>
        <v>0</v>
      </c>
      <c r="L23" s="29">
        <f t="shared" si="2"/>
        <v>3.6319040568209688</v>
      </c>
      <c r="M23" s="30">
        <f t="shared" si="3"/>
        <v>0</v>
      </c>
      <c r="N23" s="25">
        <v>1.6</v>
      </c>
      <c r="O23" s="26">
        <v>3.8683999999999998</v>
      </c>
      <c r="P23" s="27">
        <f>Trajectory!L37*(Parameters!$L$6+(Parameters!$M$6-Parameters!$L$6)*(2043-2025)/25)</f>
        <v>1.8077161924402989</v>
      </c>
      <c r="Q23" s="28">
        <f>Trajectory!M37*(Parameters!$L$6+(Parameters!$M$6-Parameters!$L$6)*(2043-2025)/25)</f>
        <v>1.3327524233681596</v>
      </c>
      <c r="R23" s="29">
        <f t="shared" si="4"/>
        <v>1.8077161924402989</v>
      </c>
      <c r="S23" s="30">
        <f t="shared" si="5"/>
        <v>1.3327524233681596</v>
      </c>
      <c r="T23" s="25">
        <v>1.2</v>
      </c>
      <c r="U23" s="26">
        <v>0.7419</v>
      </c>
      <c r="V23" s="27">
        <f>Trajectory!P37*(Parameters!$L$7+(Parameters!$M$7-Parameters!$L$7)*(2043-2025)/25)</f>
        <v>2.2992582023963686</v>
      </c>
      <c r="W23" s="28">
        <f>Trajectory!Q37*(Parameters!$L$7+(Parameters!$M$7-Parameters!$L$7)*(2043-2025)/25)</f>
        <v>0</v>
      </c>
      <c r="X23" s="29">
        <f t="shared" si="6"/>
        <v>2.2992582023963686</v>
      </c>
      <c r="Y23" s="30">
        <f t="shared" si="7"/>
        <v>0</v>
      </c>
      <c r="Z23" s="25">
        <v>3.2</v>
      </c>
      <c r="AA23" s="26">
        <v>4.1349</v>
      </c>
      <c r="AB23" s="27">
        <f>Trajectory!T37*(Parameters!$L$8+(Parameters!$M$8-Parameters!$L$8)*(2043-2025)/25)</f>
        <v>1.7736679169912182</v>
      </c>
      <c r="AC23" s="28">
        <f>Trajectory!U37*(Parameters!$L$8+(Parameters!$M$8-Parameters!$L$8)*(2043-2025)/25)</f>
        <v>0</v>
      </c>
      <c r="AD23" s="29">
        <f t="shared" si="8"/>
        <v>1.7736679169912182</v>
      </c>
      <c r="AE23" s="30">
        <f t="shared" si="9"/>
        <v>0</v>
      </c>
      <c r="AF23" s="25">
        <v>2.2000000000000002</v>
      </c>
      <c r="AG23" s="26">
        <v>0.69240000000000002</v>
      </c>
      <c r="AH23" s="27">
        <f>Trajectory!X37*(Parameters!$L$9+(Parameters!$M$9-Parameters!$L$9)*(2043-2025)/25)</f>
        <v>1.1942277663494241</v>
      </c>
      <c r="AI23" s="28">
        <f>Trajectory!Y37*(Parameters!$L$9+(Parameters!$M$9-Parameters!$L$9)*(2043-2025)/25)</f>
        <v>2.1259574705159223</v>
      </c>
      <c r="AJ23" s="29">
        <f t="shared" si="10"/>
        <v>2.1259574705159223</v>
      </c>
      <c r="AK23" s="30">
        <f t="shared" si="11"/>
        <v>1.1942277663494241</v>
      </c>
      <c r="AL23" s="25">
        <v>1.1000000000000001</v>
      </c>
      <c r="AM23" s="26">
        <v>1.2361</v>
      </c>
      <c r="AN23" s="27">
        <f>Trajectory!AB37*(Parameters!$L$10+(Parameters!$M$10-Parameters!$L$10)*(2043-2025)/25)</f>
        <v>0.60608522987936364</v>
      </c>
      <c r="AO23" s="28">
        <f>Trajectory!AC37*(Parameters!$L$10+(Parameters!$M$10-Parameters!$L$10)*(2043-2025)/25)</f>
        <v>1.1323989899323306</v>
      </c>
      <c r="AP23" s="29">
        <f t="shared" si="12"/>
        <v>1.1323989899323306</v>
      </c>
      <c r="AQ23" s="30">
        <f t="shared" si="13"/>
        <v>0.60608522987936364</v>
      </c>
      <c r="AR23" s="25">
        <v>0.7</v>
      </c>
      <c r="AS23" s="26">
        <v>0.78920000000000001</v>
      </c>
      <c r="AT23" s="27">
        <f>Trajectory!AF37*(Parameters!$L$11+(Parameters!$M$11-Parameters!$L$11)*(2043-2025)/25)</f>
        <v>1.0729659824532303</v>
      </c>
      <c r="AU23" s="28">
        <f>Trajectory!AG37*(Parameters!$L$11+(Parameters!$M$11-Parameters!$L$11)*(2043-2025)/25)</f>
        <v>1.4352701909723806</v>
      </c>
      <c r="AV23" s="29">
        <f t="shared" si="14"/>
        <v>1.4352701909723806</v>
      </c>
      <c r="AW23" s="30">
        <f t="shared" si="15"/>
        <v>1.0729659824532303</v>
      </c>
      <c r="AX23" s="25">
        <v>1.6</v>
      </c>
      <c r="AY23" s="26">
        <v>0.30530000000000002</v>
      </c>
      <c r="AZ23" s="27">
        <f>Trajectory!AJ37*(Parameters!$L$12+(Parameters!$M$12-Parameters!$L$12)*(2043-2025)/25)</f>
        <v>1.4808746487178364</v>
      </c>
      <c r="BA23" s="28">
        <f>Trajectory!AK37*(Parameters!$L$12+(Parameters!$M$12-Parameters!$L$12)*(2043-2025)/25)</f>
        <v>3.4052491974907215</v>
      </c>
      <c r="BB23" s="29">
        <f t="shared" si="16"/>
        <v>3.4052491974907215</v>
      </c>
      <c r="BC23" s="30">
        <f t="shared" si="17"/>
        <v>1.4808746487178364</v>
      </c>
      <c r="BD23" s="25">
        <v>0.7</v>
      </c>
      <c r="BE23" s="26">
        <v>4.7600000000000003E-2</v>
      </c>
      <c r="BF23" s="27">
        <f>Trajectory!AN37*(Parameters!$L$13+(Parameters!$M$13-Parameters!$L$13)*(2043-2025)/25)</f>
        <v>0.31851431444823425</v>
      </c>
      <c r="BG23" s="28">
        <f>Trajectory!AO37*(Parameters!$L$13+(Parameters!$M$13-Parameters!$L$13)*(2043-2025)/25)</f>
        <v>4.4924131893017437E-2</v>
      </c>
      <c r="BH23" s="29">
        <f t="shared" si="18"/>
        <v>0.31851431444823425</v>
      </c>
      <c r="BI23" s="30">
        <f t="shared" si="19"/>
        <v>4.4924131893017437E-2</v>
      </c>
      <c r="BJ23" s="25">
        <v>1</v>
      </c>
      <c r="BK23" s="26">
        <v>0.21149999999999999</v>
      </c>
      <c r="BL23" s="27">
        <f>Trajectory!AR37*(Parameters!$L$14+(Parameters!$M$14-Parameters!$L$14)*(2043-2025)/25)</f>
        <v>0.44143426157743715</v>
      </c>
      <c r="BM23" s="28">
        <f>Trajectory!AS37*(Parameters!$L$14+(Parameters!$M$14-Parameters!$L$14)*(2043-2025)/25)</f>
        <v>0.54787425207152685</v>
      </c>
      <c r="BN23" s="29">
        <f t="shared" si="20"/>
        <v>0.54787425207152685</v>
      </c>
      <c r="BO23" s="30">
        <f t="shared" si="21"/>
        <v>0.44143426157743715</v>
      </c>
      <c r="BP23" s="25">
        <v>0.6</v>
      </c>
      <c r="BQ23" s="26">
        <v>2.4299999999999999E-2</v>
      </c>
      <c r="BR23" s="27">
        <f>Trajectory!AV37*(Parameters!$L$15+(Parameters!$M$15-Parameters!$L$15)*(2043-2025)/25)</f>
        <v>0.25160587139612589</v>
      </c>
      <c r="BS23" s="28">
        <f>Trajectory!AW37*(Parameters!$L$15+(Parameters!$M$15-Parameters!$L$15)*(2043-2025)/25)</f>
        <v>0</v>
      </c>
      <c r="BT23" s="29">
        <f t="shared" si="22"/>
        <v>0.25160587139612589</v>
      </c>
      <c r="BU23" s="30">
        <f t="shared" si="23"/>
        <v>0</v>
      </c>
    </row>
    <row r="24" spans="1:73" x14ac:dyDescent="0.3">
      <c r="A24" s="6">
        <v>2044</v>
      </c>
      <c r="B24" s="25">
        <v>5.5</v>
      </c>
      <c r="C24" s="26">
        <v>10</v>
      </c>
      <c r="D24" s="27">
        <f>Trajectory!D38*(Parameters!$L$4+(Parameters!$M$4-Parameters!$L$4)*(2044-2025)/25)</f>
        <v>3.5701511252905229</v>
      </c>
      <c r="E24" s="28">
        <f>Trajectory!E38*(Parameters!$L$4+(Parameters!$M$4-Parameters!$L$4)*(2044-2025)/25)</f>
        <v>0</v>
      </c>
      <c r="F24" s="29">
        <f t="shared" si="0"/>
        <v>3.5701511252905229</v>
      </c>
      <c r="G24" s="30">
        <f t="shared" si="1"/>
        <v>0</v>
      </c>
      <c r="H24" s="25">
        <v>3.5</v>
      </c>
      <c r="I24" s="26">
        <v>3.2222</v>
      </c>
      <c r="J24" s="27">
        <f>Trajectory!H38*(Parameters!$L$5+(Parameters!$M$5-Parameters!$L$5)*(2044-2025)/25)</f>
        <v>3.2939143648826859</v>
      </c>
      <c r="K24" s="28">
        <f>Trajectory!I38*(Parameters!$L$5+(Parameters!$M$5-Parameters!$L$5)*(2044-2025)/25)</f>
        <v>0</v>
      </c>
      <c r="L24" s="29">
        <f t="shared" si="2"/>
        <v>3.2939143648826859</v>
      </c>
      <c r="M24" s="30">
        <f t="shared" si="3"/>
        <v>0</v>
      </c>
      <c r="N24" s="25">
        <v>1.6</v>
      </c>
      <c r="O24" s="26">
        <v>3.8683999999999998</v>
      </c>
      <c r="P24" s="27">
        <f>Trajectory!L38*(Parameters!$L$6+(Parameters!$M$6-Parameters!$L$6)*(2044-2025)/25)</f>
        <v>1.6149926513465334</v>
      </c>
      <c r="Q24" s="28">
        <f>Trajectory!M38*(Parameters!$L$6+(Parameters!$M$6-Parameters!$L$6)*(2044-2025)/25)</f>
        <v>1.4507660680336913</v>
      </c>
      <c r="R24" s="29">
        <f t="shared" si="4"/>
        <v>1.6149926513465334</v>
      </c>
      <c r="S24" s="30">
        <f t="shared" si="5"/>
        <v>1.4507660680336913</v>
      </c>
      <c r="T24" s="25">
        <v>1.2</v>
      </c>
      <c r="U24" s="26">
        <v>0.7419</v>
      </c>
      <c r="V24" s="27">
        <f>Trajectory!P38*(Parameters!$L$7+(Parameters!$M$7-Parameters!$L$7)*(2044-2025)/25)</f>
        <v>2.0819713959066841</v>
      </c>
      <c r="W24" s="28">
        <f>Trajectory!Q38*(Parameters!$L$7+(Parameters!$M$7-Parameters!$L$7)*(2044-2025)/25)</f>
        <v>0</v>
      </c>
      <c r="X24" s="29">
        <f t="shared" si="6"/>
        <v>2.0819713959066841</v>
      </c>
      <c r="Y24" s="30">
        <f t="shared" si="7"/>
        <v>0</v>
      </c>
      <c r="Z24" s="25">
        <v>3.2</v>
      </c>
      <c r="AA24" s="26">
        <v>4.1349</v>
      </c>
      <c r="AB24" s="27">
        <f>Trajectory!T38*(Parameters!$L$8+(Parameters!$M$8-Parameters!$L$8)*(2044-2025)/25)</f>
        <v>1.6010030226122844</v>
      </c>
      <c r="AC24" s="28">
        <f>Trajectory!U38*(Parameters!$L$8+(Parameters!$M$8-Parameters!$L$8)*(2044-2025)/25)</f>
        <v>0</v>
      </c>
      <c r="AD24" s="29">
        <f t="shared" si="8"/>
        <v>1.6010030226122844</v>
      </c>
      <c r="AE24" s="30">
        <f t="shared" si="9"/>
        <v>0</v>
      </c>
      <c r="AF24" s="25">
        <v>2.2000000000000002</v>
      </c>
      <c r="AG24" s="26">
        <v>0.69240000000000002</v>
      </c>
      <c r="AH24" s="27">
        <f>Trajectory!X38*(Parameters!$L$9+(Parameters!$M$9-Parameters!$L$9)*(2044-2025)/25)</f>
        <v>1.1004132699841569</v>
      </c>
      <c r="AI24" s="28">
        <f>Trajectory!Y38*(Parameters!$L$9+(Parameters!$M$9-Parameters!$L$9)*(2044-2025)/25)</f>
        <v>2.272612502804046</v>
      </c>
      <c r="AJ24" s="29">
        <f t="shared" si="10"/>
        <v>2.272612502804046</v>
      </c>
      <c r="AK24" s="30">
        <f t="shared" si="11"/>
        <v>1.1004132699841569</v>
      </c>
      <c r="AL24" s="25">
        <v>1.1000000000000001</v>
      </c>
      <c r="AM24" s="26">
        <v>1.2361</v>
      </c>
      <c r="AN24" s="27">
        <f>Trajectory!AB38*(Parameters!$L$10+(Parameters!$M$10-Parameters!$L$10)*(2044-2025)/25)</f>
        <v>0.55911108738484017</v>
      </c>
      <c r="AO24" s="28">
        <f>Trajectory!AC38*(Parameters!$L$10+(Parameters!$M$10-Parameters!$L$10)*(2044-2025)/25)</f>
        <v>1.221257950250495</v>
      </c>
      <c r="AP24" s="29">
        <f t="shared" si="12"/>
        <v>1.221257950250495</v>
      </c>
      <c r="AQ24" s="30">
        <f t="shared" si="13"/>
        <v>0.55911108738484017</v>
      </c>
      <c r="AR24" s="25">
        <v>0.7</v>
      </c>
      <c r="AS24" s="26">
        <v>0.78920000000000001</v>
      </c>
      <c r="AT24" s="27">
        <f>Trajectory!AF38*(Parameters!$L$11+(Parameters!$M$11-Parameters!$L$11)*(2044-2025)/25)</f>
        <v>0.9974343330419061</v>
      </c>
      <c r="AU24" s="28">
        <f>Trajectory!AG38*(Parameters!$L$11+(Parameters!$M$11-Parameters!$L$11)*(2044-2025)/25)</f>
        <v>1.5338397699813109</v>
      </c>
      <c r="AV24" s="29">
        <f t="shared" si="14"/>
        <v>1.5338397699813109</v>
      </c>
      <c r="AW24" s="30">
        <f t="shared" si="15"/>
        <v>0.9974343330419061</v>
      </c>
      <c r="AX24" s="25">
        <v>1.6</v>
      </c>
      <c r="AY24" s="26">
        <v>0.30530000000000002</v>
      </c>
      <c r="AZ24" s="27">
        <f>Trajectory!AJ38*(Parameters!$L$12+(Parameters!$M$12-Parameters!$L$12)*(2044-2025)/25)</f>
        <v>1.3229962121521817</v>
      </c>
      <c r="BA24" s="28">
        <f>Trajectory!AK38*(Parameters!$L$12+(Parameters!$M$12-Parameters!$L$12)*(2044-2025)/25)</f>
        <v>3.7754240442891653</v>
      </c>
      <c r="BB24" s="29">
        <f t="shared" si="16"/>
        <v>3.7754240442891653</v>
      </c>
      <c r="BC24" s="30">
        <f t="shared" si="17"/>
        <v>1.3229962121521817</v>
      </c>
      <c r="BD24" s="25">
        <v>0.7</v>
      </c>
      <c r="BE24" s="26">
        <v>4.7600000000000003E-2</v>
      </c>
      <c r="BF24" s="27">
        <f>Trajectory!AN38*(Parameters!$L$13+(Parameters!$M$13-Parameters!$L$13)*(2044-2025)/25)</f>
        <v>0.27170919957539474</v>
      </c>
      <c r="BG24" s="28">
        <f>Trajectory!AO38*(Parameters!$L$13+(Parameters!$M$13-Parameters!$L$13)*(2044-2025)/25)</f>
        <v>4.978349962500949E-2</v>
      </c>
      <c r="BH24" s="29">
        <f t="shared" si="18"/>
        <v>0.27170919957539474</v>
      </c>
      <c r="BI24" s="30">
        <f t="shared" si="19"/>
        <v>4.978349962500949E-2</v>
      </c>
      <c r="BJ24" s="25">
        <v>1</v>
      </c>
      <c r="BK24" s="26">
        <v>0.21149999999999999</v>
      </c>
      <c r="BL24" s="27">
        <f>Trajectory!AR38*(Parameters!$L$14+(Parameters!$M$14-Parameters!$L$14)*(2044-2025)/25)</f>
        <v>0.4072212583840909</v>
      </c>
      <c r="BM24" s="28">
        <f>Trajectory!AS38*(Parameters!$L$14+(Parameters!$M$14-Parameters!$L$14)*(2044-2025)/25)</f>
        <v>0.60743208633365453</v>
      </c>
      <c r="BN24" s="29">
        <f t="shared" si="20"/>
        <v>0.60743208633365453</v>
      </c>
      <c r="BO24" s="30">
        <f t="shared" si="21"/>
        <v>0.4072212583840909</v>
      </c>
      <c r="BP24" s="25">
        <v>0.6</v>
      </c>
      <c r="BQ24" s="26">
        <v>2.4299999999999999E-2</v>
      </c>
      <c r="BR24" s="27">
        <f>Trajectory!AV38*(Parameters!$L$15+(Parameters!$M$15-Parameters!$L$15)*(2044-2025)/25)</f>
        <v>0.23389402705165466</v>
      </c>
      <c r="BS24" s="28">
        <f>Trajectory!AW38*(Parameters!$L$15+(Parameters!$M$15-Parameters!$L$15)*(2044-2025)/25)</f>
        <v>0</v>
      </c>
      <c r="BT24" s="29">
        <f t="shared" si="22"/>
        <v>0.23389402705165466</v>
      </c>
      <c r="BU24" s="30">
        <f t="shared" si="23"/>
        <v>0</v>
      </c>
    </row>
    <row r="25" spans="1:73" x14ac:dyDescent="0.3">
      <c r="A25" s="6">
        <v>2045</v>
      </c>
      <c r="B25" s="25">
        <v>5.5</v>
      </c>
      <c r="C25" s="26">
        <v>10</v>
      </c>
      <c r="D25" s="27">
        <f>Trajectory!D39*(Parameters!$L$4+(Parameters!$M$4-Parameters!$L$4)*(2045-2025)/25)</f>
        <v>3.1919411967289988</v>
      </c>
      <c r="E25" s="28">
        <f>Trajectory!E39*(Parameters!$L$4+(Parameters!$M$4-Parameters!$L$4)*(2045-2025)/25)</f>
        <v>0</v>
      </c>
      <c r="F25" s="29">
        <f t="shared" si="0"/>
        <v>3.1919411967289988</v>
      </c>
      <c r="G25" s="30">
        <f t="shared" si="1"/>
        <v>0</v>
      </c>
      <c r="H25" s="25">
        <v>3.5</v>
      </c>
      <c r="I25" s="26">
        <v>3.2222</v>
      </c>
      <c r="J25" s="27">
        <f>Trajectory!H39*(Parameters!$L$5+(Parameters!$M$5-Parameters!$L$5)*(2045-2025)/25)</f>
        <v>2.966961933373907</v>
      </c>
      <c r="K25" s="28">
        <f>Trajectory!I39*(Parameters!$L$5+(Parameters!$M$5-Parameters!$L$5)*(2045-2025)/25)</f>
        <v>0</v>
      </c>
      <c r="L25" s="29">
        <f t="shared" si="2"/>
        <v>2.966961933373907</v>
      </c>
      <c r="M25" s="30">
        <f t="shared" si="3"/>
        <v>0</v>
      </c>
      <c r="N25" s="25">
        <v>1.6</v>
      </c>
      <c r="O25" s="26">
        <v>3.8683999999999998</v>
      </c>
      <c r="P25" s="27">
        <f>Trajectory!L39*(Parameters!$L$6+(Parameters!$M$6-Parameters!$L$6)*(2045-2025)/25)</f>
        <v>1.4256002191912007</v>
      </c>
      <c r="Q25" s="28">
        <f>Trajectory!M39*(Parameters!$L$6+(Parameters!$M$6-Parameters!$L$6)*(2045-2025)/25)</f>
        <v>1.5791322803361405</v>
      </c>
      <c r="R25" s="29">
        <f t="shared" si="4"/>
        <v>1.5791322803361405</v>
      </c>
      <c r="S25" s="30">
        <f t="shared" si="5"/>
        <v>1.4256002191912007</v>
      </c>
      <c r="T25" s="25">
        <v>1.2</v>
      </c>
      <c r="U25" s="26">
        <v>0.7419</v>
      </c>
      <c r="V25" s="27">
        <f>Trajectory!P39*(Parameters!$L$7+(Parameters!$M$7-Parameters!$L$7)*(2045-2025)/25)</f>
        <v>1.8598943470894567</v>
      </c>
      <c r="W25" s="28">
        <f>Trajectory!Q39*(Parameters!$L$7+(Parameters!$M$7-Parameters!$L$7)*(2045-2025)/25)</f>
        <v>0</v>
      </c>
      <c r="X25" s="29">
        <f t="shared" si="6"/>
        <v>1.8598943470894567</v>
      </c>
      <c r="Y25" s="30">
        <f t="shared" si="7"/>
        <v>0</v>
      </c>
      <c r="Z25" s="25">
        <v>3.2</v>
      </c>
      <c r="AA25" s="26">
        <v>4.1349</v>
      </c>
      <c r="AB25" s="27">
        <f>Trajectory!T39*(Parameters!$L$8+(Parameters!$M$8-Parameters!$L$8)*(2045-2025)/25)</f>
        <v>1.4313980906194774</v>
      </c>
      <c r="AC25" s="28">
        <f>Trajectory!U39*(Parameters!$L$8+(Parameters!$M$8-Parameters!$L$8)*(2045-2025)/25)</f>
        <v>0</v>
      </c>
      <c r="AD25" s="29">
        <f t="shared" si="8"/>
        <v>1.4313980906194774</v>
      </c>
      <c r="AE25" s="30">
        <f t="shared" si="9"/>
        <v>0</v>
      </c>
      <c r="AF25" s="25">
        <v>2.2000000000000002</v>
      </c>
      <c r="AG25" s="26">
        <v>0.69240000000000002</v>
      </c>
      <c r="AH25" s="27">
        <f>Trajectory!X39*(Parameters!$L$9+(Parameters!$M$9-Parameters!$L$9)*(2045-2025)/25)</f>
        <v>1.0054938965294207</v>
      </c>
      <c r="AI25" s="28">
        <f>Trajectory!Y39*(Parameters!$L$9+(Parameters!$M$9-Parameters!$L$9)*(2045-2025)/25)</f>
        <v>2.4292126920729107</v>
      </c>
      <c r="AJ25" s="29">
        <f t="shared" si="10"/>
        <v>2.4292126920729107</v>
      </c>
      <c r="AK25" s="30">
        <f t="shared" si="11"/>
        <v>1.0054938965294207</v>
      </c>
      <c r="AL25" s="25">
        <v>1.1000000000000001</v>
      </c>
      <c r="AM25" s="26">
        <v>1.2361</v>
      </c>
      <c r="AN25" s="27">
        <f>Trajectory!AB39*(Parameters!$L$10+(Parameters!$M$10-Parameters!$L$10)*(2045-2025)/25)</f>
        <v>0.50974364111895987</v>
      </c>
      <c r="AO25" s="28">
        <f>Trajectory!AC39*(Parameters!$L$10+(Parameters!$M$10-Parameters!$L$10)*(2045-2025)/25)</f>
        <v>1.3170084099625461</v>
      </c>
      <c r="AP25" s="29">
        <f t="shared" si="12"/>
        <v>1.3170084099625461</v>
      </c>
      <c r="AQ25" s="30">
        <f t="shared" si="13"/>
        <v>0.50974364111895987</v>
      </c>
      <c r="AR25" s="25">
        <v>0.7</v>
      </c>
      <c r="AS25" s="26">
        <v>0.78920000000000001</v>
      </c>
      <c r="AT25" s="27">
        <f>Trajectory!AF39*(Parameters!$L$11+(Parameters!$M$11-Parameters!$L$11)*(2045-2025)/25)</f>
        <v>0.91875527978299021</v>
      </c>
      <c r="AU25" s="28">
        <f>Trajectory!AG39*(Parameters!$L$11+(Parameters!$M$11-Parameters!$L$11)*(2045-2025)/25)</f>
        <v>1.6390707257838237</v>
      </c>
      <c r="AV25" s="29">
        <f t="shared" si="14"/>
        <v>1.6390707257838237</v>
      </c>
      <c r="AW25" s="30">
        <f t="shared" si="15"/>
        <v>0.91875527978299021</v>
      </c>
      <c r="AX25" s="25">
        <v>1.6</v>
      </c>
      <c r="AY25" s="26">
        <v>0.30530000000000002</v>
      </c>
      <c r="AZ25" s="27">
        <f>Trajectory!AJ39*(Parameters!$L$12+(Parameters!$M$12-Parameters!$L$12)*(2045-2025)/25)</f>
        <v>1.1678466081320675</v>
      </c>
      <c r="BA25" s="28">
        <f>Trajectory!AK39*(Parameters!$L$12+(Parameters!$M$12-Parameters!$L$12)*(2045-2025)/25)</f>
        <v>4.1855813684724232</v>
      </c>
      <c r="BB25" s="29">
        <f t="shared" si="16"/>
        <v>4.1855813684724232</v>
      </c>
      <c r="BC25" s="30">
        <f t="shared" si="17"/>
        <v>1.1678466081320675</v>
      </c>
      <c r="BD25" s="25">
        <v>0.7</v>
      </c>
      <c r="BE25" s="26">
        <v>4.7600000000000003E-2</v>
      </c>
      <c r="BF25" s="27">
        <f>Trajectory!AN39*(Parameters!$L$13+(Parameters!$M$13-Parameters!$L$13)*(2045-2025)/25)</f>
        <v>0.22957313729684578</v>
      </c>
      <c r="BG25" s="28">
        <f>Trajectory!AO39*(Parameters!$L$13+(Parameters!$M$13-Parameters!$L$13)*(2045-2025)/25)</f>
        <v>5.516549958447E-2</v>
      </c>
      <c r="BH25" s="29">
        <f t="shared" si="18"/>
        <v>0.22957313729684578</v>
      </c>
      <c r="BI25" s="30">
        <f t="shared" si="19"/>
        <v>5.516549958447E-2</v>
      </c>
      <c r="BJ25" s="25">
        <v>1</v>
      </c>
      <c r="BK25" s="26">
        <v>0.21149999999999999</v>
      </c>
      <c r="BL25" s="27">
        <f>Trajectory!AR39*(Parameters!$L$14+(Parameters!$M$14-Parameters!$L$14)*(2045-2025)/25)</f>
        <v>0.37126512364594427</v>
      </c>
      <c r="BM25" s="28">
        <f>Trajectory!AS39*(Parameters!$L$14+(Parameters!$M$14-Parameters!$L$14)*(2045-2025)/25)</f>
        <v>0.67342274492749488</v>
      </c>
      <c r="BN25" s="29">
        <f t="shared" si="20"/>
        <v>0.67342274492749488</v>
      </c>
      <c r="BO25" s="30">
        <f t="shared" si="21"/>
        <v>0.37126512364594427</v>
      </c>
      <c r="BP25" s="25">
        <v>0.6</v>
      </c>
      <c r="BQ25" s="26">
        <v>2.4299999999999999E-2</v>
      </c>
      <c r="BR25" s="27">
        <f>Trajectory!AV39*(Parameters!$L$15+(Parameters!$M$15-Parameters!$L$15)*(2045-2025)/25)</f>
        <v>0.21544413014945327</v>
      </c>
      <c r="BS25" s="28">
        <f>Trajectory!AW39*(Parameters!$L$15+(Parameters!$M$15-Parameters!$L$15)*(2045-2025)/25)</f>
        <v>0</v>
      </c>
      <c r="BT25" s="29">
        <f t="shared" si="22"/>
        <v>0.21544413014945327</v>
      </c>
      <c r="BU25" s="30">
        <f t="shared" si="23"/>
        <v>0</v>
      </c>
    </row>
    <row r="26" spans="1:73" x14ac:dyDescent="0.3">
      <c r="A26" s="6">
        <v>2046</v>
      </c>
      <c r="B26" s="25">
        <v>5.5</v>
      </c>
      <c r="C26" s="26">
        <v>10</v>
      </c>
      <c r="D26" s="27">
        <f>Trajectory!D40*(Parameters!$L$4+(Parameters!$M$4-Parameters!$L$4)*(2046-2025)/25)</f>
        <v>2.8296805426755429</v>
      </c>
      <c r="E26" s="28">
        <f>Trajectory!E40*(Parameters!$L$4+(Parameters!$M$4-Parameters!$L$4)*(2046-2025)/25)</f>
        <v>0</v>
      </c>
      <c r="F26" s="29">
        <f t="shared" si="0"/>
        <v>2.8296805426755429</v>
      </c>
      <c r="G26" s="30">
        <f t="shared" si="1"/>
        <v>0</v>
      </c>
      <c r="H26" s="25">
        <v>3.5</v>
      </c>
      <c r="I26" s="26">
        <v>3.2222</v>
      </c>
      <c r="J26" s="27">
        <f>Trajectory!H40*(Parameters!$L$5+(Parameters!$M$5-Parameters!$L$5)*(2046-2025)/25)</f>
        <v>2.6561196619367506</v>
      </c>
      <c r="K26" s="28">
        <f>Trajectory!I40*(Parameters!$L$5+(Parameters!$M$5-Parameters!$L$5)*(2046-2025)/25)</f>
        <v>0</v>
      </c>
      <c r="L26" s="29">
        <f t="shared" si="2"/>
        <v>2.6561196619367506</v>
      </c>
      <c r="M26" s="30">
        <f t="shared" si="3"/>
        <v>0</v>
      </c>
      <c r="N26" s="25">
        <v>1.6</v>
      </c>
      <c r="O26" s="26">
        <v>3.8683999999999998</v>
      </c>
      <c r="P26" s="27">
        <f>Trajectory!L40*(Parameters!$L$6+(Parameters!$M$6-Parameters!$L$6)*(2046-2025)/25)</f>
        <v>1.2452392332384969</v>
      </c>
      <c r="Q26" s="28">
        <f>Trajectory!M40*(Parameters!$L$6+(Parameters!$M$6-Parameters!$L$6)*(2046-2025)/25)</f>
        <v>1.7187521837715833</v>
      </c>
      <c r="R26" s="29">
        <f t="shared" si="4"/>
        <v>1.7187521837715833</v>
      </c>
      <c r="S26" s="30">
        <f t="shared" si="5"/>
        <v>1.2452392332384969</v>
      </c>
      <c r="T26" s="25">
        <v>1.2</v>
      </c>
      <c r="U26" s="26">
        <v>0.7419</v>
      </c>
      <c r="V26" s="27">
        <f>Trajectory!P40*(Parameters!$L$7+(Parameters!$M$7-Parameters!$L$7)*(2046-2025)/25)</f>
        <v>1.6416822662574115</v>
      </c>
      <c r="W26" s="28">
        <f>Trajectory!Q40*(Parameters!$L$7+(Parameters!$M$7-Parameters!$L$7)*(2046-2025)/25)</f>
        <v>0</v>
      </c>
      <c r="X26" s="29">
        <f t="shared" si="6"/>
        <v>1.6416822662574115</v>
      </c>
      <c r="Y26" s="30">
        <f t="shared" si="7"/>
        <v>0</v>
      </c>
      <c r="Z26" s="25">
        <v>3.2</v>
      </c>
      <c r="AA26" s="26">
        <v>4.1349</v>
      </c>
      <c r="AB26" s="27">
        <f>Trajectory!T40*(Parameters!$L$8+(Parameters!$M$8-Parameters!$L$8)*(2046-2025)/25)</f>
        <v>1.2689454711758494</v>
      </c>
      <c r="AC26" s="28">
        <f>Trajectory!U40*(Parameters!$L$8+(Parameters!$M$8-Parameters!$L$8)*(2046-2025)/25)</f>
        <v>0</v>
      </c>
      <c r="AD26" s="29">
        <f t="shared" si="8"/>
        <v>1.2689454711758494</v>
      </c>
      <c r="AE26" s="30">
        <f t="shared" si="9"/>
        <v>0</v>
      </c>
      <c r="AF26" s="25">
        <v>2.2000000000000002</v>
      </c>
      <c r="AG26" s="26">
        <v>0.69240000000000002</v>
      </c>
      <c r="AH26" s="27">
        <f>Trajectory!X40*(Parameters!$L$9+(Parameters!$M$9-Parameters!$L$9)*(2046-2025)/25)</f>
        <v>0.91179361313343277</v>
      </c>
      <c r="AI26" s="28">
        <f>Trajectory!Y40*(Parameters!$L$9+(Parameters!$M$9-Parameters!$L$9)*(2046-2025)/25)</f>
        <v>2.5964234990439214</v>
      </c>
      <c r="AJ26" s="29">
        <f t="shared" si="10"/>
        <v>2.5964234990439214</v>
      </c>
      <c r="AK26" s="30">
        <f t="shared" si="11"/>
        <v>0.91179361313343277</v>
      </c>
      <c r="AL26" s="25">
        <v>1.1000000000000001</v>
      </c>
      <c r="AM26" s="26">
        <v>1.2361</v>
      </c>
      <c r="AN26" s="27">
        <f>Trajectory!AB40*(Parameters!$L$10+(Parameters!$M$10-Parameters!$L$10)*(2046-2025)/25)</f>
        <v>0.45980924635373249</v>
      </c>
      <c r="AO26" s="28">
        <f>Trajectory!AC40*(Parameters!$L$10+(Parameters!$M$10-Parameters!$L$10)*(2046-2025)/25)</f>
        <v>0.53419208459923151</v>
      </c>
      <c r="AP26" s="29">
        <f t="shared" si="12"/>
        <v>0.53419208459923151</v>
      </c>
      <c r="AQ26" s="30">
        <f t="shared" si="13"/>
        <v>0.45980924635373249</v>
      </c>
      <c r="AR26" s="25">
        <v>0.7</v>
      </c>
      <c r="AS26" s="26">
        <v>0.78920000000000001</v>
      </c>
      <c r="AT26" s="27">
        <f>Trajectory!AF40*(Parameters!$L$11+(Parameters!$M$11-Parameters!$L$11)*(2046-2025)/25)</f>
        <v>0.83921424532251931</v>
      </c>
      <c r="AU26" s="28">
        <f>Trajectory!AG40*(Parameters!$L$11+(Parameters!$M$11-Parameters!$L$11)*(2046-2025)/25)</f>
        <v>1.7514075731107039</v>
      </c>
      <c r="AV26" s="29">
        <f t="shared" si="14"/>
        <v>1.7514075731107039</v>
      </c>
      <c r="AW26" s="30">
        <f t="shared" si="15"/>
        <v>0.83921424532251931</v>
      </c>
      <c r="AX26" s="25">
        <v>1.6</v>
      </c>
      <c r="AY26" s="26">
        <v>0.30530000000000002</v>
      </c>
      <c r="AZ26" s="27">
        <f>Trajectory!AJ40*(Parameters!$L$12+(Parameters!$M$12-Parameters!$L$12)*(2046-2025)/25)</f>
        <v>1.0200955325860135</v>
      </c>
      <c r="BA26" s="28">
        <f>Trajectory!AK40*(Parameters!$L$12+(Parameters!$M$12-Parameters!$L$12)*(2046-2025)/25)</f>
        <v>1.1647608295057299</v>
      </c>
      <c r="BB26" s="29">
        <f t="shared" si="16"/>
        <v>1.1647608295057299</v>
      </c>
      <c r="BC26" s="30">
        <f t="shared" si="17"/>
        <v>1.0200955325860135</v>
      </c>
      <c r="BD26" s="25">
        <v>0.7</v>
      </c>
      <c r="BE26" s="26">
        <v>4.7600000000000003E-2</v>
      </c>
      <c r="BF26" s="27">
        <f>Trajectory!AN40*(Parameters!$L$13+(Parameters!$M$13-Parameters!$L$13)*(2046-2025)/25)</f>
        <v>0.19241708975216118</v>
      </c>
      <c r="BG26" s="28">
        <f>Trajectory!AO40*(Parameters!$L$13+(Parameters!$M$13-Parameters!$L$13)*(2046-2025)/25)</f>
        <v>6.112606453957261E-2</v>
      </c>
      <c r="BH26" s="29">
        <f t="shared" si="18"/>
        <v>0.19241708975216118</v>
      </c>
      <c r="BI26" s="30">
        <f t="shared" si="19"/>
        <v>6.112606453957261E-2</v>
      </c>
      <c r="BJ26" s="25">
        <v>1</v>
      </c>
      <c r="BK26" s="26">
        <v>0.21149999999999999</v>
      </c>
      <c r="BL26" s="27">
        <f>Trajectory!AR40*(Parameters!$L$14+(Parameters!$M$14-Parameters!$L$14)*(2046-2025)/25)</f>
        <v>0.33489605937277173</v>
      </c>
      <c r="BM26" s="28">
        <f>Trajectory!AS40*(Parameters!$L$14+(Parameters!$M$14-Parameters!$L$14)*(2046-2025)/25)</f>
        <v>0.74653721437676501</v>
      </c>
      <c r="BN26" s="29">
        <f t="shared" si="20"/>
        <v>0.74653721437676501</v>
      </c>
      <c r="BO26" s="30">
        <f t="shared" si="21"/>
        <v>0.33489605937277173</v>
      </c>
      <c r="BP26" s="25">
        <v>0.6</v>
      </c>
      <c r="BQ26" s="26">
        <v>2.4299999999999999E-2</v>
      </c>
      <c r="BR26" s="27">
        <f>Trajectory!AV40*(Parameters!$L$15+(Parameters!$M$15-Parameters!$L$15)*(2046-2025)/25)</f>
        <v>0.19679210239232128</v>
      </c>
      <c r="BS26" s="28">
        <f>Trajectory!AW40*(Parameters!$L$15+(Parameters!$M$15-Parameters!$L$15)*(2046-2025)/25)</f>
        <v>0</v>
      </c>
      <c r="BT26" s="29">
        <f t="shared" si="22"/>
        <v>0.19679210239232128</v>
      </c>
      <c r="BU26" s="30">
        <f t="shared" si="23"/>
        <v>0</v>
      </c>
    </row>
    <row r="27" spans="1:73" x14ac:dyDescent="0.3">
      <c r="A27" s="6">
        <v>2047</v>
      </c>
      <c r="B27" s="25">
        <v>5.5</v>
      </c>
      <c r="C27" s="26">
        <v>10</v>
      </c>
      <c r="D27" s="27">
        <f>Trajectory!D41*(Parameters!$L$4+(Parameters!$M$4-Parameters!$L$4)*(2047-2025)/25)</f>
        <v>2.4898587493921687</v>
      </c>
      <c r="E27" s="28">
        <f>Trajectory!E41*(Parameters!$L$4+(Parameters!$M$4-Parameters!$L$4)*(2047-2025)/25)</f>
        <v>0</v>
      </c>
      <c r="F27" s="29">
        <f t="shared" si="0"/>
        <v>2.4898587493921687</v>
      </c>
      <c r="G27" s="30">
        <f t="shared" si="1"/>
        <v>0</v>
      </c>
      <c r="H27" s="25">
        <v>3.5</v>
      </c>
      <c r="I27" s="26">
        <v>3.2222</v>
      </c>
      <c r="J27" s="27">
        <f>Trajectory!H41*(Parameters!$L$5+(Parameters!$M$5-Parameters!$L$5)*(2047-2025)/25)</f>
        <v>2.3649089411386188</v>
      </c>
      <c r="K27" s="28">
        <f>Trajectory!I41*(Parameters!$L$5+(Parameters!$M$5-Parameters!$L$5)*(2047-2025)/25)</f>
        <v>0</v>
      </c>
      <c r="L27" s="29">
        <f t="shared" si="2"/>
        <v>2.3649089411386188</v>
      </c>
      <c r="M27" s="30">
        <f t="shared" si="3"/>
        <v>0</v>
      </c>
      <c r="N27" s="25">
        <v>1.6</v>
      </c>
      <c r="O27" s="26">
        <v>3.8683999999999998</v>
      </c>
      <c r="P27" s="27">
        <f>Trajectory!L41*(Parameters!$L$6+(Parameters!$M$6-Parameters!$L$6)*(2047-2025)/25)</f>
        <v>1.0778024264227282</v>
      </c>
      <c r="Q27" s="28">
        <f>Trajectory!M41*(Parameters!$L$6+(Parameters!$M$6-Parameters!$L$6)*(2047-2025)/25)</f>
        <v>1.870604825162532</v>
      </c>
      <c r="R27" s="29">
        <f t="shared" si="4"/>
        <v>1.870604825162532</v>
      </c>
      <c r="S27" s="30">
        <f t="shared" si="5"/>
        <v>1.0778024264227282</v>
      </c>
      <c r="T27" s="25">
        <v>1.2</v>
      </c>
      <c r="U27" s="26">
        <v>0.7419</v>
      </c>
      <c r="V27" s="27">
        <f>Trajectory!P41*(Parameters!$L$7+(Parameters!$M$7-Parameters!$L$7)*(2047-2025)/25)</f>
        <v>1.4338977540385431</v>
      </c>
      <c r="W27" s="28">
        <f>Trajectory!Q41*(Parameters!$L$7+(Parameters!$M$7-Parameters!$L$7)*(2047-2025)/25)</f>
        <v>0</v>
      </c>
      <c r="X27" s="29">
        <f t="shared" si="6"/>
        <v>1.4338977540385431</v>
      </c>
      <c r="Y27" s="30">
        <f t="shared" si="7"/>
        <v>0</v>
      </c>
      <c r="Z27" s="25">
        <v>3.2</v>
      </c>
      <c r="AA27" s="26">
        <v>4.1349</v>
      </c>
      <c r="AB27" s="27">
        <f>Trajectory!T41*(Parameters!$L$8+(Parameters!$M$8-Parameters!$L$8)*(2047-2025)/25)</f>
        <v>1.1165553624372708</v>
      </c>
      <c r="AC27" s="28">
        <f>Trajectory!U41*(Parameters!$L$8+(Parameters!$M$8-Parameters!$L$8)*(2047-2025)/25)</f>
        <v>0</v>
      </c>
      <c r="AD27" s="29">
        <f t="shared" si="8"/>
        <v>1.1165553624372708</v>
      </c>
      <c r="AE27" s="30">
        <f t="shared" si="9"/>
        <v>0</v>
      </c>
      <c r="AF27" s="25">
        <v>2.2000000000000002</v>
      </c>
      <c r="AG27" s="26">
        <v>0.69240000000000002</v>
      </c>
      <c r="AH27" s="27">
        <f>Trajectory!X41*(Parameters!$L$9+(Parameters!$M$9-Parameters!$L$9)*(2047-2025)/25)</f>
        <v>0.82117627136115046</v>
      </c>
      <c r="AI27" s="28">
        <f>Trajectory!Y41*(Parameters!$L$9+(Parameters!$M$9-Parameters!$L$9)*(2047-2025)/25)</f>
        <v>2.7749544371600017</v>
      </c>
      <c r="AJ27" s="29">
        <f t="shared" si="10"/>
        <v>2.7749544371600017</v>
      </c>
      <c r="AK27" s="30">
        <f t="shared" si="11"/>
        <v>0.82117627136115046</v>
      </c>
      <c r="AL27" s="25">
        <v>1.1000000000000001</v>
      </c>
      <c r="AM27" s="26">
        <v>1.2361</v>
      </c>
      <c r="AN27" s="27">
        <f>Trajectory!AB41*(Parameters!$L$10+(Parameters!$M$10-Parameters!$L$10)*(2047-2025)/25)</f>
        <v>0.41082487251861138</v>
      </c>
      <c r="AO27" s="28">
        <f>Trajectory!AC41*(Parameters!$L$10+(Parameters!$M$10-Parameters!$L$10)*(2047-2025)/25)</f>
        <v>0</v>
      </c>
      <c r="AP27" s="29">
        <f t="shared" si="12"/>
        <v>0.41082487251861138</v>
      </c>
      <c r="AQ27" s="30">
        <f t="shared" si="13"/>
        <v>0</v>
      </c>
      <c r="AR27" s="25">
        <v>0.7</v>
      </c>
      <c r="AS27" s="26">
        <v>0.78920000000000001</v>
      </c>
      <c r="AT27" s="27">
        <f>Trajectory!AF41*(Parameters!$L$11+(Parameters!$M$11-Parameters!$L$11)*(2047-2025)/25)</f>
        <v>0.76074966973548031</v>
      </c>
      <c r="AU27" s="28">
        <f>Trajectory!AG41*(Parameters!$L$11+(Parameters!$M$11-Parameters!$L$11)*(2047-2025)/25)</f>
        <v>1.8713241875039788</v>
      </c>
      <c r="AV27" s="29">
        <f t="shared" si="14"/>
        <v>1.8713241875039788</v>
      </c>
      <c r="AW27" s="30">
        <f t="shared" si="15"/>
        <v>0.76074966973548031</v>
      </c>
      <c r="AX27" s="25">
        <v>1.6</v>
      </c>
      <c r="AY27" s="26">
        <v>0.30530000000000002</v>
      </c>
      <c r="AZ27" s="27">
        <f>Trajectory!AJ41*(Parameters!$L$12+(Parameters!$M$12-Parameters!$L$12)*(2047-2025)/25)</f>
        <v>0.88293189843110753</v>
      </c>
      <c r="BA27" s="28">
        <f>Trajectory!AK41*(Parameters!$L$12+(Parameters!$M$12-Parameters!$L$12)*(2047-2025)/25)</f>
        <v>0</v>
      </c>
      <c r="BB27" s="29">
        <f t="shared" si="16"/>
        <v>0.88293189843110753</v>
      </c>
      <c r="BC27" s="30">
        <f t="shared" si="17"/>
        <v>0</v>
      </c>
      <c r="BD27" s="25">
        <v>0.7</v>
      </c>
      <c r="BE27" s="26">
        <v>4.7600000000000003E-2</v>
      </c>
      <c r="BF27" s="27">
        <f>Trajectory!AN41*(Parameters!$L$13+(Parameters!$M$13-Parameters!$L$13)*(2047-2025)/25)</f>
        <v>0.1601966220834089</v>
      </c>
      <c r="BG27" s="28">
        <f>Trajectory!AO41*(Parameters!$L$13+(Parameters!$M$13-Parameters!$L$13)*(2047-2025)/25)</f>
        <v>6.772708748985079E-2</v>
      </c>
      <c r="BH27" s="29">
        <f t="shared" si="18"/>
        <v>0.1601966220834089</v>
      </c>
      <c r="BI27" s="30">
        <f t="shared" si="19"/>
        <v>6.772708748985079E-2</v>
      </c>
      <c r="BJ27" s="25">
        <v>1</v>
      </c>
      <c r="BK27" s="26">
        <v>0.21149999999999999</v>
      </c>
      <c r="BL27" s="27">
        <f>Trajectory!AR41*(Parameters!$L$14+(Parameters!$M$14-Parameters!$L$14)*(2047-2025)/25)</f>
        <v>0.29921893043655567</v>
      </c>
      <c r="BM27" s="28">
        <f>Trajectory!AS41*(Parameters!$L$14+(Parameters!$M$14-Parameters!$L$14)*(2047-2025)/25)</f>
        <v>0.82754035026661543</v>
      </c>
      <c r="BN27" s="29">
        <f t="shared" si="20"/>
        <v>0.82754035026661543</v>
      </c>
      <c r="BO27" s="30">
        <f t="shared" si="21"/>
        <v>0.29921893043655567</v>
      </c>
      <c r="BP27" s="25">
        <v>0.6</v>
      </c>
      <c r="BQ27" s="26">
        <v>2.4299999999999999E-2</v>
      </c>
      <c r="BR27" s="27">
        <f>Trajectory!AV41*(Parameters!$L$15+(Parameters!$M$15-Parameters!$L$15)*(2047-2025)/25)</f>
        <v>0.17839249957437736</v>
      </c>
      <c r="BS27" s="28">
        <f>Trajectory!AW41*(Parameters!$L$15+(Parameters!$M$15-Parameters!$L$15)*(2047-2025)/25)</f>
        <v>0</v>
      </c>
      <c r="BT27" s="29">
        <f t="shared" si="22"/>
        <v>0.17839249957437736</v>
      </c>
      <c r="BU27" s="30">
        <f t="shared" si="23"/>
        <v>0</v>
      </c>
    </row>
    <row r="28" spans="1:73" x14ac:dyDescent="0.3">
      <c r="A28" s="6">
        <v>2048</v>
      </c>
      <c r="B28" s="25">
        <v>5.5</v>
      </c>
      <c r="C28" s="26">
        <v>10</v>
      </c>
      <c r="D28" s="27">
        <f>Trajectory!D42*(Parameters!$L$4+(Parameters!$M$4-Parameters!$L$4)*(2048-2025)/25)</f>
        <v>2.1765833649786748</v>
      </c>
      <c r="E28" s="28">
        <f>Trajectory!E42*(Parameters!$L$4+(Parameters!$M$4-Parameters!$L$4)*(2048-2025)/25)</f>
        <v>0</v>
      </c>
      <c r="F28" s="29">
        <f t="shared" si="0"/>
        <v>2.1765833649786748</v>
      </c>
      <c r="G28" s="30">
        <f t="shared" si="1"/>
        <v>0</v>
      </c>
      <c r="H28" s="25">
        <v>3.5</v>
      </c>
      <c r="I28" s="26">
        <v>3.2222</v>
      </c>
      <c r="J28" s="27">
        <f>Trajectory!H42*(Parameters!$L$5+(Parameters!$M$5-Parameters!$L$5)*(2048-2025)/25)</f>
        <v>2.09549054668862</v>
      </c>
      <c r="K28" s="28">
        <f>Trajectory!I42*(Parameters!$L$5+(Parameters!$M$5-Parameters!$L$5)*(2048-2025)/25)</f>
        <v>0</v>
      </c>
      <c r="L28" s="29">
        <f t="shared" si="2"/>
        <v>2.09549054668862</v>
      </c>
      <c r="M28" s="30">
        <f t="shared" si="3"/>
        <v>0</v>
      </c>
      <c r="N28" s="25">
        <v>1.6</v>
      </c>
      <c r="O28" s="26">
        <v>3.8683999999999998</v>
      </c>
      <c r="P28" s="27">
        <f>Trajectory!L42*(Parameters!$L$6+(Parameters!$M$6-Parameters!$L$6)*(2048-2025)/25)</f>
        <v>0.92557453625439867</v>
      </c>
      <c r="Q28" s="28">
        <f>Trajectory!M42*(Parameters!$L$6+(Parameters!$M$6-Parameters!$L$6)*(2048-2025)/25)</f>
        <v>2.035753875199906</v>
      </c>
      <c r="R28" s="29">
        <f t="shared" si="4"/>
        <v>2.035753875199906</v>
      </c>
      <c r="S28" s="30">
        <f t="shared" si="5"/>
        <v>0.92557453625439867</v>
      </c>
      <c r="T28" s="25">
        <v>1.2</v>
      </c>
      <c r="U28" s="26">
        <v>0.7419</v>
      </c>
      <c r="V28" s="27">
        <f>Trajectory!P42*(Parameters!$L$7+(Parameters!$M$7-Parameters!$L$7)*(2048-2025)/25)</f>
        <v>1.2410205663382725</v>
      </c>
      <c r="W28" s="28">
        <f>Trajectory!Q42*(Parameters!$L$7+(Parameters!$M$7-Parameters!$L$7)*(2048-2025)/25)</f>
        <v>0</v>
      </c>
      <c r="X28" s="29">
        <f t="shared" si="6"/>
        <v>1.2410205663382725</v>
      </c>
      <c r="Y28" s="30">
        <f t="shared" si="7"/>
        <v>0</v>
      </c>
      <c r="Z28" s="25">
        <v>3.2</v>
      </c>
      <c r="AA28" s="26">
        <v>4.1349</v>
      </c>
      <c r="AB28" s="27">
        <f>Trajectory!T42*(Parameters!$L$8+(Parameters!$M$8-Parameters!$L$8)*(2048-2025)/25)</f>
        <v>0.97606975839568366</v>
      </c>
      <c r="AC28" s="28">
        <f>Trajectory!U42*(Parameters!$L$8+(Parameters!$M$8-Parameters!$L$8)*(2048-2025)/25)</f>
        <v>0</v>
      </c>
      <c r="AD28" s="29">
        <f t="shared" si="8"/>
        <v>0.97606975839568366</v>
      </c>
      <c r="AE28" s="30">
        <f t="shared" si="9"/>
        <v>0</v>
      </c>
      <c r="AF28" s="25">
        <v>2.2000000000000002</v>
      </c>
      <c r="AG28" s="26">
        <v>0.69240000000000002</v>
      </c>
      <c r="AH28" s="27">
        <f>Trajectory!X42*(Parameters!$L$9+(Parameters!$M$9-Parameters!$L$9)*(2048-2025)/25)</f>
        <v>0.73504378604678444</v>
      </c>
      <c r="AI28" s="28">
        <f>Trajectory!Y42*(Parameters!$L$9+(Parameters!$M$9-Parameters!$L$9)*(2048-2025)/25)</f>
        <v>0.83127527910924581</v>
      </c>
      <c r="AJ28" s="29">
        <f t="shared" si="10"/>
        <v>0.83127527910924581</v>
      </c>
      <c r="AK28" s="30">
        <f t="shared" si="11"/>
        <v>0.73504378604678444</v>
      </c>
      <c r="AL28" s="25">
        <v>1.1000000000000001</v>
      </c>
      <c r="AM28" s="26">
        <v>1.2361</v>
      </c>
      <c r="AN28" s="27">
        <f>Trajectory!AB42*(Parameters!$L$10+(Parameters!$M$10-Parameters!$L$10)*(2048-2025)/25)</f>
        <v>0.36396078734351472</v>
      </c>
      <c r="AO28" s="28">
        <f>Trajectory!AC42*(Parameters!$L$10+(Parameters!$M$10-Parameters!$L$10)*(2048-2025)/25)</f>
        <v>0</v>
      </c>
      <c r="AP28" s="29">
        <f t="shared" si="12"/>
        <v>0.36396078734351472</v>
      </c>
      <c r="AQ28" s="30">
        <f t="shared" si="13"/>
        <v>0</v>
      </c>
      <c r="AR28" s="25">
        <v>0.7</v>
      </c>
      <c r="AS28" s="26">
        <v>0.78920000000000001</v>
      </c>
      <c r="AT28" s="27">
        <f>Trajectory!AF42*(Parameters!$L$11+(Parameters!$M$11-Parameters!$L$11)*(2048-2025)/25)</f>
        <v>0.68491364178657999</v>
      </c>
      <c r="AU28" s="28">
        <f>Trajectory!AG42*(Parameters!$L$11+(Parameters!$M$11-Parameters!$L$11)*(2048-2025)/25)</f>
        <v>1.9993257283612429</v>
      </c>
      <c r="AV28" s="29">
        <f t="shared" si="14"/>
        <v>1.9993257283612429</v>
      </c>
      <c r="AW28" s="30">
        <f t="shared" si="15"/>
        <v>0.68491364178657999</v>
      </c>
      <c r="AX28" s="25">
        <v>1.6</v>
      </c>
      <c r="AY28" s="26">
        <v>0.30530000000000002</v>
      </c>
      <c r="AZ28" s="27">
        <f>Trajectory!AJ42*(Parameters!$L$12+(Parameters!$M$12-Parameters!$L$12)*(2048-2025)/25)</f>
        <v>0.75822735447627221</v>
      </c>
      <c r="BA28" s="28">
        <f>Trajectory!AK42*(Parameters!$L$12+(Parameters!$M$12-Parameters!$L$12)*(2048-2025)/25)</f>
        <v>0</v>
      </c>
      <c r="BB28" s="29">
        <f t="shared" si="16"/>
        <v>0.75822735447627221</v>
      </c>
      <c r="BC28" s="30">
        <f t="shared" si="17"/>
        <v>0</v>
      </c>
      <c r="BD28" s="25">
        <v>0.7</v>
      </c>
      <c r="BE28" s="26">
        <v>4.7600000000000003E-2</v>
      </c>
      <c r="BF28" s="27">
        <f>Trajectory!AN42*(Parameters!$L$13+(Parameters!$M$13-Parameters!$L$13)*(2048-2025)/25)</f>
        <v>0.13263264640240238</v>
      </c>
      <c r="BG28" s="28">
        <f>Trajectory!AO42*(Parameters!$L$13+(Parameters!$M$13-Parameters!$L$13)*(2048-2025)/25)</f>
        <v>7.5037054384788984E-2</v>
      </c>
      <c r="BH28" s="29">
        <f t="shared" si="18"/>
        <v>0.13263264640240238</v>
      </c>
      <c r="BI28" s="30">
        <f t="shared" si="19"/>
        <v>7.5037054384788984E-2</v>
      </c>
      <c r="BJ28" s="25">
        <v>1</v>
      </c>
      <c r="BK28" s="26">
        <v>0.21149999999999999</v>
      </c>
      <c r="BL28" s="27">
        <f>Trajectory!AR42*(Parameters!$L$14+(Parameters!$M$14-Parameters!$L$14)*(2048-2025)/25)</f>
        <v>0.26508608605444184</v>
      </c>
      <c r="BM28" s="28">
        <f>Trajectory!AS42*(Parameters!$L$14+(Parameters!$M$14-Parameters!$L$14)*(2048-2025)/25)</f>
        <v>0.91727874119066533</v>
      </c>
      <c r="BN28" s="29">
        <f t="shared" si="20"/>
        <v>0.91727874119066533</v>
      </c>
      <c r="BO28" s="30">
        <f t="shared" si="21"/>
        <v>0.26508608605444184</v>
      </c>
      <c r="BP28" s="25">
        <v>0.6</v>
      </c>
      <c r="BQ28" s="26">
        <v>2.4299999999999999E-2</v>
      </c>
      <c r="BR28" s="27">
        <f>Trajectory!AV42*(Parameters!$L$15+(Parameters!$M$15-Parameters!$L$15)*(2048-2025)/25)</f>
        <v>0.16060927978237871</v>
      </c>
      <c r="BS28" s="28">
        <f>Trajectory!AW42*(Parameters!$L$15+(Parameters!$M$15-Parameters!$L$15)*(2048-2025)/25)</f>
        <v>0</v>
      </c>
      <c r="BT28" s="29">
        <f t="shared" si="22"/>
        <v>0.16060927978237871</v>
      </c>
      <c r="BU28" s="30">
        <f t="shared" si="23"/>
        <v>0</v>
      </c>
    </row>
    <row r="29" spans="1:73" x14ac:dyDescent="0.3">
      <c r="A29" s="6">
        <v>2049</v>
      </c>
      <c r="B29" s="25">
        <v>5.5</v>
      </c>
      <c r="C29" s="26">
        <v>10</v>
      </c>
      <c r="D29" s="27">
        <f>Trajectory!D43*(Parameters!$L$4+(Parameters!$M$4-Parameters!$L$4)*(2049-2025)/25)</f>
        <v>1.8919594389024368</v>
      </c>
      <c r="E29" s="28">
        <f>Trajectory!E43*(Parameters!$L$4+(Parameters!$M$4-Parameters!$L$4)*(2049-2025)/25)</f>
        <v>0</v>
      </c>
      <c r="F29" s="29">
        <f t="shared" si="0"/>
        <v>1.8919594389024368</v>
      </c>
      <c r="G29" s="30">
        <f t="shared" si="1"/>
        <v>0</v>
      </c>
      <c r="H29" s="25">
        <v>3.5</v>
      </c>
      <c r="I29" s="26">
        <v>3.2222</v>
      </c>
      <c r="J29" s="27">
        <f>Trajectory!H43*(Parameters!$L$5+(Parameters!$M$5-Parameters!$L$5)*(2049-2025)/25)</f>
        <v>1.8488927645549393</v>
      </c>
      <c r="K29" s="28">
        <f>Trajectory!I43*(Parameters!$L$5+(Parameters!$M$5-Parameters!$L$5)*(2049-2025)/25)</f>
        <v>0</v>
      </c>
      <c r="L29" s="29">
        <f t="shared" si="2"/>
        <v>1.8488927645549393</v>
      </c>
      <c r="M29" s="30">
        <f t="shared" si="3"/>
        <v>0</v>
      </c>
      <c r="N29" s="25">
        <v>1.6</v>
      </c>
      <c r="O29" s="26">
        <v>3.8683999999999998</v>
      </c>
      <c r="P29" s="27">
        <f>Trajectory!L43*(Parameters!$L$6+(Parameters!$M$6-Parameters!$L$6)*(2049-2025)/25)</f>
        <v>0.78953065724865734</v>
      </c>
      <c r="Q29" s="28">
        <f>Trajectory!M43*(Parameters!$L$6+(Parameters!$M$6-Parameters!$L$6)*(2049-2025)/25)</f>
        <v>2.2153549023622077</v>
      </c>
      <c r="R29" s="29">
        <f t="shared" si="4"/>
        <v>2.2153549023622077</v>
      </c>
      <c r="S29" s="30">
        <f t="shared" si="5"/>
        <v>0.78953065724865734</v>
      </c>
      <c r="T29" s="25">
        <v>1.2</v>
      </c>
      <c r="U29" s="26">
        <v>0.7419</v>
      </c>
      <c r="V29" s="27">
        <f>Trajectory!P43*(Parameters!$L$7+(Parameters!$M$7-Parameters!$L$7)*(2049-2025)/25)</f>
        <v>1.0656780985026788</v>
      </c>
      <c r="W29" s="28">
        <f>Trajectory!Q43*(Parameters!$L$7+(Parameters!$M$7-Parameters!$L$7)*(2049-2025)/25)</f>
        <v>0</v>
      </c>
      <c r="X29" s="29">
        <f t="shared" si="6"/>
        <v>1.0656780985026788</v>
      </c>
      <c r="Y29" s="30">
        <f t="shared" si="7"/>
        <v>0</v>
      </c>
      <c r="Z29" s="25">
        <v>3.2</v>
      </c>
      <c r="AA29" s="26">
        <v>4.1349</v>
      </c>
      <c r="AB29" s="27">
        <f>Trajectory!T43*(Parameters!$L$8+(Parameters!$M$8-Parameters!$L$8)*(2049-2025)/25)</f>
        <v>0.84843265005937418</v>
      </c>
      <c r="AC29" s="28">
        <f>Trajectory!U43*(Parameters!$L$8+(Parameters!$M$8-Parameters!$L$8)*(2049-2025)/25)</f>
        <v>0</v>
      </c>
      <c r="AD29" s="29">
        <f t="shared" si="8"/>
        <v>0.84843265005937418</v>
      </c>
      <c r="AE29" s="30">
        <f t="shared" si="9"/>
        <v>0</v>
      </c>
      <c r="AF29" s="25">
        <v>2.2000000000000002</v>
      </c>
      <c r="AG29" s="26">
        <v>0.69240000000000002</v>
      </c>
      <c r="AH29" s="27">
        <f>Trajectory!X43*(Parameters!$L$9+(Parameters!$M$9-Parameters!$L$9)*(2049-2025)/25)</f>
        <v>0.65436808606471131</v>
      </c>
      <c r="AI29" s="28">
        <f>Trajectory!Y43*(Parameters!$L$9+(Parameters!$M$9-Parameters!$L$9)*(2049-2025)/25)</f>
        <v>0</v>
      </c>
      <c r="AJ29" s="29">
        <f t="shared" si="10"/>
        <v>0.65436808606471131</v>
      </c>
      <c r="AK29" s="30">
        <f t="shared" si="11"/>
        <v>0</v>
      </c>
      <c r="AL29" s="25">
        <v>1.1000000000000001</v>
      </c>
      <c r="AM29" s="26">
        <v>1.2361</v>
      </c>
      <c r="AN29" s="27">
        <f>Trajectory!AB43*(Parameters!$L$10+(Parameters!$M$10-Parameters!$L$10)*(2049-2025)/25)</f>
        <v>0.32004549766410267</v>
      </c>
      <c r="AO29" s="28">
        <f>Trajectory!AC43*(Parameters!$L$10+(Parameters!$M$10-Parameters!$L$10)*(2049-2025)/25)</f>
        <v>0</v>
      </c>
      <c r="AP29" s="29">
        <f t="shared" si="12"/>
        <v>0.32004549766410267</v>
      </c>
      <c r="AQ29" s="30">
        <f t="shared" si="13"/>
        <v>0</v>
      </c>
      <c r="AR29" s="25">
        <v>0.7</v>
      </c>
      <c r="AS29" s="26">
        <v>0.78920000000000001</v>
      </c>
      <c r="AT29" s="27">
        <f>Trajectory!AF43*(Parameters!$L$11+(Parameters!$M$11-Parameters!$L$11)*(2049-2025)/25)</f>
        <v>0.61287111940032823</v>
      </c>
      <c r="AU29" s="28">
        <f>Trajectory!AG43*(Parameters!$L$11+(Parameters!$M$11-Parameters!$L$11)*(2049-2025)/25)</f>
        <v>2.135950687046376</v>
      </c>
      <c r="AV29" s="29">
        <f t="shared" si="14"/>
        <v>2.135950687046376</v>
      </c>
      <c r="AW29" s="30">
        <f t="shared" si="15"/>
        <v>0.61287111940032823</v>
      </c>
      <c r="AX29" s="25">
        <v>1.6</v>
      </c>
      <c r="AY29" s="26">
        <v>0.30530000000000002</v>
      </c>
      <c r="AZ29" s="27">
        <f>Trajectory!AJ43*(Parameters!$L$12+(Parameters!$M$12-Parameters!$L$12)*(2049-2025)/25)</f>
        <v>0.64678069466573984</v>
      </c>
      <c r="BA29" s="28">
        <f>Trajectory!AK43*(Parameters!$L$12+(Parameters!$M$12-Parameters!$L$12)*(2049-2025)/25)</f>
        <v>0</v>
      </c>
      <c r="BB29" s="29">
        <f t="shared" si="16"/>
        <v>0.64678069466573984</v>
      </c>
      <c r="BC29" s="30">
        <f t="shared" si="17"/>
        <v>0</v>
      </c>
      <c r="BD29" s="25">
        <v>0.7</v>
      </c>
      <c r="BE29" s="26">
        <v>4.7600000000000003E-2</v>
      </c>
      <c r="BF29" s="27">
        <f>Trajectory!AN43*(Parameters!$L$13+(Parameters!$M$13-Parameters!$L$13)*(2049-2025)/25)</f>
        <v>0.10930993923763263</v>
      </c>
      <c r="BG29" s="28">
        <f>Trajectory!AO43*(Parameters!$L$13+(Parameters!$M$13-Parameters!$L$13)*(2049-2025)/25)</f>
        <v>8.3131743783816603E-2</v>
      </c>
      <c r="BH29" s="29">
        <f t="shared" si="18"/>
        <v>0.10930993923763263</v>
      </c>
      <c r="BI29" s="30">
        <f t="shared" si="19"/>
        <v>8.3131743783816603E-2</v>
      </c>
      <c r="BJ29" s="25">
        <v>1</v>
      </c>
      <c r="BK29" s="26">
        <v>0.21149999999999999</v>
      </c>
      <c r="BL29" s="27">
        <f>Trajectory!AR43*(Parameters!$L$14+(Parameters!$M$14-Parameters!$L$14)*(2049-2025)/25)</f>
        <v>0.23310095835969791</v>
      </c>
      <c r="BM29" s="28">
        <f>Trajectory!AS43*(Parameters!$L$14+(Parameters!$M$14-Parameters!$L$14)*(2049-2025)/25)</f>
        <v>1.0166894067968644</v>
      </c>
      <c r="BN29" s="29">
        <f t="shared" si="20"/>
        <v>1.0166894067968644</v>
      </c>
      <c r="BO29" s="30">
        <f t="shared" si="21"/>
        <v>0.23310095835969791</v>
      </c>
      <c r="BP29" s="25">
        <v>0.6</v>
      </c>
      <c r="BQ29" s="26">
        <v>2.4299999999999999E-2</v>
      </c>
      <c r="BR29" s="27">
        <f>Trajectory!AV43*(Parameters!$L$15+(Parameters!$M$15-Parameters!$L$15)*(2049-2025)/25)</f>
        <v>0.14371562059933202</v>
      </c>
      <c r="BS29" s="28">
        <f>Trajectory!AW43*(Parameters!$L$15+(Parameters!$M$15-Parameters!$L$15)*(2049-2025)/25)</f>
        <v>0</v>
      </c>
      <c r="BT29" s="29">
        <f t="shared" si="22"/>
        <v>0.14371562059933202</v>
      </c>
      <c r="BU29" s="30">
        <f t="shared" si="23"/>
        <v>0</v>
      </c>
    </row>
    <row r="30" spans="1:73" x14ac:dyDescent="0.3">
      <c r="A30" s="6">
        <v>2050</v>
      </c>
      <c r="B30" s="25">
        <v>5.5</v>
      </c>
      <c r="C30" s="26">
        <v>10</v>
      </c>
      <c r="D30" s="27">
        <f>Trajectory!D44*(Parameters!$L$4+(Parameters!$M$4-Parameters!$L$4)*(2050-2025)/25)</f>
        <v>1.6365129463907238</v>
      </c>
      <c r="E30" s="28">
        <f>Trajectory!E44*(Parameters!$L$4+(Parameters!$M$4-Parameters!$L$4)*(2050-2025)/25)</f>
        <v>0</v>
      </c>
      <c r="F30" s="29">
        <f t="shared" si="0"/>
        <v>1.6365129463907238</v>
      </c>
      <c r="G30" s="30">
        <f t="shared" si="1"/>
        <v>0</v>
      </c>
      <c r="H30" s="25">
        <v>3.5</v>
      </c>
      <c r="I30" s="26">
        <v>3.2222</v>
      </c>
      <c r="J30" s="27">
        <f>Trajectory!H44*(Parameters!$L$5+(Parameters!$M$5-Parameters!$L$5)*(2050-2025)/25)</f>
        <v>1.6252464249955594</v>
      </c>
      <c r="K30" s="28">
        <f>Trajectory!I44*(Parameters!$L$5+(Parameters!$M$5-Parameters!$L$5)*(2050-2025)/25)</f>
        <v>0</v>
      </c>
      <c r="L30" s="29">
        <f t="shared" si="2"/>
        <v>1.6252464249955594</v>
      </c>
      <c r="M30" s="30">
        <f t="shared" si="3"/>
        <v>0</v>
      </c>
      <c r="N30" s="25">
        <v>1.6</v>
      </c>
      <c r="O30" s="26">
        <v>3.8683999999999998</v>
      </c>
      <c r="P30" s="27">
        <f>Trajectory!L44*(Parameters!$L$6+(Parameters!$M$6-Parameters!$L$6)*(2050-2025)/25)</f>
        <v>0.66966009077473254</v>
      </c>
      <c r="Q30" s="28">
        <f>Trajectory!M44*(Parameters!$L$6+(Parameters!$M$6-Parameters!$L$6)*(2050-2025)/25)</f>
        <v>2.4106632690691985</v>
      </c>
      <c r="R30" s="29">
        <f t="shared" si="4"/>
        <v>2.4106632690691985</v>
      </c>
      <c r="S30" s="30">
        <f t="shared" si="5"/>
        <v>0.66966009077473254</v>
      </c>
      <c r="T30" s="25">
        <v>1.2</v>
      </c>
      <c r="U30" s="26">
        <v>0.7419</v>
      </c>
      <c r="V30" s="27">
        <f>Trajectory!P44*(Parameters!$L$7+(Parameters!$M$7-Parameters!$L$7)*(2050-2025)/25)</f>
        <v>0.90898944455489072</v>
      </c>
      <c r="W30" s="28">
        <f>Trajectory!Q44*(Parameters!$L$7+(Parameters!$M$7-Parameters!$L$7)*(2050-2025)/25)</f>
        <v>0</v>
      </c>
      <c r="X30" s="29">
        <f t="shared" si="6"/>
        <v>0.90898944455489072</v>
      </c>
      <c r="Y30" s="30">
        <f t="shared" si="7"/>
        <v>0</v>
      </c>
      <c r="Z30" s="25">
        <v>3.2</v>
      </c>
      <c r="AA30" s="26">
        <v>4.1349</v>
      </c>
      <c r="AB30" s="27">
        <f>Trajectory!T44*(Parameters!$L$8+(Parameters!$M$8-Parameters!$L$8)*(2050-2025)/25)</f>
        <v>0.73387990641502654</v>
      </c>
      <c r="AC30" s="28">
        <f>Trajectory!U44*(Parameters!$L$8+(Parameters!$M$8-Parameters!$L$8)*(2050-2025)/25)</f>
        <v>0</v>
      </c>
      <c r="AD30" s="29">
        <f t="shared" si="8"/>
        <v>0.73387990641502654</v>
      </c>
      <c r="AE30" s="30">
        <f t="shared" si="9"/>
        <v>0</v>
      </c>
      <c r="AF30" s="25">
        <v>2.2000000000000002</v>
      </c>
      <c r="AG30" s="26">
        <v>0.69240000000000002</v>
      </c>
      <c r="AH30" s="27">
        <f>Trajectory!X44*(Parameters!$L$9+(Parameters!$M$9-Parameters!$L$9)*(2050-2025)/25)</f>
        <v>0.57974423696546751</v>
      </c>
      <c r="AI30" s="28">
        <f>Trajectory!Y44*(Parameters!$L$9+(Parameters!$M$9-Parameters!$L$9)*(2050-2025)/25)</f>
        <v>0</v>
      </c>
      <c r="AJ30" s="29">
        <f t="shared" si="10"/>
        <v>0.57974423696546751</v>
      </c>
      <c r="AK30" s="30">
        <f t="shared" si="11"/>
        <v>0</v>
      </c>
      <c r="AL30" s="25">
        <v>1.1000000000000001</v>
      </c>
      <c r="AM30" s="26">
        <v>1.2361</v>
      </c>
      <c r="AN30" s="27">
        <f>Trajectory!AB44*(Parameters!$L$10+(Parameters!$M$10-Parameters!$L$10)*(2050-2025)/25)</f>
        <v>0.27959958428563425</v>
      </c>
      <c r="AO30" s="28">
        <f>Trajectory!AC44*(Parameters!$L$10+(Parameters!$M$10-Parameters!$L$10)*(2050-2025)/25)</f>
        <v>0</v>
      </c>
      <c r="AP30" s="29">
        <f t="shared" si="12"/>
        <v>0.27959958428563425</v>
      </c>
      <c r="AQ30" s="30">
        <f t="shared" si="13"/>
        <v>0</v>
      </c>
      <c r="AR30" s="25">
        <v>0.7</v>
      </c>
      <c r="AS30" s="26">
        <v>0.78920000000000001</v>
      </c>
      <c r="AT30" s="27">
        <f>Trajectory!AF44*(Parameters!$L$11+(Parameters!$M$11-Parameters!$L$11)*(2050-2025)/25)</f>
        <v>0.54542726682461962</v>
      </c>
      <c r="AU30" s="28">
        <f>Trajectory!AG44*(Parameters!$L$11+(Parameters!$M$11-Parameters!$L$11)*(2050-2025)/25)</f>
        <v>2.2817730681516255</v>
      </c>
      <c r="AV30" s="29">
        <f t="shared" si="14"/>
        <v>2.2817730681516255</v>
      </c>
      <c r="AW30" s="30">
        <f t="shared" si="15"/>
        <v>0.54542726682461962</v>
      </c>
      <c r="AX30" s="25">
        <v>1.6</v>
      </c>
      <c r="AY30" s="26">
        <v>0.30530000000000002</v>
      </c>
      <c r="AZ30" s="27">
        <f>Trajectory!AJ44*(Parameters!$L$12+(Parameters!$M$12-Parameters!$L$12)*(2050-2025)/25)</f>
        <v>0.54858315471948349</v>
      </c>
      <c r="BA30" s="28">
        <f>Trajectory!AK44*(Parameters!$L$12+(Parameters!$M$12-Parameters!$L$12)*(2050-2025)/25)</f>
        <v>0</v>
      </c>
      <c r="BB30" s="29">
        <f t="shared" si="16"/>
        <v>0.54858315471948349</v>
      </c>
      <c r="BC30" s="30">
        <f t="shared" si="17"/>
        <v>0</v>
      </c>
      <c r="BD30" s="25">
        <v>0.7</v>
      </c>
      <c r="BE30" s="26">
        <v>4.7600000000000003E-2</v>
      </c>
      <c r="BF30" s="27">
        <f>Trajectory!AN44*(Parameters!$L$13+(Parameters!$M$13-Parameters!$L$13)*(2050-2025)/25)</f>
        <v>8.9750694537858236E-2</v>
      </c>
      <c r="BG30" s="28">
        <f>Trajectory!AO44*(Parameters!$L$13+(Parameters!$M$13-Parameters!$L$13)*(2050-2025)/25)</f>
        <v>9.2095000518801221E-2</v>
      </c>
      <c r="BH30" s="29">
        <f t="shared" si="18"/>
        <v>9.2095000518801221E-2</v>
      </c>
      <c r="BI30" s="30">
        <f t="shared" si="19"/>
        <v>8.9750694537858236E-2</v>
      </c>
      <c r="BJ30" s="25">
        <v>1</v>
      </c>
      <c r="BK30" s="26">
        <v>0.21149999999999999</v>
      </c>
      <c r="BL30" s="27">
        <f>Trajectory!AR44*(Parameters!$L$14+(Parameters!$M$14-Parameters!$L$14)*(2050-2025)/25)</f>
        <v>0.20364270558293357</v>
      </c>
      <c r="BM30" s="28">
        <f>Trajectory!AS44*(Parameters!$L$14+(Parameters!$M$14-Parameters!$L$14)*(2050-2025)/25)</f>
        <v>1.1268094181123929</v>
      </c>
      <c r="BN30" s="29">
        <f t="shared" si="20"/>
        <v>1.1268094181123929</v>
      </c>
      <c r="BO30" s="30">
        <f t="shared" si="21"/>
        <v>0.20364270558293357</v>
      </c>
      <c r="BP30" s="25">
        <v>0.6</v>
      </c>
      <c r="BQ30" s="26">
        <v>2.4299999999999999E-2</v>
      </c>
      <c r="BR30" s="27">
        <f>Trajectory!AV44*(Parameters!$L$15+(Parameters!$M$15-Parameters!$L$15)*(2050-2025)/25)</f>
        <v>0.12790032955084635</v>
      </c>
      <c r="BS30" s="28">
        <f>Trajectory!AW44*(Parameters!$L$15+(Parameters!$M$15-Parameters!$L$15)*(2050-2025)/25)</f>
        <v>0</v>
      </c>
      <c r="BT30" s="29">
        <f t="shared" si="22"/>
        <v>0.12790032955084635</v>
      </c>
      <c r="BU30" s="30">
        <f t="shared" si="23"/>
        <v>0</v>
      </c>
    </row>
  </sheetData>
  <mergeCells count="12">
    <mergeCell ref="B2:G2"/>
    <mergeCell ref="H2:M2"/>
    <mergeCell ref="N2:S2"/>
    <mergeCell ref="T2:Y2"/>
    <mergeCell ref="Z2:AE2"/>
    <mergeCell ref="BJ2:BO2"/>
    <mergeCell ref="BP2:BU2"/>
    <mergeCell ref="AF2:AK2"/>
    <mergeCell ref="AL2:AQ2"/>
    <mergeCell ref="AR2:AW2"/>
    <mergeCell ref="AX2:BC2"/>
    <mergeCell ref="BD2:B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AJ121"/>
  <sheetViews>
    <sheetView tabSelected="1" topLeftCell="A60" zoomScaleNormal="100" workbookViewId="0">
      <selection activeCell="D1" sqref="D1"/>
    </sheetView>
  </sheetViews>
  <sheetFormatPr defaultColWidth="8.5546875" defaultRowHeight="14.4" x14ac:dyDescent="0.3"/>
  <cols>
    <col min="1" max="1" width="7" customWidth="1"/>
    <col min="2" max="2" width="15.109375" bestFit="1" customWidth="1"/>
    <col min="3" max="3" width="48.77734375" bestFit="1" customWidth="1"/>
    <col min="4" max="4" width="9" customWidth="1"/>
    <col min="5" max="5" width="28" customWidth="1"/>
    <col min="6" max="6" width="6" customWidth="1"/>
    <col min="7" max="8" width="12" customWidth="1"/>
    <col min="9" max="36" width="7" customWidth="1"/>
  </cols>
  <sheetData>
    <row r="1" spans="1:36" ht="16.8" x14ac:dyDescent="0.3">
      <c r="A1" s="1" t="s">
        <v>117</v>
      </c>
    </row>
    <row r="3" spans="1:36" x14ac:dyDescent="0.3">
      <c r="A3" s="35" t="s">
        <v>118</v>
      </c>
      <c r="B3" s="35"/>
      <c r="C3" s="35"/>
      <c r="D3" s="35"/>
      <c r="E3" s="35"/>
      <c r="F3" s="35"/>
      <c r="G3" s="35"/>
      <c r="H3" s="35"/>
    </row>
    <row r="4" spans="1:36" x14ac:dyDescent="0.3">
      <c r="A4" s="24" t="s">
        <v>119</v>
      </c>
      <c r="B4" s="24" t="s">
        <v>52</v>
      </c>
      <c r="C4" s="24" t="s">
        <v>120</v>
      </c>
      <c r="D4" s="24" t="s">
        <v>121</v>
      </c>
      <c r="E4" s="24" t="s">
        <v>122</v>
      </c>
      <c r="F4" s="24" t="s">
        <v>123</v>
      </c>
      <c r="G4" s="24" t="s">
        <v>124</v>
      </c>
      <c r="H4" s="24" t="s">
        <v>125</v>
      </c>
      <c r="I4" s="24">
        <v>2023</v>
      </c>
      <c r="J4" s="24">
        <v>2024</v>
      </c>
      <c r="K4" s="24">
        <v>2025</v>
      </c>
      <c r="L4" s="24">
        <v>2026</v>
      </c>
      <c r="M4" s="24">
        <v>2027</v>
      </c>
      <c r="N4" s="24">
        <v>2028</v>
      </c>
      <c r="O4" s="24">
        <v>2029</v>
      </c>
      <c r="P4" s="24">
        <v>2030</v>
      </c>
      <c r="Q4" s="24">
        <v>2031</v>
      </c>
      <c r="R4" s="24">
        <v>2032</v>
      </c>
      <c r="S4" s="24">
        <v>2033</v>
      </c>
      <c r="T4" s="24">
        <v>2034</v>
      </c>
      <c r="U4" s="24">
        <v>2035</v>
      </c>
      <c r="V4" s="24">
        <v>2036</v>
      </c>
      <c r="W4" s="24">
        <v>2037</v>
      </c>
      <c r="X4" s="24">
        <v>2038</v>
      </c>
      <c r="Y4" s="24">
        <v>2039</v>
      </c>
      <c r="Z4" s="24">
        <v>2040</v>
      </c>
      <c r="AA4" s="24">
        <v>2041</v>
      </c>
      <c r="AB4" s="24">
        <v>2042</v>
      </c>
      <c r="AC4" s="24">
        <v>2043</v>
      </c>
      <c r="AD4" s="24">
        <v>2044</v>
      </c>
      <c r="AE4" s="24">
        <v>2045</v>
      </c>
      <c r="AF4" s="24">
        <v>2046</v>
      </c>
      <c r="AG4" s="24">
        <v>2047</v>
      </c>
      <c r="AH4" s="24">
        <v>2048</v>
      </c>
      <c r="AI4" s="24">
        <v>2049</v>
      </c>
      <c r="AJ4" s="24">
        <v>2050</v>
      </c>
    </row>
    <row r="5" spans="1:36" x14ac:dyDescent="0.3">
      <c r="A5" s="31">
        <v>8</v>
      </c>
      <c r="B5" s="31" t="s">
        <v>126</v>
      </c>
      <c r="C5" s="31" t="s">
        <v>127</v>
      </c>
      <c r="D5" s="31">
        <v>11</v>
      </c>
      <c r="E5" s="31" t="s">
        <v>128</v>
      </c>
      <c r="F5" s="31"/>
      <c r="G5" s="31" t="s">
        <v>129</v>
      </c>
      <c r="H5" s="31">
        <v>0</v>
      </c>
      <c r="I5" s="32">
        <f>Trajectory!D17</f>
        <v>3.3</v>
      </c>
      <c r="J5" s="32">
        <f>Trajectory!D18</f>
        <v>5.6000000000000014</v>
      </c>
      <c r="K5" s="32">
        <f>Trajectory!D19*(Parameters!$L$4+(Parameters!$M$4-Parameters!$L$4)*(2025-2025)/25)</f>
        <v>2.338578960888904</v>
      </c>
      <c r="L5" s="32">
        <f>Trajectory!D20*(Parameters!$L$4+(Parameters!$M$4-Parameters!$L$4)*(2026-2025)/25)</f>
        <v>2.6865505072468987</v>
      </c>
      <c r="M5" s="32">
        <f>Trajectory!D21*(Parameters!$L$4+(Parameters!$M$4-Parameters!$L$4)*(2027-2025)/25)</f>
        <v>3.0601295359633056</v>
      </c>
      <c r="N5" s="32">
        <f>Trajectory!D22*(Parameters!$L$4+(Parameters!$M$4-Parameters!$L$4)*(2028-2025)/25)</f>
        <v>3.4524069021430788</v>
      </c>
      <c r="O5" s="32">
        <f>Trajectory!D23*(Parameters!$L$4+(Parameters!$M$4-Parameters!$L$4)*(2029-2025)/25)</f>
        <v>3.8535566264023178</v>
      </c>
      <c r="P5" s="32">
        <f>Trajectory!D24*(Parameters!$L$4+(Parameters!$M$4-Parameters!$L$4)*(2030-2025)/25)</f>
        <v>4.2508663805276425</v>
      </c>
      <c r="Q5" s="32">
        <f>Trajectory!D25*(Parameters!$L$4+(Parameters!$M$4-Parameters!$L$4)*(2031-2025)/25)</f>
        <v>4.6291591162414205</v>
      </c>
      <c r="R5" s="32">
        <f>Trajectory!D26*(Parameters!$L$4+(Parameters!$M$4-Parameters!$L$4)*(2032-2025)/25)</f>
        <v>4.9716715625366135</v>
      </c>
      <c r="S5" s="32">
        <f>Trajectory!D27*(Parameters!$L$4+(Parameters!$M$4-Parameters!$L$4)*(2033-2025)/25)</f>
        <v>5.2613734491138135</v>
      </c>
      <c r="T5" s="32">
        <f>Trajectory!D28*(Parameters!$L$4+(Parameters!$M$4-Parameters!$L$4)*(2034-2025)/25)</f>
        <v>5.4826018103659404</v>
      </c>
      <c r="U5" s="32">
        <f>Trajectory!D29*(Parameters!$L$4+(Parameters!$M$4-Parameters!$L$4)*(2035-2025)/25)</f>
        <v>5.6227761748850797</v>
      </c>
      <c r="V5" s="32">
        <f>Trajectory!D30*(Parameters!$L$4+(Parameters!$M$4-Parameters!$L$4)*(2036-2025)/25)</f>
        <v>5.6738923219295083</v>
      </c>
      <c r="W5" s="32">
        <f>Trajectory!D31*(Parameters!$L$4+(Parameters!$M$4-Parameters!$L$4)*(2037-2025)/25)</f>
        <v>5.6334991078989374</v>
      </c>
      <c r="X5" s="32">
        <f>Trajectory!D32*(Parameters!$L$4+(Parameters!$M$4-Parameters!$L$4)*(2038-2025)/25)</f>
        <v>5.5049555532394425</v>
      </c>
      <c r="Y5" s="32">
        <f>Trajectory!D33*(Parameters!$L$4+(Parameters!$M$4-Parameters!$L$4)*(2039-2025)/25)</f>
        <v>5.2969211040109707</v>
      </c>
      <c r="Z5" s="32">
        <f>Trajectory!D34*(Parameters!$L$4+(Parameters!$M$4-Parameters!$L$4)*(2040-2025)/25)</f>
        <v>5.0222009279977478</v>
      </c>
      <c r="AA5" s="32">
        <f>Trajectory!D35*(Parameters!$L$4+(Parameters!$M$4-Parameters!$L$4)*(2041-2025)/25)</f>
        <v>4.6961952394400965</v>
      </c>
      <c r="AB5" s="32">
        <f>Trajectory!D36*(Parameters!$L$4+(Parameters!$M$4-Parameters!$L$4)*(2042-2025)/25)</f>
        <v>4.3352512047025824</v>
      </c>
      <c r="AC5" s="32">
        <f>Trajectory!D37*(Parameters!$L$4+(Parameters!$M$4-Parameters!$L$4)*(2043-2025)/25)</f>
        <v>3.9551846063386931</v>
      </c>
      <c r="AD5" s="32">
        <f>Trajectory!D38*(Parameters!$L$4+(Parameters!$M$4-Parameters!$L$4)*(2044-2025)/25)</f>
        <v>3.5701511252905229</v>
      </c>
      <c r="AE5" s="32">
        <f>Trajectory!D39*(Parameters!$L$4+(Parameters!$M$4-Parameters!$L$4)*(2045-2025)/25)</f>
        <v>3.1919411967289988</v>
      </c>
      <c r="AF5" s="32">
        <f>Trajectory!D40*(Parameters!$L$4+(Parameters!$M$4-Parameters!$L$4)*(2046-2025)/25)</f>
        <v>2.8296805426755429</v>
      </c>
      <c r="AG5" s="32">
        <f>Trajectory!D41*(Parameters!$L$4+(Parameters!$M$4-Parameters!$L$4)*(2047-2025)/25)</f>
        <v>2.4898587493921687</v>
      </c>
      <c r="AH5" s="32">
        <f>Trajectory!D42*(Parameters!$L$4+(Parameters!$M$4-Parameters!$L$4)*(2048-2025)/25)</f>
        <v>2.1765833649786748</v>
      </c>
      <c r="AI5" s="32">
        <f>Trajectory!D43*(Parameters!$L$4+(Parameters!$M$4-Parameters!$L$4)*(2049-2025)/25)</f>
        <v>1.8919594389024368</v>
      </c>
      <c r="AJ5" s="32">
        <f>Trajectory!D44*(Parameters!$L$4+(Parameters!$M$4-Parameters!$L$4)*(2050-2025)/25)</f>
        <v>1.6365129463907238</v>
      </c>
    </row>
    <row r="6" spans="1:36" x14ac:dyDescent="0.3">
      <c r="A6" s="31">
        <v>453</v>
      </c>
      <c r="B6" s="31" t="s">
        <v>130</v>
      </c>
      <c r="C6" s="31" t="s">
        <v>131</v>
      </c>
      <c r="D6" s="31">
        <v>11</v>
      </c>
      <c r="E6" s="31" t="s">
        <v>128</v>
      </c>
      <c r="F6" s="31"/>
      <c r="G6" s="31" t="s">
        <v>129</v>
      </c>
      <c r="H6" s="31">
        <v>0</v>
      </c>
      <c r="I6" s="32">
        <f>Trajectory!H17</f>
        <v>4</v>
      </c>
      <c r="J6" s="32">
        <f>Trajectory!H18</f>
        <v>3</v>
      </c>
      <c r="K6" s="32">
        <f>Trajectory!H19*(Parameters!$L$5+(Parameters!$M$5-Parameters!$L$5)*(2025-2025)/25)</f>
        <v>3.3967456266619536</v>
      </c>
      <c r="L6" s="32">
        <f>Trajectory!H20*(Parameters!$L$5+(Parameters!$M$5-Parameters!$L$5)*(2026-2025)/25)</f>
        <v>3.7547471675784805</v>
      </c>
      <c r="M6" s="32">
        <f>Trajectory!H21*(Parameters!$L$5+(Parameters!$M$5-Parameters!$L$5)*(2027-2025)/25)</f>
        <v>4.1124591795902443</v>
      </c>
      <c r="N6" s="32">
        <f>Trajectory!H22*(Parameters!$L$5+(Parameters!$M$5-Parameters!$L$5)*(2028-2025)/25)</f>
        <v>4.4595799282819781</v>
      </c>
      <c r="O6" s="32">
        <f>Trajectory!H23*(Parameters!$L$5+(Parameters!$M$5-Parameters!$L$5)*(2029-2025)/25)</f>
        <v>4.7845767859059709</v>
      </c>
      <c r="P6" s="32">
        <f>Trajectory!H24*(Parameters!$L$5+(Parameters!$M$5-Parameters!$L$5)*(2030-2025)/25)</f>
        <v>5.0753364462846671</v>
      </c>
      <c r="Q6" s="32">
        <f>Trajectory!H25*(Parameters!$L$5+(Parameters!$M$5-Parameters!$L$5)*(2031-2025)/25)</f>
        <v>5.3200097420371391</v>
      </c>
      <c r="R6" s="32">
        <f>Trajectory!H26*(Parameters!$L$5+(Parameters!$M$5-Parameters!$L$5)*(2032-2025)/25)</f>
        <v>5.5079691299513582</v>
      </c>
      <c r="S6" s="32">
        <f>Trajectory!H27*(Parameters!$L$5+(Parameters!$M$5-Parameters!$L$5)*(2033-2025)/25)</f>
        <v>5.6307583185935295</v>
      </c>
      <c r="T6" s="32">
        <f>Trajectory!H28*(Parameters!$L$5+(Parameters!$M$5-Parameters!$L$5)*(2034-2025)/25)</f>
        <v>5.6828949696916178</v>
      </c>
      <c r="U6" s="32">
        <f>Trajectory!H29*(Parameters!$L$5+(Parameters!$M$5-Parameters!$L$5)*(2035-2025)/25)</f>
        <v>5.6623981709780509</v>
      </c>
      <c r="V6" s="32">
        <f>Trajectory!H30*(Parameters!$L$5+(Parameters!$M$5-Parameters!$L$5)*(2036-2025)/25)</f>
        <v>5.5709535977935989</v>
      </c>
      <c r="W6" s="32">
        <f>Trajectory!H31*(Parameters!$L$5+(Parameters!$M$5-Parameters!$L$5)*(2037-2025)/25)</f>
        <v>5.4136922093703017</v>
      </c>
      <c r="X6" s="32">
        <f>Trajectory!H32*(Parameters!$L$5+(Parameters!$M$5-Parameters!$L$5)*(2038-2025)/25)</f>
        <v>5.1986267000709487</v>
      </c>
      <c r="Y6" s="32">
        <f>Trajectory!H33*(Parameters!$L$5+(Parameters!$M$5-Parameters!$L$5)*(2039-2025)/25)</f>
        <v>4.9358457458654508</v>
      </c>
      <c r="Z6" s="32">
        <f>Trajectory!H34*(Parameters!$L$5+(Parameters!$M$5-Parameters!$L$5)*(2040-2025)/25)</f>
        <v>4.6365961338517554</v>
      </c>
      <c r="AA6" s="32">
        <f>Trajectory!H35*(Parameters!$L$5+(Parameters!$M$5-Parameters!$L$5)*(2041-2025)/25)</f>
        <v>4.312382885535671</v>
      </c>
      <c r="AB6" s="32">
        <f>Trajectory!H36*(Parameters!$L$5+(Parameters!$M$5-Parameters!$L$5)*(2042-2025)/25)</f>
        <v>3.9741923831945054</v>
      </c>
      <c r="AC6" s="32">
        <f>Trajectory!H37*(Parameters!$L$5+(Parameters!$M$5-Parameters!$L$5)*(2043-2025)/25)</f>
        <v>3.6319040568209688</v>
      </c>
      <c r="AD6" s="32">
        <f>Trajectory!H38*(Parameters!$L$5+(Parameters!$M$5-Parameters!$L$5)*(2044-2025)/25)</f>
        <v>3.2939143648826859</v>
      </c>
      <c r="AE6" s="32">
        <f>Trajectory!H39*(Parameters!$L$5+(Parameters!$M$5-Parameters!$L$5)*(2045-2025)/25)</f>
        <v>2.966961933373907</v>
      </c>
      <c r="AF6" s="32">
        <f>Trajectory!H40*(Parameters!$L$5+(Parameters!$M$5-Parameters!$L$5)*(2046-2025)/25)</f>
        <v>2.6561196619367506</v>
      </c>
      <c r="AG6" s="32">
        <f>Trajectory!H41*(Parameters!$L$5+(Parameters!$M$5-Parameters!$L$5)*(2047-2025)/25)</f>
        <v>2.3649089411386188</v>
      </c>
      <c r="AH6" s="32">
        <f>Trajectory!H42*(Parameters!$L$5+(Parameters!$M$5-Parameters!$L$5)*(2048-2025)/25)</f>
        <v>2.09549054668862</v>
      </c>
      <c r="AI6" s="32">
        <f>Trajectory!H43*(Parameters!$L$5+(Parameters!$M$5-Parameters!$L$5)*(2049-2025)/25)</f>
        <v>1.8488927645549393</v>
      </c>
      <c r="AJ6" s="32">
        <f>Trajectory!H44*(Parameters!$L$5+(Parameters!$M$5-Parameters!$L$5)*(2050-2025)/25)</f>
        <v>1.6252464249955594</v>
      </c>
    </row>
    <row r="7" spans="1:36" x14ac:dyDescent="0.3">
      <c r="A7" s="31">
        <v>13</v>
      </c>
      <c r="B7" s="31" t="s">
        <v>132</v>
      </c>
      <c r="C7" s="31" t="s">
        <v>133</v>
      </c>
      <c r="D7" s="31">
        <v>11</v>
      </c>
      <c r="E7" s="31" t="s">
        <v>128</v>
      </c>
      <c r="F7" s="31"/>
      <c r="G7" s="31" t="s">
        <v>129</v>
      </c>
      <c r="H7" s="31">
        <v>0</v>
      </c>
      <c r="I7" s="32">
        <f>Trajectory!L17</f>
        <v>0.8199999999999994</v>
      </c>
      <c r="J7" s="32">
        <f>Trajectory!L18</f>
        <v>0</v>
      </c>
      <c r="K7" s="32">
        <f>Trajectory!L19*(Parameters!$L$6+(Parameters!$M$6-Parameters!$L$6)*(2025-2025)/25)</f>
        <v>0.76348153371238237</v>
      </c>
      <c r="L7" s="32">
        <f>Trajectory!L20*(Parameters!$L$6+(Parameters!$M$6-Parameters!$L$6)*(2026-2025)/25)</f>
        <v>0.90414116589936833</v>
      </c>
      <c r="M7" s="32">
        <f>Trajectory!L21*(Parameters!$L$6+(Parameters!$M$6-Parameters!$L$6)*(2027-2025)/25)</f>
        <v>1.0623046036132751</v>
      </c>
      <c r="N7" s="32">
        <f>Trajectory!L22*(Parameters!$L$6+(Parameters!$M$6-Parameters!$L$6)*(2028-2025)/25)</f>
        <v>1.2367544758697546</v>
      </c>
      <c r="O7" s="32">
        <f>Trajectory!L23*(Parameters!$L$6+(Parameters!$M$6-Parameters!$L$6)*(2029-2025)/25)</f>
        <v>1.4247448259261326</v>
      </c>
      <c r="P7" s="32">
        <f>Trajectory!L24*(Parameters!$L$6+(Parameters!$M$6-Parameters!$L$6)*(2030-2025)/25)</f>
        <v>1.62169790350845</v>
      </c>
      <c r="Q7" s="32">
        <f>Trajectory!L25*(Parameters!$L$6+(Parameters!$M$6-Parameters!$L$6)*(2031-2025)/25)</f>
        <v>1.821051790302197</v>
      </c>
      <c r="R7" s="32">
        <f>Trajectory!L26*(Parameters!$L$6+(Parameters!$M$6-Parameters!$L$6)*(2032-2025)/25)</f>
        <v>2.0143657270853756</v>
      </c>
      <c r="S7" s="32">
        <f>Trajectory!L27*(Parameters!$L$6+(Parameters!$M$6-Parameters!$L$6)*(2033-2025)/25)</f>
        <v>2.1917739842254358</v>
      </c>
      <c r="T7" s="32">
        <f>Trajectory!L28*(Parameters!$L$6+(Parameters!$M$6-Parameters!$L$6)*(2034-2025)/25)</f>
        <v>2.3428213807092506</v>
      </c>
      <c r="U7" s="32">
        <f>Trajectory!L29*(Parameters!$L$6+(Parameters!$M$6-Parameters!$L$6)*(2035-2025)/25)</f>
        <v>2.4576156115537771</v>
      </c>
      <c r="V7" s="32">
        <f>Trajectory!L30*(Parameters!$L$6+(Parameters!$M$6-Parameters!$L$6)*(2036-2025)/25)</f>
        <v>2.528117324141534</v>
      </c>
      <c r="W7" s="32">
        <f>Trajectory!L31*(Parameters!$L$6+(Parameters!$M$6-Parameters!$L$6)*(2037-2025)/25)</f>
        <v>2.5493026648466452</v>
      </c>
      <c r="X7" s="32">
        <f>Trajectory!L32*(Parameters!$L$6+(Parameters!$M$6-Parameters!$L$6)*(2038-2025)/25)</f>
        <v>2.5199213594523182</v>
      </c>
      <c r="Y7" s="32">
        <f>Trajectory!L33*(Parameters!$L$6+(Parameters!$M$6-Parameters!$L$6)*(2039-2025)/25)</f>
        <v>2.4426575190917412</v>
      </c>
      <c r="Z7" s="32">
        <f>Trajectory!L34*(Parameters!$L$6+(Parameters!$M$6-Parameters!$L$6)*(2040-2025)/25)</f>
        <v>2.3236572325599227</v>
      </c>
      <c r="AA7" s="32">
        <f>Trajectory!L35*(Parameters!$L$6+(Parameters!$M$6-Parameters!$L$6)*(2041-2025)/25)</f>
        <v>2.171556116193194</v>
      </c>
      <c r="AB7" s="32">
        <f>Trajectory!L36*(Parameters!$L$6+(Parameters!$M$6-Parameters!$L$6)*(2042-2025)/25)</f>
        <v>1.9962550237715044</v>
      </c>
      <c r="AC7" s="32">
        <f>Trajectory!L37*(Parameters!$L$6+(Parameters!$M$6-Parameters!$L$6)*(2043-2025)/25)</f>
        <v>1.8077161924402989</v>
      </c>
      <c r="AD7" s="32">
        <f>Trajectory!L38*(Parameters!$L$6+(Parameters!$M$6-Parameters!$L$6)*(2044-2025)/25)</f>
        <v>1.6149926513465334</v>
      </c>
      <c r="AE7" s="32">
        <f>Trajectory!L39*(Parameters!$L$6+(Parameters!$M$6-Parameters!$L$6)*(2045-2025)/25)</f>
        <v>1.4256002191912007</v>
      </c>
      <c r="AF7" s="32">
        <f>Trajectory!L40*(Parameters!$L$6+(Parameters!$M$6-Parameters!$L$6)*(2046-2025)/25)</f>
        <v>1.2452392332384969</v>
      </c>
      <c r="AG7" s="32">
        <f>Trajectory!L41*(Parameters!$L$6+(Parameters!$M$6-Parameters!$L$6)*(2047-2025)/25)</f>
        <v>1.0778024264227282</v>
      </c>
      <c r="AH7" s="32">
        <f>Trajectory!L42*(Parameters!$L$6+(Parameters!$M$6-Parameters!$L$6)*(2048-2025)/25)</f>
        <v>0.92557453625439867</v>
      </c>
      <c r="AI7" s="32">
        <f>Trajectory!L43*(Parameters!$L$6+(Parameters!$M$6-Parameters!$L$6)*(2049-2025)/25)</f>
        <v>0.78953065724865734</v>
      </c>
      <c r="AJ7" s="32">
        <f>Trajectory!L44*(Parameters!$L$6+(Parameters!$M$6-Parameters!$L$6)*(2050-2025)/25)</f>
        <v>0.66966009077473254</v>
      </c>
    </row>
    <row r="8" spans="1:36" x14ac:dyDescent="0.3">
      <c r="A8" s="31">
        <v>77</v>
      </c>
      <c r="B8" s="31" t="s">
        <v>134</v>
      </c>
      <c r="C8" s="31" t="s">
        <v>135</v>
      </c>
      <c r="D8" s="31">
        <v>11</v>
      </c>
      <c r="E8" s="31" t="s">
        <v>128</v>
      </c>
      <c r="F8" s="31"/>
      <c r="G8" s="31" t="s">
        <v>129</v>
      </c>
      <c r="H8" s="31">
        <v>0</v>
      </c>
      <c r="I8" s="32">
        <f>Trajectory!P17</f>
        <v>0</v>
      </c>
      <c r="J8" s="32">
        <f>Trajectory!P18</f>
        <v>0</v>
      </c>
      <c r="K8" s="32">
        <f>Trajectory!P19*(Parameters!$L$7+(Parameters!$M$7-Parameters!$L$7)*(2025-2025)/25)</f>
        <v>0.73855392370084061</v>
      </c>
      <c r="L8" s="32">
        <f>Trajectory!P20*(Parameters!$L$7+(Parameters!$M$7-Parameters!$L$7)*(2026-2025)/25)</f>
        <v>0.88045948692412646</v>
      </c>
      <c r="M8" s="32">
        <f>Trajectory!P21*(Parameters!$L$7+(Parameters!$M$7-Parameters!$L$7)*(2027-2025)/25)</f>
        <v>1.0425832676598061</v>
      </c>
      <c r="N8" s="32">
        <f>Trajectory!P22*(Parameters!$L$7+(Parameters!$M$7-Parameters!$L$7)*(2028-2025)/25)</f>
        <v>1.2248640661096601</v>
      </c>
      <c r="O8" s="32">
        <f>Trajectory!P23*(Parameters!$L$7+(Parameters!$M$7-Parameters!$L$7)*(2029-2025)/25)</f>
        <v>1.4258941333215147</v>
      </c>
      <c r="P8" s="32">
        <f>Trajectory!P24*(Parameters!$L$7+(Parameters!$M$7-Parameters!$L$7)*(2030-2025)/25)</f>
        <v>1.6425040987283586</v>
      </c>
      <c r="Q8" s="32">
        <f>Trajectory!P25*(Parameters!$L$7+(Parameters!$M$7-Parameters!$L$7)*(2031-2025)/25)</f>
        <v>1.8694141067957972</v>
      </c>
      <c r="R8" s="32">
        <f>Trajectory!P26*(Parameters!$L$7+(Parameters!$M$7-Parameters!$L$7)*(2032-2025)/25)</f>
        <v>2.0990589393908725</v>
      </c>
      <c r="S8" s="32">
        <f>Trajectory!P27*(Parameters!$L$7+(Parameters!$M$7-Parameters!$L$7)*(2033-2025)/25)</f>
        <v>2.3217101987043316</v>
      </c>
      <c r="T8" s="32">
        <f>Trajectory!P28*(Parameters!$L$7+(Parameters!$M$7-Parameters!$L$7)*(2034-2025)/25)</f>
        <v>2.5260000889830101</v>
      </c>
      <c r="U8" s="32">
        <f>Trajectory!P29*(Parameters!$L$7+(Parameters!$M$7-Parameters!$L$7)*(2035-2025)/25)</f>
        <v>2.6998847490988611</v>
      </c>
      <c r="V8" s="32">
        <f>Trajectory!P30*(Parameters!$L$7+(Parameters!$M$7-Parameters!$L$7)*(2036-2025)/25)</f>
        <v>2.831972214756723</v>
      </c>
      <c r="W8" s="32">
        <f>Trajectory!P31*(Parameters!$L$7+(Parameters!$M$7-Parameters!$L$7)*(2037-2025)/25)</f>
        <v>2.9130085362815668</v>
      </c>
      <c r="X8" s="32">
        <f>Trajectory!P32*(Parameters!$L$7+(Parameters!$M$7-Parameters!$L$7)*(2038-2025)/25)</f>
        <v>2.9372163634528921</v>
      </c>
      <c r="Y8" s="32">
        <f>Trajectory!P33*(Parameters!$L$7+(Parameters!$M$7-Parameters!$L$7)*(2039-2025)/25)</f>
        <v>2.9031670469712667</v>
      </c>
      <c r="Z8" s="32">
        <f>Trajectory!P34*(Parameters!$L$7+(Parameters!$M$7-Parameters!$L$7)*(2040-2025)/25)</f>
        <v>2.8139643863847179</v>
      </c>
      <c r="AA8" s="32">
        <f>Trajectory!P35*(Parameters!$L$7+(Parameters!$M$7-Parameters!$L$7)*(2041-2025)/25)</f>
        <v>2.67669895792804</v>
      </c>
      <c r="AB8" s="32">
        <f>Trajectory!P36*(Parameters!$L$7+(Parameters!$M$7-Parameters!$L$7)*(2042-2025)/25)</f>
        <v>2.5013267470281568</v>
      </c>
      <c r="AC8" s="32">
        <f>Trajectory!P37*(Parameters!$L$7+(Parameters!$M$7-Parameters!$L$7)*(2043-2025)/25)</f>
        <v>2.2992582023963686</v>
      </c>
      <c r="AD8" s="32">
        <f>Trajectory!P38*(Parameters!$L$7+(Parameters!$M$7-Parameters!$L$7)*(2044-2025)/25)</f>
        <v>2.0819713959066841</v>
      </c>
      <c r="AE8" s="32">
        <f>Trajectory!P39*(Parameters!$L$7+(Parameters!$M$7-Parameters!$L$7)*(2045-2025)/25)</f>
        <v>1.8598943470894567</v>
      </c>
      <c r="AF8" s="32">
        <f>Trajectory!P40*(Parameters!$L$7+(Parameters!$M$7-Parameters!$L$7)*(2046-2025)/25)</f>
        <v>1.6416822662574115</v>
      </c>
      <c r="AG8" s="32">
        <f>Trajectory!P41*(Parameters!$L$7+(Parameters!$M$7-Parameters!$L$7)*(2047-2025)/25)</f>
        <v>1.4338977540385431</v>
      </c>
      <c r="AH8" s="32">
        <f>Trajectory!P42*(Parameters!$L$7+(Parameters!$M$7-Parameters!$L$7)*(2048-2025)/25)</f>
        <v>1.2410205663382725</v>
      </c>
      <c r="AI8" s="32">
        <f>Trajectory!P43*(Parameters!$L$7+(Parameters!$M$7-Parameters!$L$7)*(2049-2025)/25)</f>
        <v>1.0656780985026788</v>
      </c>
      <c r="AJ8" s="32">
        <f>Trajectory!P44*(Parameters!$L$7+(Parameters!$M$7-Parameters!$L$7)*(2050-2025)/25)</f>
        <v>0.90898944455489072</v>
      </c>
    </row>
    <row r="9" spans="1:36" x14ac:dyDescent="0.3">
      <c r="A9" s="31">
        <v>295</v>
      </c>
      <c r="B9" s="31" t="s">
        <v>136</v>
      </c>
      <c r="C9" s="31" t="s">
        <v>137</v>
      </c>
      <c r="D9" s="31">
        <v>11</v>
      </c>
      <c r="E9" s="31" t="s">
        <v>128</v>
      </c>
      <c r="F9" s="31"/>
      <c r="G9" s="31" t="s">
        <v>129</v>
      </c>
      <c r="H9" s="31">
        <v>0</v>
      </c>
      <c r="I9" s="32">
        <f>Trajectory!T17</f>
        <v>1.5</v>
      </c>
      <c r="J9" s="32">
        <f>Trajectory!T18</f>
        <v>0.59999999999999964</v>
      </c>
      <c r="K9" s="32">
        <f>Trajectory!T19*(Parameters!$L$8+(Parameters!$M$8-Parameters!$L$8)*(2025-2025)/25)</f>
        <v>1.0487152654345926</v>
      </c>
      <c r="L9" s="32">
        <f>Trajectory!T20*(Parameters!$L$8+(Parameters!$M$8-Parameters!$L$8)*(2026-2025)/25)</f>
        <v>1.2047600596047248</v>
      </c>
      <c r="M9" s="32">
        <f>Trajectory!T21*(Parameters!$L$8+(Parameters!$M$8-Parameters!$L$8)*(2027-2025)/25)</f>
        <v>1.3722883050962527</v>
      </c>
      <c r="N9" s="32">
        <f>Trajectory!T22*(Parameters!$L$8+(Parameters!$M$8-Parameters!$L$8)*(2028-2025)/25)</f>
        <v>1.5482016563567305</v>
      </c>
      <c r="O9" s="32">
        <f>Trajectory!T23*(Parameters!$L$8+(Parameters!$M$8-Parameters!$L$8)*(2029-2025)/25)</f>
        <v>1.7280937389382092</v>
      </c>
      <c r="P9" s="32">
        <f>Trajectory!T24*(Parameters!$L$8+(Parameters!$M$8-Parameters!$L$8)*(2030-2025)/25)</f>
        <v>1.9062638205243876</v>
      </c>
      <c r="Q9" s="32">
        <f>Trajectory!T25*(Parameters!$L$8+(Parameters!$M$8-Parameters!$L$8)*(2031-2025)/25)</f>
        <v>2.0759058866598212</v>
      </c>
      <c r="R9" s="32">
        <f>Trajectory!T26*(Parameters!$L$8+(Parameters!$M$8-Parameters!$L$8)*(2032-2025)/25)</f>
        <v>2.2295025951902798</v>
      </c>
      <c r="S9" s="32">
        <f>Trajectory!T27*(Parameters!$L$8+(Parameters!$M$8-Parameters!$L$8)*(2033-2025)/25)</f>
        <v>2.3594168704659015</v>
      </c>
      <c r="T9" s="32">
        <f>Trajectory!T28*(Parameters!$L$8+(Parameters!$M$8-Parameters!$L$8)*(2034-2025)/25)</f>
        <v>2.4586247926581084</v>
      </c>
      <c r="U9" s="32">
        <f>Trajectory!T29*(Parameters!$L$8+(Parameters!$M$8-Parameters!$L$8)*(2035-2025)/25)</f>
        <v>2.5214847594808458</v>
      </c>
      <c r="V9" s="32">
        <f>Trajectory!T30*(Parameters!$L$8+(Parameters!$M$8-Parameters!$L$8)*(2036-2025)/25)</f>
        <v>2.5444073482033991</v>
      </c>
      <c r="W9" s="32">
        <f>Trajectory!T31*(Parameters!$L$8+(Parameters!$M$8-Parameters!$L$8)*(2037-2025)/25)</f>
        <v>2.5262933649330921</v>
      </c>
      <c r="X9" s="32">
        <f>Trajectory!T32*(Parameters!$L$8+(Parameters!$M$8-Parameters!$L$8)*(2038-2025)/25)</f>
        <v>2.4686491329874709</v>
      </c>
      <c r="Y9" s="32">
        <f>Trajectory!T33*(Parameters!$L$8+(Parameters!$M$8-Parameters!$L$8)*(2039-2025)/25)</f>
        <v>2.3753579051559988</v>
      </c>
      <c r="Z9" s="32">
        <f>Trajectory!T34*(Parameters!$L$8+(Parameters!$M$8-Parameters!$L$8)*(2040-2025)/25)</f>
        <v>2.2521620468479067</v>
      </c>
      <c r="AA9" s="32">
        <f>Trajectory!T35*(Parameters!$L$8+(Parameters!$M$8-Parameters!$L$8)*(2041-2025)/25)</f>
        <v>2.1059676493412405</v>
      </c>
      <c r="AB9" s="32">
        <f>Trajectory!T36*(Parameters!$L$8+(Parameters!$M$8-Parameters!$L$8)*(2042-2025)/25)</f>
        <v>1.9441054563054851</v>
      </c>
      <c r="AC9" s="32">
        <f>Trajectory!T37*(Parameters!$L$8+(Parameters!$M$8-Parameters!$L$8)*(2043-2025)/25)</f>
        <v>1.7736679169912182</v>
      </c>
      <c r="AD9" s="32">
        <f>Trajectory!T38*(Parameters!$L$8+(Parameters!$M$8-Parameters!$L$8)*(2044-2025)/25)</f>
        <v>1.6010030226122844</v>
      </c>
      <c r="AE9" s="32">
        <f>Trajectory!T39*(Parameters!$L$8+(Parameters!$M$8-Parameters!$L$8)*(2045-2025)/25)</f>
        <v>1.4313980906194774</v>
      </c>
      <c r="AF9" s="32">
        <f>Trajectory!T40*(Parameters!$L$8+(Parameters!$M$8-Parameters!$L$8)*(2046-2025)/25)</f>
        <v>1.2689454711758494</v>
      </c>
      <c r="AG9" s="32">
        <f>Trajectory!T41*(Parameters!$L$8+(Parameters!$M$8-Parameters!$L$8)*(2047-2025)/25)</f>
        <v>1.1165553624372708</v>
      </c>
      <c r="AH9" s="32">
        <f>Trajectory!T42*(Parameters!$L$8+(Parameters!$M$8-Parameters!$L$8)*(2048-2025)/25)</f>
        <v>0.97606975839568366</v>
      </c>
      <c r="AI9" s="32">
        <f>Trajectory!T43*(Parameters!$L$8+(Parameters!$M$8-Parameters!$L$8)*(2049-2025)/25)</f>
        <v>0.84843265005937418</v>
      </c>
      <c r="AJ9" s="32">
        <f>Trajectory!T44*(Parameters!$L$8+(Parameters!$M$8-Parameters!$L$8)*(2050-2025)/25)</f>
        <v>0.73387990641502654</v>
      </c>
    </row>
    <row r="10" spans="1:36" x14ac:dyDescent="0.3">
      <c r="A10" s="31">
        <v>327</v>
      </c>
      <c r="B10" s="31" t="s">
        <v>138</v>
      </c>
      <c r="C10" s="31" t="s">
        <v>139</v>
      </c>
      <c r="D10" s="31">
        <v>11</v>
      </c>
      <c r="E10" s="31" t="s">
        <v>128</v>
      </c>
      <c r="F10" s="31"/>
      <c r="G10" s="31" t="s">
        <v>129</v>
      </c>
      <c r="H10" s="31">
        <v>0</v>
      </c>
      <c r="I10" s="32">
        <f>Trajectory!X17</f>
        <v>0.70900000000000052</v>
      </c>
      <c r="J10" s="32">
        <f>Trajectory!X18</f>
        <v>0.18399999999999928</v>
      </c>
      <c r="K10" s="32">
        <f>Trajectory!X19*(Parameters!$L$9+(Parameters!$M$9-Parameters!$L$9)*(2025-2025)/25)</f>
        <v>0.75354844060614179</v>
      </c>
      <c r="L10" s="32">
        <f>Trajectory!X20*(Parameters!$L$9+(Parameters!$M$9-Parameters!$L$9)*(2026-2025)/25)</f>
        <v>0.84629069624560216</v>
      </c>
      <c r="M10" s="32">
        <f>Trajectory!X21*(Parameters!$L$9+(Parameters!$M$9-Parameters!$L$9)*(2027-2025)/25)</f>
        <v>0.94321137427212787</v>
      </c>
      <c r="N10" s="32">
        <f>Trajectory!X22*(Parameters!$L$9+(Parameters!$M$9-Parameters!$L$9)*(2028-2025)/25)</f>
        <v>1.042419151982972</v>
      </c>
      <c r="O10" s="32">
        <f>Trajectory!X23*(Parameters!$L$9+(Parameters!$M$9-Parameters!$L$9)*(2029-2025)/25)</f>
        <v>1.141512312822087</v>
      </c>
      <c r="P10" s="32">
        <f>Trajectory!X24*(Parameters!$L$9+(Parameters!$M$9-Parameters!$L$9)*(2030-2025)/25)</f>
        <v>1.2376329382433895</v>
      </c>
      <c r="Q10" s="32">
        <f>Trajectory!X25*(Parameters!$L$9+(Parameters!$M$9-Parameters!$L$9)*(2031-2025)/25)</f>
        <v>1.32758362627612</v>
      </c>
      <c r="R10" s="32">
        <f>Trajectory!X26*(Parameters!$L$9+(Parameters!$M$9-Parameters!$L$9)*(2032-2025)/25)</f>
        <v>1.4080080842346396</v>
      </c>
      <c r="S10" s="32">
        <f>Trajectory!X27*(Parameters!$L$9+(Parameters!$M$9-Parameters!$L$9)*(2033-2025)/25)</f>
        <v>1.4756254961205835</v>
      </c>
      <c r="T10" s="32">
        <f>Trajectory!X28*(Parameters!$L$9+(Parameters!$M$9-Parameters!$L$9)*(2034-2025)/25)</f>
        <v>1.5274958902123561</v>
      </c>
      <c r="U10" s="32">
        <f>Trajectory!X29*(Parameters!$L$9+(Parameters!$M$9-Parameters!$L$9)*(2035-2025)/25)</f>
        <v>1.561283066460065</v>
      </c>
      <c r="V10" s="32">
        <f>Trajectory!X30*(Parameters!$L$9+(Parameters!$M$9-Parameters!$L$9)*(2036-2025)/25)</f>
        <v>1.5754765488824245</v>
      </c>
      <c r="W10" s="32">
        <f>Trajectory!X31*(Parameters!$L$9+(Parameters!$M$9-Parameters!$L$9)*(2037-2025)/25)</f>
        <v>1.5695370615026136</v>
      </c>
      <c r="X10" s="32">
        <f>Trajectory!X32*(Parameters!$L$9+(Parameters!$M$9-Parameters!$L$9)*(2038-2025)/25)</f>
        <v>1.5439414913113463</v>
      </c>
      <c r="Y10" s="32">
        <f>Trajectory!X33*(Parameters!$L$9+(Parameters!$M$9-Parameters!$L$9)*(2039-2025)/25)</f>
        <v>1.5001207626425157</v>
      </c>
      <c r="Z10" s="32">
        <f>Trajectory!X34*(Parameters!$L$9+(Parameters!$M$9-Parameters!$L$9)*(2040-2025)/25)</f>
        <v>1.4403029907712623</v>
      </c>
      <c r="AA10" s="32">
        <f>Trajectory!X35*(Parameters!$L$9+(Parameters!$M$9-Parameters!$L$9)*(2041-2025)/25)</f>
        <v>1.3672897222498397</v>
      </c>
      <c r="AB10" s="32">
        <f>Trajectory!X36*(Parameters!$L$9+(Parameters!$M$9-Parameters!$L$9)*(2042-2025)/25)</f>
        <v>1.2842013519248452</v>
      </c>
      <c r="AC10" s="32">
        <f>Trajectory!X37*(Parameters!$L$9+(Parameters!$M$9-Parameters!$L$9)*(2043-2025)/25)</f>
        <v>1.1942277663494241</v>
      </c>
      <c r="AD10" s="32">
        <f>Trajectory!X38*(Parameters!$L$9+(Parameters!$M$9-Parameters!$L$9)*(2044-2025)/25)</f>
        <v>1.1004132699841569</v>
      </c>
      <c r="AE10" s="32">
        <f>Trajectory!X39*(Parameters!$L$9+(Parameters!$M$9-Parameters!$L$9)*(2045-2025)/25)</f>
        <v>1.0054938965294207</v>
      </c>
      <c r="AF10" s="32">
        <f>Trajectory!X40*(Parameters!$L$9+(Parameters!$M$9-Parameters!$L$9)*(2046-2025)/25)</f>
        <v>0.91179361313343277</v>
      </c>
      <c r="AG10" s="32">
        <f>Trajectory!X41*(Parameters!$L$9+(Parameters!$M$9-Parameters!$L$9)*(2047-2025)/25)</f>
        <v>0.82117627136115046</v>
      </c>
      <c r="AH10" s="32">
        <f>Trajectory!X42*(Parameters!$L$9+(Parameters!$M$9-Parameters!$L$9)*(2048-2025)/25)</f>
        <v>0.73504378604678444</v>
      </c>
      <c r="AI10" s="32">
        <f>Trajectory!X43*(Parameters!$L$9+(Parameters!$M$9-Parameters!$L$9)*(2049-2025)/25)</f>
        <v>0.65436808606471131</v>
      </c>
      <c r="AJ10" s="32">
        <f>Trajectory!X44*(Parameters!$L$9+(Parameters!$M$9-Parameters!$L$9)*(2050-2025)/25)</f>
        <v>0.57974423696546751</v>
      </c>
    </row>
    <row r="11" spans="1:36" x14ac:dyDescent="0.3">
      <c r="A11" s="31">
        <v>414</v>
      </c>
      <c r="B11" s="31" t="s">
        <v>140</v>
      </c>
      <c r="C11" s="31" t="s">
        <v>141</v>
      </c>
      <c r="D11" s="31">
        <v>11</v>
      </c>
      <c r="E11" s="31" t="s">
        <v>128</v>
      </c>
      <c r="F11" s="31"/>
      <c r="G11" s="31" t="s">
        <v>129</v>
      </c>
      <c r="H11" s="31">
        <v>0</v>
      </c>
      <c r="I11" s="32">
        <f>Trajectory!AB17</f>
        <v>0.29259999999999997</v>
      </c>
      <c r="J11" s="32">
        <f>Trajectory!AB18</f>
        <v>0.33529999999999993</v>
      </c>
      <c r="K11" s="32">
        <f>Trajectory!AB19*(Parameters!$L$10+(Parameters!$M$10-Parameters!$L$10)*(2025-2025)/25)</f>
        <v>0.22717466223207639</v>
      </c>
      <c r="L11" s="32">
        <f>Trajectory!AB20*(Parameters!$L$10+(Parameters!$M$10-Parameters!$L$10)*(2026-2025)/25)</f>
        <v>0.26442046154616039</v>
      </c>
      <c r="M11" s="32">
        <f>Trajectory!AB21*(Parameters!$L$10+(Parameters!$M$10-Parameters!$L$10)*(2027-2025)/25)</f>
        <v>0.30576401170229517</v>
      </c>
      <c r="N11" s="32">
        <f>Trajectory!AB22*(Parameters!$L$10+(Parameters!$M$10-Parameters!$L$10)*(2028-2025)/25)</f>
        <v>0.35093480158878704</v>
      </c>
      <c r="O11" s="32">
        <f>Trajectory!AB23*(Parameters!$L$10+(Parameters!$M$10-Parameters!$L$10)*(2029-2025)/25)</f>
        <v>0.39937040211651631</v>
      </c>
      <c r="P11" s="32">
        <f>Trajectory!AB24*(Parameters!$L$10+(Parameters!$M$10-Parameters!$L$10)*(2030-2025)/25)</f>
        <v>0.45016321553362509</v>
      </c>
      <c r="Q11" s="32">
        <f>Trajectory!AB25*(Parameters!$L$10+(Parameters!$M$10-Parameters!$L$10)*(2031-2025)/25)</f>
        <v>0.50202906537434544</v>
      </c>
      <c r="R11" s="32">
        <f>Trajectory!AB26*(Parameters!$L$10+(Parameters!$M$10-Parameters!$L$10)*(2032-2025)/25)</f>
        <v>0.5533126373041144</v>
      </c>
      <c r="S11" s="32">
        <f>Trajectory!AB27*(Parameters!$L$10+(Parameters!$M$10-Parameters!$L$10)*(2033-2025)/25)</f>
        <v>0.60204368646187945</v>
      </c>
      <c r="T11" s="32">
        <f>Trajectory!AB28*(Parameters!$L$10+(Parameters!$M$10-Parameters!$L$10)*(2034-2025)/25)</f>
        <v>0.64605226327088283</v>
      </c>
      <c r="U11" s="32">
        <f>Trajectory!AB29*(Parameters!$L$10+(Parameters!$M$10-Parameters!$L$10)*(2035-2025)/25)</f>
        <v>0.68314054557616299</v>
      </c>
      <c r="V11" s="32">
        <f>Trajectory!AB30*(Parameters!$L$10+(Parameters!$M$10-Parameters!$L$10)*(2036-2025)/25)</f>
        <v>0.71129469503728093</v>
      </c>
      <c r="W11" s="32">
        <f>Trajectory!AB31*(Parameters!$L$10+(Parameters!$M$10-Parameters!$L$10)*(2037-2025)/25)</f>
        <v>0.72890620704964015</v>
      </c>
      <c r="X11" s="32">
        <f>Trajectory!AB32*(Parameters!$L$10+(Parameters!$M$10-Parameters!$L$10)*(2038-2025)/25)</f>
        <v>0.73496359935199174</v>
      </c>
      <c r="Y11" s="32">
        <f>Trajectory!AB33*(Parameters!$L$10+(Parameters!$M$10-Parameters!$L$10)*(2039-2025)/25)</f>
        <v>0.72917640524771654</v>
      </c>
      <c r="Z11" s="32">
        <f>Trajectory!AB34*(Parameters!$L$10+(Parameters!$M$10-Parameters!$L$10)*(2040-2025)/25)</f>
        <v>0.7120056390512095</v>
      </c>
      <c r="AA11" s="32">
        <f>Trajectory!AB35*(Parameters!$L$10+(Parameters!$M$10-Parameters!$L$10)*(2041-2025)/25)</f>
        <v>0.68459515397738568</v>
      </c>
      <c r="AB11" s="32">
        <f>Trajectory!AB36*(Parameters!$L$10+(Parameters!$M$10-Parameters!$L$10)*(2042-2025)/25)</f>
        <v>0.64862013211938729</v>
      </c>
      <c r="AC11" s="32">
        <f>Trajectory!AB37*(Parameters!$L$10+(Parameters!$M$10-Parameters!$L$10)*(2043-2025)/25)</f>
        <v>0.60608522987936364</v>
      </c>
      <c r="AD11" s="32">
        <f>Trajectory!AB38*(Parameters!$L$10+(Parameters!$M$10-Parameters!$L$10)*(2044-2025)/25)</f>
        <v>0.55911108738484017</v>
      </c>
      <c r="AE11" s="32">
        <f>Trajectory!AB39*(Parameters!$L$10+(Parameters!$M$10-Parameters!$L$10)*(2045-2025)/25)</f>
        <v>0.50974364111895987</v>
      </c>
      <c r="AF11" s="32">
        <f>Trajectory!AB40*(Parameters!$L$10+(Parameters!$M$10-Parameters!$L$10)*(2046-2025)/25)</f>
        <v>0.45980924635373249</v>
      </c>
      <c r="AG11" s="32">
        <f>Trajectory!AB41*(Parameters!$L$10+(Parameters!$M$10-Parameters!$L$10)*(2047-2025)/25)</f>
        <v>0.41082487251861138</v>
      </c>
      <c r="AH11" s="32">
        <f>Trajectory!AB42*(Parameters!$L$10+(Parameters!$M$10-Parameters!$L$10)*(2048-2025)/25)</f>
        <v>0.36396078734351472</v>
      </c>
      <c r="AI11" s="32">
        <f>Trajectory!AB43*(Parameters!$L$10+(Parameters!$M$10-Parameters!$L$10)*(2049-2025)/25)</f>
        <v>0.32004549766410267</v>
      </c>
      <c r="AJ11" s="32">
        <f>Trajectory!AB44*(Parameters!$L$10+(Parameters!$M$10-Parameters!$L$10)*(2050-2025)/25)</f>
        <v>0.27959958428563425</v>
      </c>
    </row>
    <row r="12" spans="1:36" x14ac:dyDescent="0.3">
      <c r="A12" s="31">
        <v>275</v>
      </c>
      <c r="B12" s="31" t="s">
        <v>142</v>
      </c>
      <c r="C12" s="31" t="s">
        <v>143</v>
      </c>
      <c r="D12" s="31">
        <v>11</v>
      </c>
      <c r="E12" s="31" t="s">
        <v>128</v>
      </c>
      <c r="F12" s="31"/>
      <c r="G12" s="31" t="s">
        <v>129</v>
      </c>
      <c r="H12" s="31">
        <v>0</v>
      </c>
      <c r="I12" s="32">
        <f>Trajectory!AF17</f>
        <v>0.39610000000000012</v>
      </c>
      <c r="J12" s="32">
        <f>Trajectory!AF18</f>
        <v>0.61399999999999944</v>
      </c>
      <c r="K12" s="32">
        <f>Trajectory!AF19*(Parameters!$L$11+(Parameters!$M$11-Parameters!$L$11)*(2025-2025)/25)</f>
        <v>0.56103673147655631</v>
      </c>
      <c r="L12" s="32">
        <f>Trajectory!AF20*(Parameters!$L$11+(Parameters!$M$11-Parameters!$L$11)*(2026-2025)/25)</f>
        <v>0.63412555033432916</v>
      </c>
      <c r="M12" s="32">
        <f>Trajectory!AF21*(Parameters!$L$11+(Parameters!$M$11-Parameters!$L$11)*(2027-2025)/25)</f>
        <v>0.71182353431484224</v>
      </c>
      <c r="N12" s="32">
        <f>Trajectory!AF22*(Parameters!$L$11+(Parameters!$M$11-Parameters!$L$11)*(2028-2025)/25)</f>
        <v>0.79296596630934135</v>
      </c>
      <c r="O12" s="32">
        <f>Trajectory!AF23*(Parameters!$L$11+(Parameters!$M$11-Parameters!$L$11)*(2029-2025)/25)</f>
        <v>0.87596059830067374</v>
      </c>
      <c r="P12" s="32">
        <f>Trajectory!AF24*(Parameters!$L$11+(Parameters!$M$11-Parameters!$L$11)*(2030-2025)/25)</f>
        <v>0.95878952047321975</v>
      </c>
      <c r="Q12" s="32">
        <f>Trajectory!AF25*(Parameters!$L$11+(Parameters!$M$11-Parameters!$L$11)*(2031-2025)/25)</f>
        <v>1.0390554797608929</v>
      </c>
      <c r="R12" s="32">
        <f>Trajectory!AF26*(Parameters!$L$11+(Parameters!$M$11-Parameters!$L$11)*(2032-2025)/25)</f>
        <v>1.1140805022089519</v>
      </c>
      <c r="S12" s="32">
        <f>Trajectory!AF27*(Parameters!$L$11+(Parameters!$M$11-Parameters!$L$11)*(2033-2025)/25)</f>
        <v>1.1810578008080046</v>
      </c>
      <c r="T12" s="32">
        <f>Trajectory!AF28*(Parameters!$L$11+(Parameters!$M$11-Parameters!$L$11)*(2034-2025)/25)</f>
        <v>1.2372483598817845</v>
      </c>
      <c r="U12" s="32">
        <f>Trajectory!AF29*(Parameters!$L$11+(Parameters!$M$11-Parameters!$L$11)*(2035-2025)/25)</f>
        <v>1.2802030027969737</v>
      </c>
      <c r="V12" s="32">
        <f>Trajectory!AF30*(Parameters!$L$11+(Parameters!$M$11-Parameters!$L$11)*(2036-2025)/25)</f>
        <v>1.3079818848254012</v>
      </c>
      <c r="W12" s="32">
        <f>Trajectory!AF31*(Parameters!$L$11+(Parameters!$M$11-Parameters!$L$11)*(2037-2025)/25)</f>
        <v>1.319339180496818</v>
      </c>
      <c r="X12" s="32">
        <f>Trajectory!AF32*(Parameters!$L$11+(Parameters!$M$11-Parameters!$L$11)*(2038-2025)/25)</f>
        <v>1.3138433736733954</v>
      </c>
      <c r="Y12" s="32">
        <f>Trajectory!AF33*(Parameters!$L$11+(Parameters!$M$11-Parameters!$L$11)*(2039-2025)/25)</f>
        <v>1.2919132358706704</v>
      </c>
      <c r="Z12" s="32">
        <f>Trajectory!AF34*(Parameters!$L$11+(Parameters!$M$11-Parameters!$L$11)*(2040-2025)/25)</f>
        <v>1.2547642311704656</v>
      </c>
      <c r="AA12" s="32">
        <f>Trajectory!AF35*(Parameters!$L$11+(Parameters!$M$11-Parameters!$L$11)*(2041-2025)/25)</f>
        <v>1.204275925176393</v>
      </c>
      <c r="AB12" s="32">
        <f>Trajectory!AF36*(Parameters!$L$11+(Parameters!$M$11-Parameters!$L$11)*(2042-2025)/25)</f>
        <v>1.1428038332619843</v>
      </c>
      <c r="AC12" s="32">
        <f>Trajectory!AF37*(Parameters!$L$11+(Parameters!$M$11-Parameters!$L$11)*(2043-2025)/25)</f>
        <v>1.0729659824532303</v>
      </c>
      <c r="AD12" s="32">
        <f>Trajectory!AF38*(Parameters!$L$11+(Parameters!$M$11-Parameters!$L$11)*(2044-2025)/25)</f>
        <v>0.9974343330419061</v>
      </c>
      <c r="AE12" s="32">
        <f>Trajectory!AF39*(Parameters!$L$11+(Parameters!$M$11-Parameters!$L$11)*(2045-2025)/25)</f>
        <v>0.91875527978299021</v>
      </c>
      <c r="AF12" s="32">
        <f>Trajectory!AF40*(Parameters!$L$11+(Parameters!$M$11-Parameters!$L$11)*(2046-2025)/25)</f>
        <v>0.83921424532251931</v>
      </c>
      <c r="AG12" s="32">
        <f>Trajectory!AF41*(Parameters!$L$11+(Parameters!$M$11-Parameters!$L$11)*(2047-2025)/25)</f>
        <v>0.76074966973548031</v>
      </c>
      <c r="AH12" s="32">
        <f>Trajectory!AF42*(Parameters!$L$11+(Parameters!$M$11-Parameters!$L$11)*(2048-2025)/25)</f>
        <v>0.68491364178657999</v>
      </c>
      <c r="AI12" s="32">
        <f>Trajectory!AF43*(Parameters!$L$11+(Parameters!$M$11-Parameters!$L$11)*(2049-2025)/25)</f>
        <v>0.61287111940032823</v>
      </c>
      <c r="AJ12" s="32">
        <f>Trajectory!AF44*(Parameters!$L$11+(Parameters!$M$11-Parameters!$L$11)*(2050-2025)/25)</f>
        <v>0.54542726682461962</v>
      </c>
    </row>
    <row r="13" spans="1:36" x14ac:dyDescent="0.3">
      <c r="A13" s="31">
        <v>500</v>
      </c>
      <c r="B13" s="31" t="s">
        <v>144</v>
      </c>
      <c r="C13" s="31" t="s">
        <v>145</v>
      </c>
      <c r="D13" s="31">
        <v>11</v>
      </c>
      <c r="E13" s="31" t="s">
        <v>128</v>
      </c>
      <c r="F13" s="31"/>
      <c r="G13" s="31" t="s">
        <v>129</v>
      </c>
      <c r="H13" s="31">
        <v>0</v>
      </c>
      <c r="I13" s="32">
        <f>Trajectory!AJ17</f>
        <v>0.23599999999999999</v>
      </c>
      <c r="J13" s="32">
        <f>Trajectory!AJ18</f>
        <v>0.6765000000000001</v>
      </c>
      <c r="K13" s="32">
        <f>Trajectory!AJ19*(Parameters!$L$12+(Parameters!$M$12-Parameters!$L$12)*(2025-2025)/25)</f>
        <v>0.62544134569741994</v>
      </c>
      <c r="L13" s="32">
        <f>Trajectory!AJ20*(Parameters!$L$12+(Parameters!$M$12-Parameters!$L$12)*(2026-2025)/25)</f>
        <v>0.74066921402916963</v>
      </c>
      <c r="M13" s="32">
        <f>Trajectory!AJ21*(Parameters!$L$12+(Parameters!$M$12-Parameters!$L$12)*(2027-2025)/25)</f>
        <v>0.87023613733498184</v>
      </c>
      <c r="N13" s="32">
        <f>Trajectory!AJ22*(Parameters!$L$12+(Parameters!$M$12-Parameters!$L$12)*(2028-2025)/25)</f>
        <v>1.0131448496522315</v>
      </c>
      <c r="O13" s="32">
        <f>Trajectory!AJ23*(Parameters!$L$12+(Parameters!$M$12-Parameters!$L$12)*(2029-2025)/25)</f>
        <v>1.1671458730243105</v>
      </c>
      <c r="P13" s="32">
        <f>Trajectory!AJ24*(Parameters!$L$12+(Parameters!$M$12-Parameters!$L$12)*(2030-2025)/25)</f>
        <v>1.3284891307758968</v>
      </c>
      <c r="Q13" s="32">
        <f>Trajectory!AJ25*(Parameters!$L$12+(Parameters!$M$12-Parameters!$L$12)*(2031-2025)/25)</f>
        <v>1.4917991228591632</v>
      </c>
      <c r="R13" s="32">
        <f>Trajectory!AJ26*(Parameters!$L$12+(Parameters!$M$12-Parameters!$L$12)*(2032-2025)/25)</f>
        <v>1.6501612094650311</v>
      </c>
      <c r="S13" s="32">
        <f>Trajectory!AJ27*(Parameters!$L$12+(Parameters!$M$12-Parameters!$L$12)*(2033-2025)/25)</f>
        <v>1.795493420113248</v>
      </c>
      <c r="T13" s="32">
        <f>Trajectory!AJ28*(Parameters!$L$12+(Parameters!$M$12-Parameters!$L$12)*(2034-2025)/25)</f>
        <v>1.9192309078577963</v>
      </c>
      <c r="U13" s="32">
        <f>Trajectory!AJ29*(Parameters!$L$12+(Parameters!$M$12-Parameters!$L$12)*(2035-2025)/25)</f>
        <v>2.0132699317862413</v>
      </c>
      <c r="V13" s="32">
        <f>Trajectory!AJ30*(Parameters!$L$12+(Parameters!$M$12-Parameters!$L$12)*(2036-2025)/25)</f>
        <v>2.0710246829463084</v>
      </c>
      <c r="W13" s="32">
        <f>Trajectory!AJ31*(Parameters!$L$12+(Parameters!$M$12-Parameters!$L$12)*(2037-2025)/25)</f>
        <v>2.0883796383899949</v>
      </c>
      <c r="X13" s="32">
        <f>Trajectory!AJ32*(Parameters!$L$12+(Parameters!$M$12-Parameters!$L$12)*(2038-2025)/25)</f>
        <v>2.0643105779441968</v>
      </c>
      <c r="Y13" s="32">
        <f>Trajectory!AJ33*(Parameters!$L$12+(Parameters!$M$12-Parameters!$L$12)*(2039-2025)/25)</f>
        <v>2.0010163158631027</v>
      </c>
      <c r="Z13" s="32">
        <f>Trajectory!AJ34*(Parameters!$L$12+(Parameters!$M$12-Parameters!$L$12)*(2040-2025)/25)</f>
        <v>1.9035317061372514</v>
      </c>
      <c r="AA13" s="32">
        <f>Trajectory!AJ35*(Parameters!$L$12+(Parameters!$M$12-Parameters!$L$12)*(2041-2025)/25)</f>
        <v>1.7789310148279132</v>
      </c>
      <c r="AB13" s="32">
        <f>Trajectory!AJ36*(Parameters!$L$12+(Parameters!$M$12-Parameters!$L$12)*(2042-2025)/25)</f>
        <v>1.6353249859913872</v>
      </c>
      <c r="AC13" s="32">
        <f>Trajectory!AJ37*(Parameters!$L$12+(Parameters!$M$12-Parameters!$L$12)*(2043-2025)/25)</f>
        <v>1.4808746487178364</v>
      </c>
      <c r="AD13" s="32">
        <f>Trajectory!AJ38*(Parameters!$L$12+(Parameters!$M$12-Parameters!$L$12)*(2044-2025)/25)</f>
        <v>1.3229962121521817</v>
      </c>
      <c r="AE13" s="32">
        <f>Trajectory!AJ39*(Parameters!$L$12+(Parameters!$M$12-Parameters!$L$12)*(2045-2025)/25)</f>
        <v>1.1678466081320675</v>
      </c>
      <c r="AF13" s="32">
        <f>Trajectory!AJ40*(Parameters!$L$12+(Parameters!$M$12-Parameters!$L$12)*(2046-2025)/25)</f>
        <v>1.0200955325860135</v>
      </c>
      <c r="AG13" s="32">
        <f>Trajectory!AJ41*(Parameters!$L$12+(Parameters!$M$12-Parameters!$L$12)*(2047-2025)/25)</f>
        <v>0.88293189843110753</v>
      </c>
      <c r="AH13" s="32">
        <f>Trajectory!AJ42*(Parameters!$L$12+(Parameters!$M$12-Parameters!$L$12)*(2048-2025)/25)</f>
        <v>0.75822735447627221</v>
      </c>
      <c r="AI13" s="32">
        <f>Trajectory!AJ43*(Parameters!$L$12+(Parameters!$M$12-Parameters!$L$12)*(2049-2025)/25)</f>
        <v>0.64678069466573984</v>
      </c>
      <c r="AJ13" s="32">
        <f>Trajectory!AJ44*(Parameters!$L$12+(Parameters!$M$12-Parameters!$L$12)*(2050-2025)/25)</f>
        <v>0.54858315471948349</v>
      </c>
    </row>
    <row r="14" spans="1:36" x14ac:dyDescent="0.3">
      <c r="A14" s="31">
        <v>140</v>
      </c>
      <c r="B14" s="31" t="s">
        <v>146</v>
      </c>
      <c r="C14" s="31" t="s">
        <v>147</v>
      </c>
      <c r="D14" s="31">
        <v>11</v>
      </c>
      <c r="E14" s="31" t="s">
        <v>128</v>
      </c>
      <c r="F14" s="31"/>
      <c r="G14" s="31" t="s">
        <v>129</v>
      </c>
      <c r="H14" s="31">
        <v>0</v>
      </c>
      <c r="I14" s="32">
        <f>Trajectory!AN17</f>
        <v>0</v>
      </c>
      <c r="J14" s="32">
        <f>Trajectory!AN18</f>
        <v>0</v>
      </c>
      <c r="K14" s="32">
        <f>Trajectory!AN19*(Parameters!$L$13+(Parameters!$M$13-Parameters!$L$13)*(2025-2025)/25)</f>
        <v>0.23365655983142061</v>
      </c>
      <c r="L14" s="32">
        <f>Trajectory!AN20*(Parameters!$L$13+(Parameters!$M$13-Parameters!$L$13)*(2026-2025)/25)</f>
        <v>0.27830582425798867</v>
      </c>
      <c r="M14" s="32">
        <f>Trajectory!AN21*(Parameters!$L$13+(Parameters!$M$13-Parameters!$L$13)*(2027-2025)/25)</f>
        <v>0.32776008081928687</v>
      </c>
      <c r="N14" s="32">
        <f>Trajectory!AN22*(Parameters!$L$13+(Parameters!$M$13-Parameters!$L$13)*(2028-2025)/25)</f>
        <v>0.38094873897938214</v>
      </c>
      <c r="O14" s="32">
        <f>Trajectory!AN23*(Parameters!$L$13+(Parameters!$M$13-Parameters!$L$13)*(2029-2025)/25)</f>
        <v>0.43610624131560538</v>
      </c>
      <c r="P14" s="32">
        <f>Trajectory!AN24*(Parameters!$L$13+(Parameters!$M$13-Parameters!$L$13)*(2030-2025)/25)</f>
        <v>0.49074351226189511</v>
      </c>
      <c r="Q14" s="32">
        <f>Trajectory!AN25*(Parameters!$L$13+(Parameters!$M$13-Parameters!$L$13)*(2031-2025)/25)</f>
        <v>0.54175064274301854</v>
      </c>
      <c r="R14" s="32">
        <f>Trajectory!AN26*(Parameters!$L$13+(Parameters!$M$13-Parameters!$L$13)*(2032-2025)/25)</f>
        <v>0.58566420771641525</v>
      </c>
      <c r="S14" s="32">
        <f>Trajectory!AN27*(Parameters!$L$13+(Parameters!$M$13-Parameters!$L$13)*(2033-2025)/25)</f>
        <v>0.61909083873781645</v>
      </c>
      <c r="T14" s="32">
        <f>Trajectory!AN28*(Parameters!$L$13+(Parameters!$M$13-Parameters!$L$13)*(2034-2025)/25)</f>
        <v>0.63921999324824497</v>
      </c>
      <c r="U14" s="32">
        <f>Trajectory!AN29*(Parameters!$L$13+(Parameters!$M$13-Parameters!$L$13)*(2035-2025)/25)</f>
        <v>0.64430662449425224</v>
      </c>
      <c r="V14" s="32">
        <f>Trajectory!AN30*(Parameters!$L$13+(Parameters!$M$13-Parameters!$L$13)*(2036-2025)/25)</f>
        <v>0.63398874662188154</v>
      </c>
      <c r="W14" s="32">
        <f>Trajectory!AN31*(Parameters!$L$13+(Parameters!$M$13-Parameters!$L$13)*(2037-2025)/25)</f>
        <v>0.60934335358096281</v>
      </c>
      <c r="X14" s="32">
        <f>Trajectory!AN32*(Parameters!$L$13+(Parameters!$M$13-Parameters!$L$13)*(2038-2025)/25)</f>
        <v>0.57266576094302701</v>
      </c>
      <c r="Y14" s="32">
        <f>Trajectory!AN33*(Parameters!$L$13+(Parameters!$M$13-Parameters!$L$13)*(2039-2025)/25)</f>
        <v>0.52704508714154252</v>
      </c>
      <c r="Z14" s="32">
        <f>Trajectory!AN34*(Parameters!$L$13+(Parameters!$M$13-Parameters!$L$13)*(2040-2025)/25)</f>
        <v>0.47586178265100731</v>
      </c>
      <c r="AA14" s="32">
        <f>Trajectory!AN35*(Parameters!$L$13+(Parameters!$M$13-Parameters!$L$13)*(2041-2025)/25)</f>
        <v>0.42233314237825509</v>
      </c>
      <c r="AB14" s="32">
        <f>Trajectory!AN36*(Parameters!$L$13+(Parameters!$M$13-Parameters!$L$13)*(2042-2025)/25)</f>
        <v>0.36919042811386066</v>
      </c>
      <c r="AC14" s="32">
        <f>Trajectory!AN37*(Parameters!$L$13+(Parameters!$M$13-Parameters!$L$13)*(2043-2025)/25)</f>
        <v>0.31851431444823425</v>
      </c>
      <c r="AD14" s="32">
        <f>Trajectory!AN38*(Parameters!$L$13+(Parameters!$M$13-Parameters!$L$13)*(2044-2025)/25)</f>
        <v>0.27170919957539474</v>
      </c>
      <c r="AE14" s="32">
        <f>Trajectory!AN39*(Parameters!$L$13+(Parameters!$M$13-Parameters!$L$13)*(2045-2025)/25)</f>
        <v>0.22957313729684578</v>
      </c>
      <c r="AF14" s="32">
        <f>Trajectory!AN40*(Parameters!$L$13+(Parameters!$M$13-Parameters!$L$13)*(2046-2025)/25)</f>
        <v>0.19241708975216118</v>
      </c>
      <c r="AG14" s="32">
        <f>Trajectory!AN41*(Parameters!$L$13+(Parameters!$M$13-Parameters!$L$13)*(2047-2025)/25)</f>
        <v>0.1601966220834089</v>
      </c>
      <c r="AH14" s="32">
        <f>Trajectory!AN42*(Parameters!$L$13+(Parameters!$M$13-Parameters!$L$13)*(2048-2025)/25)</f>
        <v>0.13263264640240238</v>
      </c>
      <c r="AI14" s="32">
        <f>Trajectory!AN43*(Parameters!$L$13+(Parameters!$M$13-Parameters!$L$13)*(2049-2025)/25)</f>
        <v>0.10930993923763263</v>
      </c>
      <c r="AJ14" s="32">
        <f>Trajectory!AN44*(Parameters!$L$13+(Parameters!$M$13-Parameters!$L$13)*(2050-2025)/25)</f>
        <v>8.9750694537858236E-2</v>
      </c>
    </row>
    <row r="15" spans="1:36" x14ac:dyDescent="0.3">
      <c r="A15" s="31">
        <v>457</v>
      </c>
      <c r="B15" s="31" t="s">
        <v>148</v>
      </c>
      <c r="C15" s="31" t="s">
        <v>149</v>
      </c>
      <c r="D15" s="31">
        <v>11</v>
      </c>
      <c r="E15" s="31" t="s">
        <v>128</v>
      </c>
      <c r="F15" s="31"/>
      <c r="G15" s="31" t="s">
        <v>129</v>
      </c>
      <c r="H15" s="31">
        <v>0</v>
      </c>
      <c r="I15" s="32">
        <f>Trajectory!AR17</f>
        <v>0.11499999999999999</v>
      </c>
      <c r="J15" s="32">
        <f>Trajectory!AR18</f>
        <v>8.049999999999996E-2</v>
      </c>
      <c r="K15" s="32">
        <f>Trajectory!AR19*(Parameters!$L$14+(Parameters!$M$14-Parameters!$L$14)*(2025-2025)/25)</f>
        <v>0.16545969828613222</v>
      </c>
      <c r="L15" s="32">
        <f>Trajectory!AR20*(Parameters!$L$14+(Parameters!$M$14-Parameters!$L$14)*(2026-2025)/25)</f>
        <v>0.19258718977828859</v>
      </c>
      <c r="M15" s="32">
        <f>Trajectory!AR21*(Parameters!$L$14+(Parameters!$M$14-Parameters!$L$14)*(2027-2025)/25)</f>
        <v>0.22269922457873392</v>
      </c>
      <c r="N15" s="32">
        <f>Trajectory!AR22*(Parameters!$L$14+(Parameters!$M$14-Parameters!$L$14)*(2028-2025)/25)</f>
        <v>0.25559877945219933</v>
      </c>
      <c r="O15" s="32">
        <f>Trajectory!AR23*(Parameters!$L$14+(Parameters!$M$14-Parameters!$L$14)*(2029-2025)/25)</f>
        <v>0.29087621651707146</v>
      </c>
      <c r="P15" s="32">
        <f>Trajectory!AR24*(Parameters!$L$14+(Parameters!$M$14-Parameters!$L$14)*(2030-2025)/25)</f>
        <v>0.32787049880420965</v>
      </c>
      <c r="Q15" s="32">
        <f>Trajectory!AR25*(Parameters!$L$14+(Parameters!$M$14-Parameters!$L$14)*(2031-2025)/25)</f>
        <v>0.36564631315639518</v>
      </c>
      <c r="R15" s="32">
        <f>Trajectory!AR26*(Parameters!$L$14+(Parameters!$M$14-Parameters!$L$14)*(2032-2025)/25)</f>
        <v>0.40299803299681602</v>
      </c>
      <c r="S15" s="32">
        <f>Trajectory!AR27*(Parameters!$L$14+(Parameters!$M$14-Parameters!$L$14)*(2033-2025)/25)</f>
        <v>0.43849065621275113</v>
      </c>
      <c r="T15" s="32">
        <f>Trajectory!AR28*(Parameters!$L$14+(Parameters!$M$14-Parameters!$L$14)*(2034-2025)/25)</f>
        <v>0.47054372836998376</v>
      </c>
      <c r="U15" s="32">
        <f>Trajectory!AR29*(Parameters!$L$14+(Parameters!$M$14-Parameters!$L$14)*(2035-2025)/25)</f>
        <v>0.49755649440598593</v>
      </c>
      <c r="V15" s="32">
        <f>Trajectory!AR30*(Parameters!$L$14+(Parameters!$M$14-Parameters!$L$14)*(2036-2025)/25)</f>
        <v>0.51806220146666249</v>
      </c>
      <c r="W15" s="32">
        <f>Trajectory!AR31*(Parameters!$L$14+(Parameters!$M$14-Parameters!$L$14)*(2037-2025)/25)</f>
        <v>0.5308893162306787</v>
      </c>
      <c r="X15" s="32">
        <f>Trajectory!AR32*(Parameters!$L$14+(Parameters!$M$14-Parameters!$L$14)*(2038-2025)/25)</f>
        <v>0.53530113880323349</v>
      </c>
      <c r="Y15" s="32">
        <f>Trajectory!AR33*(Parameters!$L$14+(Parameters!$M$14-Parameters!$L$14)*(2039-2025)/25)</f>
        <v>0.53108611155939978</v>
      </c>
      <c r="Z15" s="32">
        <f>Trajectory!AR34*(Parameters!$L$14+(Parameters!$M$14-Parameters!$L$14)*(2040-2025)/25)</f>
        <v>0.51858000825412343</v>
      </c>
      <c r="AA15" s="32">
        <f>Trajectory!AR35*(Parameters!$L$14+(Parameters!$M$14-Parameters!$L$14)*(2041-2025)/25)</f>
        <v>0.49861593943751314</v>
      </c>
      <c r="AB15" s="32">
        <f>Trajectory!AR36*(Parameters!$L$14+(Parameters!$M$14-Parameters!$L$14)*(2042-2025)/25)</f>
        <v>0.4724140021088658</v>
      </c>
      <c r="AC15" s="32">
        <f>Trajectory!AR37*(Parameters!$L$14+(Parameters!$M$14-Parameters!$L$14)*(2043-2025)/25)</f>
        <v>0.44143426157743715</v>
      </c>
      <c r="AD15" s="32">
        <f>Trajectory!AR38*(Parameters!$L$14+(Parameters!$M$14-Parameters!$L$14)*(2044-2025)/25)</f>
        <v>0.4072212583840909</v>
      </c>
      <c r="AE15" s="32">
        <f>Trajectory!AR39*(Parameters!$L$14+(Parameters!$M$14-Parameters!$L$14)*(2045-2025)/25)</f>
        <v>0.37126512364594427</v>
      </c>
      <c r="AF15" s="32">
        <f>Trajectory!AR40*(Parameters!$L$14+(Parameters!$M$14-Parameters!$L$14)*(2046-2025)/25)</f>
        <v>0.33489605937277173</v>
      </c>
      <c r="AG15" s="32">
        <f>Trajectory!AR41*(Parameters!$L$14+(Parameters!$M$14-Parameters!$L$14)*(2047-2025)/25)</f>
        <v>0.29921893043655567</v>
      </c>
      <c r="AH15" s="32">
        <f>Trajectory!AR42*(Parameters!$L$14+(Parameters!$M$14-Parameters!$L$14)*(2048-2025)/25)</f>
        <v>0.26508608605444184</v>
      </c>
      <c r="AI15" s="32">
        <f>Trajectory!AR43*(Parameters!$L$14+(Parameters!$M$14-Parameters!$L$14)*(2049-2025)/25)</f>
        <v>0.23310095835969791</v>
      </c>
      <c r="AJ15" s="32">
        <f>Trajectory!AR44*(Parameters!$L$14+(Parameters!$M$14-Parameters!$L$14)*(2050-2025)/25)</f>
        <v>0.20364270558293357</v>
      </c>
    </row>
    <row r="16" spans="1:36" x14ac:dyDescent="0.3">
      <c r="A16" s="31">
        <v>33</v>
      </c>
      <c r="B16" s="31" t="s">
        <v>150</v>
      </c>
      <c r="C16" s="31" t="s">
        <v>151</v>
      </c>
      <c r="D16" s="31">
        <v>11</v>
      </c>
      <c r="E16" s="31" t="s">
        <v>128</v>
      </c>
      <c r="F16" s="31"/>
      <c r="G16" s="31" t="s">
        <v>129</v>
      </c>
      <c r="H16" s="31">
        <v>0</v>
      </c>
      <c r="I16" s="32">
        <f>Trajectory!AV17</f>
        <v>0.47599999999999987</v>
      </c>
      <c r="J16" s="32">
        <f>Trajectory!AV18</f>
        <v>0.13570000000000015</v>
      </c>
      <c r="K16" s="32">
        <f>Trajectory!AV19*(Parameters!$L$15+(Parameters!$M$15-Parameters!$L$15)*(2025-2025)/25)</f>
        <v>0.13156068134205362</v>
      </c>
      <c r="L16" s="32">
        <f>Trajectory!AV20*(Parameters!$L$15+(Parameters!$M$15-Parameters!$L$15)*(2026-2025)/25)</f>
        <v>0.14869969251179965</v>
      </c>
      <c r="M16" s="32">
        <f>Trajectory!AV21*(Parameters!$L$15+(Parameters!$M$15-Parameters!$L$15)*(2027-2025)/25)</f>
        <v>0.16691953292131703</v>
      </c>
      <c r="N16" s="32">
        <f>Trajectory!AV22*(Parameters!$L$15+(Parameters!$M$15-Parameters!$L$15)*(2028-2025)/25)</f>
        <v>0.18594708145784972</v>
      </c>
      <c r="O16" s="32">
        <f>Trajectory!AV23*(Parameters!$L$15+(Parameters!$M$15-Parameters!$L$15)*(2029-2025)/25)</f>
        <v>0.20540896286403831</v>
      </c>
      <c r="P16" s="32">
        <f>Trajectory!AV24*(Parameters!$L$15+(Parameters!$M$15-Parameters!$L$15)*(2030-2025)/25)</f>
        <v>0.22483198603610219</v>
      </c>
      <c r="Q16" s="32">
        <f>Trajectory!AV25*(Parameters!$L$15+(Parameters!$M$15-Parameters!$L$15)*(2031-2025)/25)</f>
        <v>0.2436540055225408</v>
      </c>
      <c r="R16" s="32">
        <f>Trajectory!AV26*(Parameters!$L$15+(Parameters!$M$15-Parameters!$L$15)*(2032-2025)/25)</f>
        <v>0.26124704804043947</v>
      </c>
      <c r="S16" s="32">
        <f>Trajectory!AV27*(Parameters!$L$15+(Parameters!$M$15-Parameters!$L$15)*(2033-2025)/25)</f>
        <v>0.27695293420399059</v>
      </c>
      <c r="T16" s="32">
        <f>Trajectory!AV28*(Parameters!$L$15+(Parameters!$M$15-Parameters!$L$15)*(2034-2025)/25)</f>
        <v>0.29012937671120603</v>
      </c>
      <c r="U16" s="32">
        <f>Trajectory!AV29*(Parameters!$L$15+(Parameters!$M$15-Parameters!$L$15)*(2035-2025)/25)</f>
        <v>0.30020205425917074</v>
      </c>
      <c r="V16" s="32">
        <f>Trajectory!AV30*(Parameters!$L$15+(Parameters!$M$15-Parameters!$L$15)*(2036-2025)/25)</f>
        <v>0.30671608166868031</v>
      </c>
      <c r="W16" s="32">
        <f>Trajectory!AV31*(Parameters!$L$15+(Parameters!$M$15-Parameters!$L$15)*(2037-2025)/25)</f>
        <v>0.3093793182678295</v>
      </c>
      <c r="X16" s="32">
        <f>Trajectory!AV32*(Parameters!$L$15+(Parameters!$M$15-Parameters!$L$15)*(2038-2025)/25)</f>
        <v>0.30809057539298901</v>
      </c>
      <c r="Y16" s="32">
        <f>Trajectory!AV33*(Parameters!$L$15+(Parameters!$M$15-Parameters!$L$15)*(2039-2025)/25)</f>
        <v>0.30294805314910911</v>
      </c>
      <c r="Z16" s="32">
        <f>Trajectory!AV34*(Parameters!$L$15+(Parameters!$M$15-Parameters!$L$15)*(2040-2025)/25)</f>
        <v>0.294236772594135</v>
      </c>
      <c r="AA16" s="32">
        <f>Trajectory!AV35*(Parameters!$L$15+(Parameters!$M$15-Parameters!$L$15)*(2041-2025)/25)</f>
        <v>0.28239748371387829</v>
      </c>
      <c r="AB16" s="32">
        <f>Trajectory!AV36*(Parameters!$L$15+(Parameters!$M$15-Parameters!$L$15)*(2042-2025)/25)</f>
        <v>0.26798254465187293</v>
      </c>
      <c r="AC16" s="32">
        <f>Trajectory!AV37*(Parameters!$L$15+(Parameters!$M$15-Parameters!$L$15)*(2043-2025)/25)</f>
        <v>0.25160587139612589</v>
      </c>
      <c r="AD16" s="32">
        <f>Trajectory!AV38*(Parameters!$L$15+(Parameters!$M$15-Parameters!$L$15)*(2044-2025)/25)</f>
        <v>0.23389402705165466</v>
      </c>
      <c r="AE16" s="32">
        <f>Trajectory!AV39*(Parameters!$L$15+(Parameters!$M$15-Parameters!$L$15)*(2045-2025)/25)</f>
        <v>0.21544413014945327</v>
      </c>
      <c r="AF16" s="32">
        <f>Trajectory!AV40*(Parameters!$L$15+(Parameters!$M$15-Parameters!$L$15)*(2046-2025)/25)</f>
        <v>0.19679210239232128</v>
      </c>
      <c r="AG16" s="32">
        <f>Trajectory!AV41*(Parameters!$L$15+(Parameters!$M$15-Parameters!$L$15)*(2047-2025)/25)</f>
        <v>0.17839249957437736</v>
      </c>
      <c r="AH16" s="32">
        <f>Trajectory!AV42*(Parameters!$L$15+(Parameters!$M$15-Parameters!$L$15)*(2048-2025)/25)</f>
        <v>0.16060927978237871</v>
      </c>
      <c r="AI16" s="32">
        <f>Trajectory!AV43*(Parameters!$L$15+(Parameters!$M$15-Parameters!$L$15)*(2049-2025)/25)</f>
        <v>0.14371562059933202</v>
      </c>
      <c r="AJ16" s="32">
        <f>Trajectory!AV44*(Parameters!$L$15+(Parameters!$M$15-Parameters!$L$15)*(2050-2025)/25)</f>
        <v>0.12790032955084635</v>
      </c>
    </row>
    <row r="18" spans="1:36" x14ac:dyDescent="0.3">
      <c r="A18" s="35" t="s">
        <v>152</v>
      </c>
      <c r="B18" s="35"/>
      <c r="C18" s="35"/>
      <c r="D18" s="35"/>
      <c r="E18" s="35"/>
      <c r="F18" s="35"/>
      <c r="G18" s="35"/>
      <c r="H18" s="35"/>
    </row>
    <row r="19" spans="1:36" x14ac:dyDescent="0.3">
      <c r="A19" s="24" t="s">
        <v>119</v>
      </c>
      <c r="B19" s="24" t="s">
        <v>52</v>
      </c>
      <c r="C19" s="24" t="s">
        <v>120</v>
      </c>
      <c r="D19" s="24" t="s">
        <v>121</v>
      </c>
      <c r="E19" s="24" t="s">
        <v>122</v>
      </c>
      <c r="F19" s="24" t="s">
        <v>123</v>
      </c>
      <c r="G19" s="24" t="s">
        <v>124</v>
      </c>
      <c r="H19" s="24" t="s">
        <v>125</v>
      </c>
      <c r="I19" s="24">
        <v>2023</v>
      </c>
      <c r="J19" s="24">
        <v>2024</v>
      </c>
      <c r="K19" s="24">
        <v>2025</v>
      </c>
      <c r="L19" s="24">
        <v>2026</v>
      </c>
      <c r="M19" s="24">
        <v>2027</v>
      </c>
      <c r="N19" s="24">
        <v>2028</v>
      </c>
      <c r="O19" s="24">
        <v>2029</v>
      </c>
      <c r="P19" s="24">
        <v>2030</v>
      </c>
      <c r="Q19" s="24">
        <v>2031</v>
      </c>
      <c r="R19" s="24">
        <v>2032</v>
      </c>
      <c r="S19" s="24">
        <v>2033</v>
      </c>
      <c r="T19" s="24">
        <v>2034</v>
      </c>
      <c r="U19" s="24">
        <v>2035</v>
      </c>
      <c r="V19" s="24">
        <v>2036</v>
      </c>
      <c r="W19" s="24">
        <v>2037</v>
      </c>
      <c r="X19" s="24">
        <v>2038</v>
      </c>
      <c r="Y19" s="24">
        <v>2039</v>
      </c>
      <c r="Z19" s="24">
        <v>2040</v>
      </c>
      <c r="AA19" s="24">
        <v>2041</v>
      </c>
      <c r="AB19" s="24">
        <v>2042</v>
      </c>
      <c r="AC19" s="24">
        <v>2043</v>
      </c>
      <c r="AD19" s="24">
        <v>2044</v>
      </c>
      <c r="AE19" s="24">
        <v>2045</v>
      </c>
      <c r="AF19" s="24">
        <v>2046</v>
      </c>
      <c r="AG19" s="24">
        <v>2047</v>
      </c>
      <c r="AH19" s="24">
        <v>2048</v>
      </c>
      <c r="AI19" s="24">
        <v>2049</v>
      </c>
      <c r="AJ19" s="24">
        <v>2050</v>
      </c>
    </row>
    <row r="20" spans="1:36" x14ac:dyDescent="0.3">
      <c r="A20" s="31">
        <v>8</v>
      </c>
      <c r="B20" s="31" t="s">
        <v>126</v>
      </c>
      <c r="C20" s="31" t="s">
        <v>127</v>
      </c>
      <c r="D20" s="31">
        <v>11</v>
      </c>
      <c r="E20" s="31" t="s">
        <v>128</v>
      </c>
      <c r="F20" s="31"/>
      <c r="G20" s="31" t="s">
        <v>129</v>
      </c>
      <c r="H20" s="31">
        <v>0</v>
      </c>
      <c r="I20" s="32">
        <f>Trajectory!D17</f>
        <v>3.3</v>
      </c>
      <c r="J20" s="32">
        <f>Trajectory!D18</f>
        <v>5.6000000000000014</v>
      </c>
      <c r="K20" s="32">
        <f>Trajectory!E19*(Parameters!$L$4+(Parameters!$M$4-Parameters!$L$4)*(2025-2025)/25)</f>
        <v>4.6080000000000041</v>
      </c>
      <c r="L20" s="32">
        <f>Trajectory!E20*(Parameters!$L$4+(Parameters!$M$4-Parameters!$L$4)*(2026-2025)/25)</f>
        <v>4.9333248000000074</v>
      </c>
      <c r="M20" s="32">
        <f>Trajectory!E21*(Parameters!$L$4+(Parameters!$M$4-Parameters!$L$4)*(2027-2025)/25)</f>
        <v>5.2810997760000111</v>
      </c>
      <c r="N20" s="32">
        <f>Trajectory!E22*(Parameters!$L$4+(Parameters!$M$4-Parameters!$L$4)*(2028-2025)/25)</f>
        <v>5.652847779840001</v>
      </c>
      <c r="O20" s="32">
        <f>Trajectory!E23*(Parameters!$L$4+(Parameters!$M$4-Parameters!$L$4)*(2029-2025)/25)</f>
        <v>6.0501935849472233</v>
      </c>
      <c r="P20" s="32">
        <f>Trajectory!E24*(Parameters!$L$4+(Parameters!$M$4-Parameters!$L$4)*(2030-2025)/25)</f>
        <v>6.4748706346598377</v>
      </c>
      <c r="Q20" s="32">
        <f>Trajectory!E25*(Parameters!$L$4+(Parameters!$M$4-Parameters!$L$4)*(2031-2025)/25)</f>
        <v>6.9287282334322065</v>
      </c>
      <c r="R20" s="32">
        <f>Trajectory!E26*(Parameters!$L$4+(Parameters!$M$4-Parameters!$L$4)*(2032-2025)/25)</f>
        <v>7.4137392097724311</v>
      </c>
      <c r="S20" s="32">
        <f>Trajectory!E27*(Parameters!$L$4+(Parameters!$M$4-Parameters!$L$4)*(2033-2025)/25)</f>
        <v>7.9320080816331711</v>
      </c>
      <c r="T20" s="32">
        <f>Trajectory!E28*(Parameters!$L$4+(Parameters!$M$4-Parameters!$L$4)*(2034-2025)/25)</f>
        <v>8.4857797569620281</v>
      </c>
      <c r="U20" s="32">
        <f>Trajectory!E29*(Parameters!$L$4+(Parameters!$M$4-Parameters!$L$4)*(2035-2025)/25)</f>
        <v>9.0774488042364467</v>
      </c>
      <c r="V20" s="32">
        <f>Trajectory!E30*(Parameters!$L$4+(Parameters!$M$4-Parameters!$L$4)*(2036-2025)/25)</f>
        <v>9.7095693300586952</v>
      </c>
      <c r="W20" s="32">
        <f>Trajectory!E31*(Parameters!$L$4+(Parameters!$M$4-Parameters!$L$4)*(2037-2025)/25)</f>
        <v>10.384865503284425</v>
      </c>
      <c r="X20" s="32">
        <f>Trajectory!E32*(Parameters!$L$4+(Parameters!$M$4-Parameters!$L$4)*(2038-2025)/25)</f>
        <v>11.106242767708977</v>
      </c>
      <c r="Y20" s="32">
        <f>Trajectory!E33*(Parameters!$L$4+(Parameters!$M$4-Parameters!$L$4)*(2039-2025)/25)</f>
        <v>3.6965368657884889</v>
      </c>
      <c r="Z20" s="32">
        <f>Trajectory!E34*(Parameters!$L$4+(Parameters!$M$4-Parameters!$L$4)*(2040-2025)/25)</f>
        <v>0</v>
      </c>
      <c r="AA20" s="32">
        <f>Trajectory!E35*(Parameters!$L$4+(Parameters!$M$4-Parameters!$L$4)*(2041-2025)/25)</f>
        <v>0</v>
      </c>
      <c r="AB20" s="32">
        <f>Trajectory!E36*(Parameters!$L$4+(Parameters!$M$4-Parameters!$L$4)*(2042-2025)/25)</f>
        <v>0</v>
      </c>
      <c r="AC20" s="32">
        <f>Trajectory!E37*(Parameters!$L$4+(Parameters!$M$4-Parameters!$L$4)*(2043-2025)/25)</f>
        <v>0</v>
      </c>
      <c r="AD20" s="32">
        <f>Trajectory!E38*(Parameters!$L$4+(Parameters!$M$4-Parameters!$L$4)*(2044-2025)/25)</f>
        <v>0</v>
      </c>
      <c r="AE20" s="32">
        <f>Trajectory!E39*(Parameters!$L$4+(Parameters!$M$4-Parameters!$L$4)*(2045-2025)/25)</f>
        <v>0</v>
      </c>
      <c r="AF20" s="32">
        <f>Trajectory!E40*(Parameters!$L$4+(Parameters!$M$4-Parameters!$L$4)*(2046-2025)/25)</f>
        <v>0</v>
      </c>
      <c r="AG20" s="32">
        <f>Trajectory!E41*(Parameters!$L$4+(Parameters!$M$4-Parameters!$L$4)*(2047-2025)/25)</f>
        <v>0</v>
      </c>
      <c r="AH20" s="32">
        <f>Trajectory!E42*(Parameters!$L$4+(Parameters!$M$4-Parameters!$L$4)*(2048-2025)/25)</f>
        <v>0</v>
      </c>
      <c r="AI20" s="32">
        <f>Trajectory!E43*(Parameters!$L$4+(Parameters!$M$4-Parameters!$L$4)*(2049-2025)/25)</f>
        <v>0</v>
      </c>
      <c r="AJ20" s="32">
        <f>Trajectory!E44*(Parameters!$L$4+(Parameters!$M$4-Parameters!$L$4)*(2050-2025)/25)</f>
        <v>0</v>
      </c>
    </row>
    <row r="21" spans="1:36" x14ac:dyDescent="0.3">
      <c r="A21" s="31">
        <v>453</v>
      </c>
      <c r="B21" s="31" t="s">
        <v>130</v>
      </c>
      <c r="C21" s="31" t="s">
        <v>131</v>
      </c>
      <c r="D21" s="31">
        <v>11</v>
      </c>
      <c r="E21" s="31" t="s">
        <v>128</v>
      </c>
      <c r="F21" s="31"/>
      <c r="G21" s="31" t="s">
        <v>129</v>
      </c>
      <c r="H21" s="31">
        <v>0</v>
      </c>
      <c r="I21" s="32">
        <f>Trajectory!H17</f>
        <v>4</v>
      </c>
      <c r="J21" s="32">
        <f>Trajectory!H18</f>
        <v>3</v>
      </c>
      <c r="K21" s="32">
        <f>Trajectory!I19*(Parameters!$L$5+(Parameters!$M$5-Parameters!$L$5)*(2025-2025)/25)</f>
        <v>4.7040000000000015</v>
      </c>
      <c r="L21" s="32">
        <f>Trajectory!I20*(Parameters!$L$5+(Parameters!$M$5-Parameters!$L$5)*(2026-2025)/25)</f>
        <v>4.9885919999999997</v>
      </c>
      <c r="M21" s="32">
        <f>Trajectory!I21*(Parameters!$L$5+(Parameters!$M$5-Parameters!$L$5)*(2027-2025)/25)</f>
        <v>5.2898832000000127</v>
      </c>
      <c r="N21" s="32">
        <f>Trajectory!I22*(Parameters!$L$5+(Parameters!$M$5-Parameters!$L$5)*(2028-2025)/25)</f>
        <v>5.6088320399999878</v>
      </c>
      <c r="O21" s="32">
        <f>Trajectory!I23*(Parameters!$L$5+(Parameters!$M$5-Parameters!$L$5)*(2029-2025)/25)</f>
        <v>5.9464510560000061</v>
      </c>
      <c r="P21" s="32">
        <f>Trajectory!I24*(Parameters!$L$5+(Parameters!$M$5-Parameters!$L$5)*(2030-2025)/25)</f>
        <v>6.3038098934999889</v>
      </c>
      <c r="Q21" s="32">
        <f>Trajectory!I25*(Parameters!$L$5+(Parameters!$M$5-Parameters!$L$5)*(2031-2025)/25)</f>
        <v>6.6820384871100176</v>
      </c>
      <c r="R21" s="32">
        <f>Trajectory!I26*(Parameters!$L$5+(Parameters!$M$5-Parameters!$L$5)*(2032-2025)/25)</f>
        <v>7.0823304153472364</v>
      </c>
      <c r="S21" s="32">
        <f>Trajectory!I27*(Parameters!$L$5+(Parameters!$M$5-Parameters!$L$5)*(2033-2025)/25)</f>
        <v>7.5059464401904661</v>
      </c>
      <c r="T21" s="32">
        <f>Trajectory!I28*(Parameters!$L$5+(Parameters!$M$5-Parameters!$L$5)*(2034-2025)/25)</f>
        <v>7.9542182414795928</v>
      </c>
      <c r="U21" s="32">
        <f>Trajectory!I29*(Parameters!$L$5+(Parameters!$M$5-Parameters!$L$5)*(2035-2025)/25)</f>
        <v>8.4285523567972085</v>
      </c>
      <c r="V21" s="32">
        <f>Trajectory!I30*(Parameters!$L$5+(Parameters!$M$5-Parameters!$L$5)*(2036-2025)/25)</f>
        <v>8.9304343380428151</v>
      </c>
      <c r="W21" s="32">
        <f>Trajectory!I31*(Parameters!$L$5+(Parameters!$M$5-Parameters!$L$5)*(2037-2025)/25)</f>
        <v>9.4614331365211086</v>
      </c>
      <c r="X21" s="32">
        <f>Trajectory!I32*(Parameters!$L$5+(Parameters!$M$5-Parameters!$L$5)*(2038-2025)/25)</f>
        <v>10.023205729001942</v>
      </c>
      <c r="Y21" s="32">
        <f>Trajectory!I33*(Parameters!$L$5+(Parameters!$M$5-Parameters!$L$5)*(2039-2025)/25)</f>
        <v>10.617501997889825</v>
      </c>
      <c r="Z21" s="32">
        <f>Trajectory!I34*(Parameters!$L$5+(Parameters!$M$5-Parameters!$L$5)*(2040-2025)/25)</f>
        <v>4.708602413125285</v>
      </c>
      <c r="AA21" s="32">
        <f>Trajectory!I35*(Parameters!$L$5+(Parameters!$M$5-Parameters!$L$5)*(2041-2025)/25)</f>
        <v>0</v>
      </c>
      <c r="AB21" s="32">
        <f>Trajectory!I36*(Parameters!$L$5+(Parameters!$M$5-Parameters!$L$5)*(2042-2025)/25)</f>
        <v>0</v>
      </c>
      <c r="AC21" s="32">
        <f>Trajectory!I37*(Parameters!$L$5+(Parameters!$M$5-Parameters!$L$5)*(2043-2025)/25)</f>
        <v>0</v>
      </c>
      <c r="AD21" s="32">
        <f>Trajectory!I38*(Parameters!$L$5+(Parameters!$M$5-Parameters!$L$5)*(2044-2025)/25)</f>
        <v>0</v>
      </c>
      <c r="AE21" s="32">
        <f>Trajectory!I39*(Parameters!$L$5+(Parameters!$M$5-Parameters!$L$5)*(2045-2025)/25)</f>
        <v>0</v>
      </c>
      <c r="AF21" s="32">
        <f>Trajectory!I40*(Parameters!$L$5+(Parameters!$M$5-Parameters!$L$5)*(2046-2025)/25)</f>
        <v>0</v>
      </c>
      <c r="AG21" s="32">
        <f>Trajectory!I41*(Parameters!$L$5+(Parameters!$M$5-Parameters!$L$5)*(2047-2025)/25)</f>
        <v>0</v>
      </c>
      <c r="AH21" s="32">
        <f>Trajectory!I42*(Parameters!$L$5+(Parameters!$M$5-Parameters!$L$5)*(2048-2025)/25)</f>
        <v>0</v>
      </c>
      <c r="AI21" s="32">
        <f>Trajectory!I43*(Parameters!$L$5+(Parameters!$M$5-Parameters!$L$5)*(2049-2025)/25)</f>
        <v>0</v>
      </c>
      <c r="AJ21" s="32">
        <f>Trajectory!I44*(Parameters!$L$5+(Parameters!$M$5-Parameters!$L$5)*(2050-2025)/25)</f>
        <v>0</v>
      </c>
    </row>
    <row r="22" spans="1:36" x14ac:dyDescent="0.3">
      <c r="A22" s="31">
        <v>13</v>
      </c>
      <c r="B22" s="31" t="s">
        <v>132</v>
      </c>
      <c r="C22" s="31" t="s">
        <v>133</v>
      </c>
      <c r="D22" s="31">
        <v>11</v>
      </c>
      <c r="E22" s="31" t="s">
        <v>128</v>
      </c>
      <c r="F22" s="31"/>
      <c r="G22" s="31" t="s">
        <v>129</v>
      </c>
      <c r="H22" s="31">
        <v>0</v>
      </c>
      <c r="I22" s="32">
        <f>Trajectory!L17</f>
        <v>0.8199999999999994</v>
      </c>
      <c r="J22" s="32">
        <f>Trajectory!L18</f>
        <v>0</v>
      </c>
      <c r="K22" s="32">
        <f>Trajectory!M19*(Parameters!$L$6+(Parameters!$M$6-Parameters!$L$6)*(2025-2025)/25)</f>
        <v>0.28600000000000086</v>
      </c>
      <c r="L22" s="32">
        <f>Trajectory!M20*(Parameters!$L$6+(Parameters!$M$6-Parameters!$L$6)*(2026-2025)/25)</f>
        <v>0.31173119999999949</v>
      </c>
      <c r="M22" s="32">
        <f>Trajectory!M21*(Parameters!$L$6+(Parameters!$M$6-Parameters!$L$6)*(2027-2025)/25)</f>
        <v>0.33974899200000114</v>
      </c>
      <c r="N22" s="32">
        <f>Trajectory!M22*(Parameters!$L$6+(Parameters!$M$6-Parameters!$L$6)*(2028-2025)/25)</f>
        <v>0.37025455104000021</v>
      </c>
      <c r="O22" s="32">
        <f>Trajectory!M23*(Parameters!$L$6+(Parameters!$M$6-Parameters!$L$6)*(2029-2025)/25)</f>
        <v>0.40346660597759998</v>
      </c>
      <c r="P22" s="32">
        <f>Trajectory!M24*(Parameters!$L$6+(Parameters!$M$6-Parameters!$L$6)*(2030-2025)/25)</f>
        <v>0.43962296057856026</v>
      </c>
      <c r="Q22" s="32">
        <f>Trajectory!M25*(Parameters!$L$6+(Parameters!$M$6-Parameters!$L$6)*(2031-2025)/25)</f>
        <v>0.47898214563741653</v>
      </c>
      <c r="R22" s="32">
        <f>Trajectory!M26*(Parameters!$L$6+(Parameters!$M$6-Parameters!$L$6)*(2032-2025)/25)</f>
        <v>0.52182521335798859</v>
      </c>
      <c r="S22" s="32">
        <f>Trajectory!M27*(Parameters!$L$6+(Parameters!$M$6-Parameters!$L$6)*(2033-2025)/25)</f>
        <v>0.56845768618177261</v>
      </c>
      <c r="T22" s="32">
        <f>Trajectory!M28*(Parameters!$L$6+(Parameters!$M$6-Parameters!$L$6)*(2034-2025)/25)</f>
        <v>0.61921167329186899</v>
      </c>
      <c r="U22" s="32">
        <f>Trajectory!M29*(Parameters!$L$6+(Parameters!$M$6-Parameters!$L$6)*(2035-2025)/25)</f>
        <v>0.67444816914801942</v>
      </c>
      <c r="V22" s="32">
        <f>Trajectory!M30*(Parameters!$L$6+(Parameters!$M$6-Parameters!$L$6)*(2036-2025)/25)</f>
        <v>0.73455954963208536</v>
      </c>
      <c r="W22" s="32">
        <f>Trajectory!M31*(Parameters!$L$6+(Parameters!$M$6-Parameters!$L$6)*(2037-2025)/25)</f>
        <v>0.79997228271105458</v>
      </c>
      <c r="X22" s="32">
        <f>Trajectory!M32*(Parameters!$L$6+(Parameters!$M$6-Parameters!$L$6)*(2038-2025)/25)</f>
        <v>0.87114987196501248</v>
      </c>
      <c r="Y22" s="32">
        <f>Trajectory!M33*(Parameters!$L$6+(Parameters!$M$6-Parameters!$L$6)*(2039-2025)/25)</f>
        <v>0.94859605289025561</v>
      </c>
      <c r="Z22" s="32">
        <f>Trajectory!M34*(Parameters!$L$6+(Parameters!$M$6-Parameters!$L$6)*(2040-2025)/25)</f>
        <v>1.0328582635829568</v>
      </c>
      <c r="AA22" s="32">
        <f>Trajectory!M35*(Parameters!$L$6+(Parameters!$M$6-Parameters!$L$6)*(2041-2025)/25)</f>
        <v>1.1245314132479955</v>
      </c>
      <c r="AB22" s="32">
        <f>Trajectory!M36*(Parameters!$L$6+(Parameters!$M$6-Parameters!$L$6)*(2042-2025)/25)</f>
        <v>1.224261973972512</v>
      </c>
      <c r="AC22" s="32">
        <f>Trajectory!M37*(Parameters!$L$6+(Parameters!$M$6-Parameters!$L$6)*(2043-2025)/25)</f>
        <v>1.3327524233681596</v>
      </c>
      <c r="AD22" s="32">
        <f>Trajectory!M38*(Parameters!$L$6+(Parameters!$M$6-Parameters!$L$6)*(2044-2025)/25)</f>
        <v>1.4507660680336913</v>
      </c>
      <c r="AE22" s="32">
        <f>Trajectory!M39*(Parameters!$L$6+(Parameters!$M$6-Parameters!$L$6)*(2045-2025)/25)</f>
        <v>1.5791322803361405</v>
      </c>
      <c r="AF22" s="32">
        <f>Trajectory!M40*(Parameters!$L$6+(Parameters!$M$6-Parameters!$L$6)*(2046-2025)/25)</f>
        <v>1.7187521837715833</v>
      </c>
      <c r="AG22" s="32">
        <f>Trajectory!M41*(Parameters!$L$6+(Parameters!$M$6-Parameters!$L$6)*(2047-2025)/25)</f>
        <v>1.870604825162532</v>
      </c>
      <c r="AH22" s="32">
        <f>Trajectory!M42*(Parameters!$L$6+(Parameters!$M$6-Parameters!$L$6)*(2048-2025)/25)</f>
        <v>2.035753875199906</v>
      </c>
      <c r="AI22" s="32">
        <f>Trajectory!M43*(Parameters!$L$6+(Parameters!$M$6-Parameters!$L$6)*(2049-2025)/25)</f>
        <v>2.2153549023622077</v>
      </c>
      <c r="AJ22" s="32">
        <f>Trajectory!M44*(Parameters!$L$6+(Parameters!$M$6-Parameters!$L$6)*(2050-2025)/25)</f>
        <v>2.4106632690691985</v>
      </c>
    </row>
    <row r="23" spans="1:36" x14ac:dyDescent="0.3">
      <c r="A23" s="31">
        <v>77</v>
      </c>
      <c r="B23" s="31" t="s">
        <v>134</v>
      </c>
      <c r="C23" s="31" t="s">
        <v>135</v>
      </c>
      <c r="D23" s="31">
        <v>11</v>
      </c>
      <c r="E23" s="31" t="s">
        <v>128</v>
      </c>
      <c r="F23" s="31"/>
      <c r="G23" s="31" t="s">
        <v>129</v>
      </c>
      <c r="H23" s="31">
        <v>0</v>
      </c>
      <c r="I23" s="32">
        <f>Trajectory!P17</f>
        <v>0</v>
      </c>
      <c r="J23" s="32">
        <f>Trajectory!P18</f>
        <v>0</v>
      </c>
      <c r="K23" s="32">
        <f>Trajectory!Q19*(Parameters!$L$7+(Parameters!$M$7-Parameters!$L$7)*(2025-2025)/25)</f>
        <v>0</v>
      </c>
      <c r="L23" s="32">
        <f>Trajectory!Q20*(Parameters!$L$7+(Parameters!$M$7-Parameters!$L$7)*(2026-2025)/25)</f>
        <v>0</v>
      </c>
      <c r="M23" s="32">
        <f>Trajectory!Q21*(Parameters!$L$7+(Parameters!$M$7-Parameters!$L$7)*(2027-2025)/25)</f>
        <v>0</v>
      </c>
      <c r="N23" s="32">
        <f>Trajectory!Q22*(Parameters!$L$7+(Parameters!$M$7-Parameters!$L$7)*(2028-2025)/25)</f>
        <v>0</v>
      </c>
      <c r="O23" s="32">
        <f>Trajectory!Q23*(Parameters!$L$7+(Parameters!$M$7-Parameters!$L$7)*(2029-2025)/25)</f>
        <v>0</v>
      </c>
      <c r="P23" s="32">
        <f>Trajectory!Q24*(Parameters!$L$7+(Parameters!$M$7-Parameters!$L$7)*(2030-2025)/25)</f>
        <v>0</v>
      </c>
      <c r="Q23" s="32">
        <f>Trajectory!Q25*(Parameters!$L$7+(Parameters!$M$7-Parameters!$L$7)*(2031-2025)/25)</f>
        <v>0</v>
      </c>
      <c r="R23" s="32">
        <f>Trajectory!Q26*(Parameters!$L$7+(Parameters!$M$7-Parameters!$L$7)*(2032-2025)/25)</f>
        <v>0</v>
      </c>
      <c r="S23" s="32">
        <f>Trajectory!Q27*(Parameters!$L$7+(Parameters!$M$7-Parameters!$L$7)*(2033-2025)/25)</f>
        <v>0</v>
      </c>
      <c r="T23" s="32">
        <f>Trajectory!Q28*(Parameters!$L$7+(Parameters!$M$7-Parameters!$L$7)*(2034-2025)/25)</f>
        <v>0</v>
      </c>
      <c r="U23" s="32">
        <f>Trajectory!Q29*(Parameters!$L$7+(Parameters!$M$7-Parameters!$L$7)*(2035-2025)/25)</f>
        <v>0</v>
      </c>
      <c r="V23" s="32">
        <f>Trajectory!Q30*(Parameters!$L$7+(Parameters!$M$7-Parameters!$L$7)*(2036-2025)/25)</f>
        <v>0</v>
      </c>
      <c r="W23" s="32">
        <f>Trajectory!Q31*(Parameters!$L$7+(Parameters!$M$7-Parameters!$L$7)*(2037-2025)/25)</f>
        <v>0</v>
      </c>
      <c r="X23" s="32">
        <f>Trajectory!Q32*(Parameters!$L$7+(Parameters!$M$7-Parameters!$L$7)*(2038-2025)/25)</f>
        <v>0</v>
      </c>
      <c r="Y23" s="32">
        <f>Trajectory!Q33*(Parameters!$L$7+(Parameters!$M$7-Parameters!$L$7)*(2039-2025)/25)</f>
        <v>0</v>
      </c>
      <c r="Z23" s="32">
        <f>Trajectory!Q34*(Parameters!$L$7+(Parameters!$M$7-Parameters!$L$7)*(2040-2025)/25)</f>
        <v>0</v>
      </c>
      <c r="AA23" s="32">
        <f>Trajectory!Q35*(Parameters!$L$7+(Parameters!$M$7-Parameters!$L$7)*(2041-2025)/25)</f>
        <v>0</v>
      </c>
      <c r="AB23" s="32">
        <f>Trajectory!Q36*(Parameters!$L$7+(Parameters!$M$7-Parameters!$L$7)*(2042-2025)/25)</f>
        <v>0</v>
      </c>
      <c r="AC23" s="32">
        <f>Trajectory!Q37*(Parameters!$L$7+(Parameters!$M$7-Parameters!$L$7)*(2043-2025)/25)</f>
        <v>0</v>
      </c>
      <c r="AD23" s="32">
        <f>Trajectory!Q38*(Parameters!$L$7+(Parameters!$M$7-Parameters!$L$7)*(2044-2025)/25)</f>
        <v>0</v>
      </c>
      <c r="AE23" s="32">
        <f>Trajectory!Q39*(Parameters!$L$7+(Parameters!$M$7-Parameters!$L$7)*(2045-2025)/25)</f>
        <v>0</v>
      </c>
      <c r="AF23" s="32">
        <f>Trajectory!Q40*(Parameters!$L$7+(Parameters!$M$7-Parameters!$L$7)*(2046-2025)/25)</f>
        <v>0</v>
      </c>
      <c r="AG23" s="32">
        <f>Trajectory!Q41*(Parameters!$L$7+(Parameters!$M$7-Parameters!$L$7)*(2047-2025)/25)</f>
        <v>0</v>
      </c>
      <c r="AH23" s="32">
        <f>Trajectory!Q42*(Parameters!$L$7+(Parameters!$M$7-Parameters!$L$7)*(2048-2025)/25)</f>
        <v>0</v>
      </c>
      <c r="AI23" s="32">
        <f>Trajectory!Q43*(Parameters!$L$7+(Parameters!$M$7-Parameters!$L$7)*(2049-2025)/25)</f>
        <v>0</v>
      </c>
      <c r="AJ23" s="32">
        <f>Trajectory!Q44*(Parameters!$L$7+(Parameters!$M$7-Parameters!$L$7)*(2050-2025)/25)</f>
        <v>0</v>
      </c>
    </row>
    <row r="24" spans="1:36" x14ac:dyDescent="0.3">
      <c r="A24" s="31">
        <v>295</v>
      </c>
      <c r="B24" s="31" t="s">
        <v>136</v>
      </c>
      <c r="C24" s="31" t="s">
        <v>137</v>
      </c>
      <c r="D24" s="31">
        <v>11</v>
      </c>
      <c r="E24" s="31" t="s">
        <v>128</v>
      </c>
      <c r="F24" s="31"/>
      <c r="G24" s="31" t="s">
        <v>129</v>
      </c>
      <c r="H24" s="31">
        <v>0</v>
      </c>
      <c r="I24" s="32">
        <f>Trajectory!T17</f>
        <v>1.5</v>
      </c>
      <c r="J24" s="32">
        <f>Trajectory!T18</f>
        <v>0.59999999999999964</v>
      </c>
      <c r="K24" s="32">
        <f>Trajectory!U19*(Parameters!$L$8+(Parameters!$M$8-Parameters!$L$8)*(2025-2025)/25)</f>
        <v>1.4760000000000004</v>
      </c>
      <c r="L24" s="32">
        <f>Trajectory!U20*(Parameters!$L$8+(Parameters!$M$8-Parameters!$L$8)*(2026-2025)/25)</f>
        <v>1.5802056000000031</v>
      </c>
      <c r="M24" s="32">
        <f>Trajectory!U21*(Parameters!$L$8+(Parameters!$M$8-Parameters!$L$8)*(2027-2025)/25)</f>
        <v>1.6916022720000043</v>
      </c>
      <c r="N24" s="32">
        <f>Trajectory!U22*(Parameters!$L$8+(Parameters!$M$8-Parameters!$L$8)*(2028-2025)/25)</f>
        <v>1.8106778044800003</v>
      </c>
      <c r="O24" s="32">
        <f>Trajectory!U23*(Parameters!$L$8+(Parameters!$M$8-Parameters!$L$8)*(2029-2025)/25)</f>
        <v>1.9379526326784047</v>
      </c>
      <c r="P24" s="32">
        <f>Trajectory!U24*(Parameters!$L$8+(Parameters!$M$8-Parameters!$L$8)*(2030-2025)/25)</f>
        <v>2.0739820001644804</v>
      </c>
      <c r="Q24" s="32">
        <f>Trajectory!U25*(Parameters!$L$8+(Parameters!$M$8-Parameters!$L$8)*(2031-2025)/25)</f>
        <v>2.2193582622712564</v>
      </c>
      <c r="R24" s="32">
        <f>Trajectory!U26*(Parameters!$L$8+(Parameters!$M$8-Parameters!$L$8)*(2032-2025)/25)</f>
        <v>2.3747133406302314</v>
      </c>
      <c r="S24" s="32">
        <f>Trajectory!U27*(Parameters!$L$8+(Parameters!$M$8-Parameters!$L$8)*(2033-2025)/25)</f>
        <v>2.5407213386481247</v>
      </c>
      <c r="T24" s="32">
        <f>Trajectory!U28*(Parameters!$L$8+(Parameters!$M$8-Parameters!$L$8)*(2034-2025)/25)</f>
        <v>2.7181013284018953</v>
      </c>
      <c r="U24" s="32">
        <f>Trajectory!U29*(Parameters!$L$8+(Parameters!$M$8-Parameters!$L$8)*(2035-2025)/25)</f>
        <v>2.9076203201069868</v>
      </c>
      <c r="V24" s="32">
        <f>Trajectory!U30*(Parameters!$L$8+(Parameters!$M$8-Parameters!$L$8)*(2036-2025)/25)</f>
        <v>3.1100964260344326</v>
      </c>
      <c r="W24" s="32">
        <f>Trajectory!U31*(Parameters!$L$8+(Parameters!$M$8-Parameters!$L$8)*(2037-2025)/25)</f>
        <v>3.3264022315207935</v>
      </c>
      <c r="X24" s="32">
        <f>Trajectory!U32*(Parameters!$L$8+(Parameters!$M$8-Parameters!$L$8)*(2038-2025)/25)</f>
        <v>3.5574683865317835</v>
      </c>
      <c r="Y24" s="32">
        <f>Trajectory!U33*(Parameters!$L$8+(Parameters!$M$8-Parameters!$L$8)*(2039-2025)/25)</f>
        <v>3.8042874321106432</v>
      </c>
      <c r="Z24" s="32">
        <f>Trajectory!U34*(Parameters!$L$8+(Parameters!$M$8-Parameters!$L$8)*(2040-2025)/25)</f>
        <v>4.0679178769674014</v>
      </c>
      <c r="AA24" s="32">
        <f>Trajectory!U35*(Parameters!$L$8+(Parameters!$M$8-Parameters!$L$8)*(2041-2025)/25)</f>
        <v>4.3494885404514321</v>
      </c>
      <c r="AB24" s="32">
        <f>Trajectory!U36*(Parameters!$L$8+(Parameters!$M$8-Parameters!$L$8)*(2042-2025)/25)</f>
        <v>3.7882136800595578</v>
      </c>
      <c r="AC24" s="32">
        <f>Trajectory!U37*(Parameters!$L$8+(Parameters!$M$8-Parameters!$L$8)*(2043-2025)/25)</f>
        <v>0</v>
      </c>
      <c r="AD24" s="32">
        <f>Trajectory!U38*(Parameters!$L$8+(Parameters!$M$8-Parameters!$L$8)*(2044-2025)/25)</f>
        <v>0</v>
      </c>
      <c r="AE24" s="32">
        <f>Trajectory!U39*(Parameters!$L$8+(Parameters!$M$8-Parameters!$L$8)*(2045-2025)/25)</f>
        <v>0</v>
      </c>
      <c r="AF24" s="32">
        <f>Trajectory!U40*(Parameters!$L$8+(Parameters!$M$8-Parameters!$L$8)*(2046-2025)/25)</f>
        <v>0</v>
      </c>
      <c r="AG24" s="32">
        <f>Trajectory!U41*(Parameters!$L$8+(Parameters!$M$8-Parameters!$L$8)*(2047-2025)/25)</f>
        <v>0</v>
      </c>
      <c r="AH24" s="32">
        <f>Trajectory!U42*(Parameters!$L$8+(Parameters!$M$8-Parameters!$L$8)*(2048-2025)/25)</f>
        <v>0</v>
      </c>
      <c r="AI24" s="32">
        <f>Trajectory!U43*(Parameters!$L$8+(Parameters!$M$8-Parameters!$L$8)*(2049-2025)/25)</f>
        <v>0</v>
      </c>
      <c r="AJ24" s="32">
        <f>Trajectory!U44*(Parameters!$L$8+(Parameters!$M$8-Parameters!$L$8)*(2050-2025)/25)</f>
        <v>0</v>
      </c>
    </row>
    <row r="25" spans="1:36" x14ac:dyDescent="0.3">
      <c r="A25" s="31">
        <v>327</v>
      </c>
      <c r="B25" s="31" t="s">
        <v>138</v>
      </c>
      <c r="C25" s="31" t="s">
        <v>139</v>
      </c>
      <c r="D25" s="31">
        <v>11</v>
      </c>
      <c r="E25" s="31" t="s">
        <v>128</v>
      </c>
      <c r="F25" s="31"/>
      <c r="G25" s="31" t="s">
        <v>129</v>
      </c>
      <c r="H25" s="31">
        <v>0</v>
      </c>
      <c r="I25" s="32">
        <f>Trajectory!X17</f>
        <v>0.70900000000000052</v>
      </c>
      <c r="J25" s="32">
        <f>Trajectory!X18</f>
        <v>0.18399999999999928</v>
      </c>
      <c r="K25" s="32">
        <f>Trajectory!Y19*(Parameters!$L$9+(Parameters!$M$9-Parameters!$L$9)*(2025-2025)/25)</f>
        <v>0.63120000000000076</v>
      </c>
      <c r="L25" s="32">
        <f>Trajectory!Y20*(Parameters!$L$9+(Parameters!$M$9-Parameters!$L$9)*(2026-2025)/25)</f>
        <v>0.67576272000000059</v>
      </c>
      <c r="M25" s="32">
        <f>Trajectory!Y21*(Parameters!$L$9+(Parameters!$M$9-Parameters!$L$9)*(2027-2025)/25)</f>
        <v>0.72340064640000235</v>
      </c>
      <c r="N25" s="32">
        <f>Trajectory!Y22*(Parameters!$L$9+(Parameters!$M$9-Parameters!$L$9)*(2028-2025)/25)</f>
        <v>0.77432237817599969</v>
      </c>
      <c r="O25" s="32">
        <f>Trajectory!Y23*(Parameters!$L$9+(Parameters!$M$9-Parameters!$L$9)*(2029-2025)/25)</f>
        <v>0.82875047543808278</v>
      </c>
      <c r="P25" s="32">
        <f>Trajectory!Y24*(Parameters!$L$9+(Parameters!$M$9-Parameters!$L$9)*(2030-2025)/25)</f>
        <v>0.88692238381017707</v>
      </c>
      <c r="Q25" s="32">
        <f>Trajectory!Y25*(Parameters!$L$9+(Parameters!$M$9-Parameters!$L$9)*(2031-2025)/25)</f>
        <v>0.94909141947534714</v>
      </c>
      <c r="R25" s="32">
        <f>Trajectory!Y26*(Parameters!$L$9+(Parameters!$M$9-Parameters!$L$9)*(2032-2025)/25)</f>
        <v>1.0155278188386201</v>
      </c>
      <c r="S25" s="32">
        <f>Trajectory!Y27*(Parameters!$L$9+(Parameters!$M$9-Parameters!$L$9)*(2033-2025)/25)</f>
        <v>1.0865198570153791</v>
      </c>
      <c r="T25" s="32">
        <f>Trajectory!Y28*(Parameters!$L$9+(Parameters!$M$9-Parameters!$L$9)*(2034-2025)/25)</f>
        <v>1.1623750396255259</v>
      </c>
      <c r="U25" s="32">
        <f>Trajectory!Y29*(Parameters!$L$9+(Parameters!$M$9-Parameters!$L$9)*(2035-2025)/25)</f>
        <v>1.2434213726636372</v>
      </c>
      <c r="V25" s="32">
        <f>Trajectory!Y30*(Parameters!$L$9+(Parameters!$M$9-Parameters!$L$9)*(2036-2025)/25)</f>
        <v>1.3300087155236677</v>
      </c>
      <c r="W25" s="32">
        <f>Trajectory!Y31*(Parameters!$L$9+(Parameters!$M$9-Parameters!$L$9)*(2037-2025)/25)</f>
        <v>1.4225102225853139</v>
      </c>
      <c r="X25" s="32">
        <f>Trajectory!Y32*(Parameters!$L$9+(Parameters!$M$9-Parameters!$L$9)*(2038-2025)/25)</f>
        <v>1.521323879118468</v>
      </c>
      <c r="Y25" s="32">
        <f>Trajectory!Y33*(Parameters!$L$9+(Parameters!$M$9-Parameters!$L$9)*(2039-2025)/25)</f>
        <v>1.6268741376343117</v>
      </c>
      <c r="Z25" s="32">
        <f>Trajectory!Y34*(Parameters!$L$9+(Parameters!$M$9-Parameters!$L$9)*(2040-2025)/25)</f>
        <v>1.7396136612071995</v>
      </c>
      <c r="AA25" s="32">
        <f>Trajectory!Y35*(Parameters!$L$9+(Parameters!$M$9-Parameters!$L$9)*(2041-2025)/25)</f>
        <v>1.8600251807133725</v>
      </c>
      <c r="AB25" s="32">
        <f>Trajectory!Y36*(Parameters!$L$9+(Parameters!$M$9-Parameters!$L$9)*(2042-2025)/25)</f>
        <v>1.9886234733799353</v>
      </c>
      <c r="AC25" s="32">
        <f>Trajectory!Y37*(Parameters!$L$9+(Parameters!$M$9-Parameters!$L$9)*(2043-2025)/25)</f>
        <v>2.1259574705159223</v>
      </c>
      <c r="AD25" s="32">
        <f>Trajectory!Y38*(Parameters!$L$9+(Parameters!$M$9-Parameters!$L$9)*(2044-2025)/25)</f>
        <v>2.272612502804046</v>
      </c>
      <c r="AE25" s="32">
        <f>Trajectory!Y39*(Parameters!$L$9+(Parameters!$M$9-Parameters!$L$9)*(2045-2025)/25)</f>
        <v>2.4292126920729107</v>
      </c>
      <c r="AF25" s="32">
        <f>Trajectory!Y40*(Parameters!$L$9+(Parameters!$M$9-Parameters!$L$9)*(2046-2025)/25)</f>
        <v>2.5964234990439214</v>
      </c>
      <c r="AG25" s="32">
        <f>Trajectory!Y41*(Parameters!$L$9+(Parameters!$M$9-Parameters!$L$9)*(2047-2025)/25)</f>
        <v>2.7749544371600017</v>
      </c>
      <c r="AH25" s="32">
        <f>Trajectory!Y42*(Parameters!$L$9+(Parameters!$M$9-Parameters!$L$9)*(2048-2025)/25)</f>
        <v>0.83127527910924581</v>
      </c>
      <c r="AI25" s="32">
        <f>Trajectory!Y43*(Parameters!$L$9+(Parameters!$M$9-Parameters!$L$9)*(2049-2025)/25)</f>
        <v>0</v>
      </c>
      <c r="AJ25" s="32">
        <f>Trajectory!Y44*(Parameters!$L$9+(Parameters!$M$9-Parameters!$L$9)*(2050-2025)/25)</f>
        <v>0</v>
      </c>
    </row>
    <row r="26" spans="1:36" x14ac:dyDescent="0.3">
      <c r="A26" s="31">
        <v>414</v>
      </c>
      <c r="B26" s="31" t="s">
        <v>140</v>
      </c>
      <c r="C26" s="31" t="s">
        <v>141</v>
      </c>
      <c r="D26" s="31">
        <v>11</v>
      </c>
      <c r="E26" s="31" t="s">
        <v>128</v>
      </c>
      <c r="F26" s="31"/>
      <c r="G26" s="31" t="s">
        <v>129</v>
      </c>
      <c r="H26" s="31">
        <v>0</v>
      </c>
      <c r="I26" s="32">
        <f>Trajectory!AB17</f>
        <v>0.29259999999999997</v>
      </c>
      <c r="J26" s="32">
        <f>Trajectory!AB18</f>
        <v>0.33529999999999993</v>
      </c>
      <c r="K26" s="32">
        <f>Trajectory!AC19*(Parameters!$L$10+(Parameters!$M$10-Parameters!$L$10)*(2025-2025)/25)</f>
        <v>0.28730000000000011</v>
      </c>
      <c r="L26" s="32">
        <f>Trajectory!AC20*(Parameters!$L$10+(Parameters!$M$10-Parameters!$L$10)*(2026-2025)/25)</f>
        <v>0.31024863999999996</v>
      </c>
      <c r="M26" s="32">
        <f>Trajectory!AC21*(Parameters!$L$10+(Parameters!$M$10-Parameters!$L$10)*(2027-2025)/25)</f>
        <v>0.33500231959999993</v>
      </c>
      <c r="N26" s="32">
        <f>Trajectory!AC22*(Parameters!$L$10+(Parameters!$M$10-Parameters!$L$10)*(2028-2025)/25)</f>
        <v>0.36170129600799988</v>
      </c>
      <c r="O26" s="32">
        <f>Trajectory!AC23*(Parameters!$L$10+(Parameters!$M$10-Parameters!$L$10)*(2029-2025)/25)</f>
        <v>0.39049661774708061</v>
      </c>
      <c r="P26" s="32">
        <f>Trajectory!AC24*(Parameters!$L$10+(Parameters!$M$10-Parameters!$L$10)*(2030-2025)/25)</f>
        <v>0.42155094817919125</v>
      </c>
      <c r="Q26" s="32">
        <f>Trajectory!AC25*(Parameters!$L$10+(Parameters!$M$10-Parameters!$L$10)*(2031-2025)/25)</f>
        <v>0.4550394514448397</v>
      </c>
      <c r="R26" s="32">
        <f>Trajectory!AC26*(Parameters!$L$10+(Parameters!$M$10-Parameters!$L$10)*(2032-2025)/25)</f>
        <v>0.49115074552159882</v>
      </c>
      <c r="S26" s="32">
        <f>Trajectory!AC27*(Parameters!$L$10+(Parameters!$M$10-Parameters!$L$10)*(2033-2025)/25)</f>
        <v>0.53008792745702538</v>
      </c>
      <c r="T26" s="32">
        <f>Trajectory!AC28*(Parameters!$L$10+(Parameters!$M$10-Parameters!$L$10)*(2034-2025)/25)</f>
        <v>0.57206967621035432</v>
      </c>
      <c r="U26" s="32">
        <f>Trajectory!AC29*(Parameters!$L$10+(Parameters!$M$10-Parameters!$L$10)*(2035-2025)/25)</f>
        <v>0.61733143894461207</v>
      </c>
      <c r="V26" s="32">
        <f>Trajectory!AC30*(Parameters!$L$10+(Parameters!$M$10-Parameters!$L$10)*(2036-2025)/25)</f>
        <v>0.66612670704823251</v>
      </c>
      <c r="W26" s="32">
        <f>Trajectory!AC31*(Parameters!$L$10+(Parameters!$M$10-Parameters!$L$10)*(2037-2025)/25)</f>
        <v>0.71872838863553401</v>
      </c>
      <c r="X26" s="32">
        <f>Trajectory!AC32*(Parameters!$L$10+(Parameters!$M$10-Parameters!$L$10)*(2038-2025)/25)</f>
        <v>0.77543028478051845</v>
      </c>
      <c r="Y26" s="32">
        <f>Trajectory!AC33*(Parameters!$L$10+(Parameters!$M$10-Parameters!$L$10)*(2039-2025)/25)</f>
        <v>0.83654867728149274</v>
      </c>
      <c r="Z26" s="32">
        <f>Trajectory!AC34*(Parameters!$L$10+(Parameters!$M$10-Parameters!$L$10)*(2040-2025)/25)</f>
        <v>0.90242403633716939</v>
      </c>
      <c r="AA26" s="32">
        <f>Trajectory!AC35*(Parameters!$L$10+(Parameters!$M$10-Parameters!$L$10)*(2041-2025)/25)</f>
        <v>0.97342285714197019</v>
      </c>
      <c r="AB26" s="32">
        <f>Trajectory!AC36*(Parameters!$L$10+(Parameters!$M$10-Parameters!$L$10)*(2042-2025)/25)</f>
        <v>1.0499396350813837</v>
      </c>
      <c r="AC26" s="32">
        <f>Trajectory!AC37*(Parameters!$L$10+(Parameters!$M$10-Parameters!$L$10)*(2043-2025)/25)</f>
        <v>1.1323989899323306</v>
      </c>
      <c r="AD26" s="32">
        <f>Trajectory!AC38*(Parameters!$L$10+(Parameters!$M$10-Parameters!$L$10)*(2044-2025)/25)</f>
        <v>1.221257950250495</v>
      </c>
      <c r="AE26" s="32">
        <f>Trajectory!AC39*(Parameters!$L$10+(Parameters!$M$10-Parameters!$L$10)*(2045-2025)/25)</f>
        <v>1.3170084099625461</v>
      </c>
      <c r="AF26" s="32">
        <f>Trajectory!AC40*(Parameters!$L$10+(Parameters!$M$10-Parameters!$L$10)*(2046-2025)/25)</f>
        <v>0.53419208459923151</v>
      </c>
      <c r="AG26" s="32">
        <f>Trajectory!AC41*(Parameters!$L$10+(Parameters!$M$10-Parameters!$L$10)*(2047-2025)/25)</f>
        <v>0</v>
      </c>
      <c r="AH26" s="32">
        <f>Trajectory!AC42*(Parameters!$L$10+(Parameters!$M$10-Parameters!$L$10)*(2048-2025)/25)</f>
        <v>0</v>
      </c>
      <c r="AI26" s="32">
        <f>Trajectory!AC43*(Parameters!$L$10+(Parameters!$M$10-Parameters!$L$10)*(2049-2025)/25)</f>
        <v>0</v>
      </c>
      <c r="AJ26" s="32">
        <f>Trajectory!AC44*(Parameters!$L$10+(Parameters!$M$10-Parameters!$L$10)*(2050-2025)/25)</f>
        <v>0</v>
      </c>
    </row>
    <row r="27" spans="1:36" x14ac:dyDescent="0.3">
      <c r="A27" s="31">
        <v>275</v>
      </c>
      <c r="B27" s="31" t="s">
        <v>142</v>
      </c>
      <c r="C27" s="31" t="s">
        <v>143</v>
      </c>
      <c r="D27" s="31">
        <v>11</v>
      </c>
      <c r="E27" s="31" t="s">
        <v>128</v>
      </c>
      <c r="F27" s="31"/>
      <c r="G27" s="31" t="s">
        <v>129</v>
      </c>
      <c r="H27" s="31">
        <v>0</v>
      </c>
      <c r="I27" s="32">
        <f>Trajectory!AF17</f>
        <v>0.39610000000000012</v>
      </c>
      <c r="J27" s="32">
        <f>Trajectory!AF18</f>
        <v>0.61399999999999944</v>
      </c>
      <c r="K27" s="32">
        <f>Trajectory!AG19*(Parameters!$L$11+(Parameters!$M$11-Parameters!$L$11)*(2025-2025)/25)</f>
        <v>0.42874999999999996</v>
      </c>
      <c r="L27" s="32">
        <f>Trajectory!AG20*(Parameters!$L$11+(Parameters!$M$11-Parameters!$L$11)*(2026-2025)/25)</f>
        <v>0.45883796000000088</v>
      </c>
      <c r="M27" s="32">
        <f>Trajectory!AG21*(Parameters!$L$11+(Parameters!$M$11-Parameters!$L$11)*(2027-2025)/25)</f>
        <v>0.49099297520000146</v>
      </c>
      <c r="N27" s="32">
        <f>Trajectory!AG22*(Parameters!$L$11+(Parameters!$M$11-Parameters!$L$11)*(2028-2025)/25)</f>
        <v>0.52535477556800048</v>
      </c>
      <c r="O27" s="32">
        <f>Trajectory!AG23*(Parameters!$L$11+(Parameters!$M$11-Parameters!$L$11)*(2029-2025)/25)</f>
        <v>0.56207241726944124</v>
      </c>
      <c r="P27" s="32">
        <f>Trajectory!AG24*(Parameters!$L$11+(Parameters!$M$11-Parameters!$L$11)*(2030-2025)/25)</f>
        <v>0.60130489878300919</v>
      </c>
      <c r="Q27" s="32">
        <f>Trajectory!AG25*(Parameters!$L$11+(Parameters!$M$11-Parameters!$L$11)*(2031-2025)/25)</f>
        <v>0.64322181737603579</v>
      </c>
      <c r="R27" s="32">
        <f>Trajectory!AG26*(Parameters!$L$11+(Parameters!$M$11-Parameters!$L$11)*(2032-2025)/25)</f>
        <v>0.6880040685646045</v>
      </c>
      <c r="S27" s="32">
        <f>Trajectory!AG27*(Parameters!$L$11+(Parameters!$M$11-Parameters!$L$11)*(2033-2025)/25)</f>
        <v>0.7358445913532492</v>
      </c>
      <c r="T27" s="32">
        <f>Trajectory!AG28*(Parameters!$L$11+(Parameters!$M$11-Parameters!$L$11)*(2034-2025)/25)</f>
        <v>0.78694916222970168</v>
      </c>
      <c r="U27" s="32">
        <f>Trajectory!AG29*(Parameters!$L$11+(Parameters!$M$11-Parameters!$L$11)*(2035-2025)/25)</f>
        <v>0.84153724108245498</v>
      </c>
      <c r="V27" s="32">
        <f>Trajectory!AG30*(Parameters!$L$11+(Parameters!$M$11-Parameters!$L$11)*(2036-2025)/25)</f>
        <v>0.89984287241351013</v>
      </c>
      <c r="W27" s="32">
        <f>Trajectory!AG31*(Parameters!$L$11+(Parameters!$M$11-Parameters!$L$11)*(2037-2025)/25)</f>
        <v>0.96211564543639494</v>
      </c>
      <c r="X27" s="32">
        <f>Trajectory!AG32*(Parameters!$L$11+(Parameters!$M$11-Parameters!$L$11)*(2038-2025)/25)</f>
        <v>1.0286217168813414</v>
      </c>
      <c r="Y27" s="32">
        <f>Trajectory!AG33*(Parameters!$L$11+(Parameters!$M$11-Parameters!$L$11)*(2039-2025)/25)</f>
        <v>1.0996449005761062</v>
      </c>
      <c r="Z27" s="32">
        <f>Trajectory!AG34*(Parameters!$L$11+(Parameters!$M$11-Parameters!$L$11)*(2040-2025)/25)</f>
        <v>1.1754878281334635</v>
      </c>
      <c r="AA27" s="32">
        <f>Trajectory!AG35*(Parameters!$L$11+(Parameters!$M$11-Parameters!$L$11)*(2041-2025)/25)</f>
        <v>1.2564731853556443</v>
      </c>
      <c r="AB27" s="32">
        <f>Trajectory!AG36*(Parameters!$L$11+(Parameters!$M$11-Parameters!$L$11)*(2042-2025)/25)</f>
        <v>1.3429450292631986</v>
      </c>
      <c r="AC27" s="32">
        <f>Trajectory!AG37*(Parameters!$L$11+(Parameters!$M$11-Parameters!$L$11)*(2043-2025)/25)</f>
        <v>1.4352701909723806</v>
      </c>
      <c r="AD27" s="32">
        <f>Trajectory!AG38*(Parameters!$L$11+(Parameters!$M$11-Parameters!$L$11)*(2044-2025)/25)</f>
        <v>1.5338397699813109</v>
      </c>
      <c r="AE27" s="32">
        <f>Trajectory!AG39*(Parameters!$L$11+(Parameters!$M$11-Parameters!$L$11)*(2045-2025)/25)</f>
        <v>1.6390707257838237</v>
      </c>
      <c r="AF27" s="32">
        <f>Trajectory!AG40*(Parameters!$L$11+(Parameters!$M$11-Parameters!$L$11)*(2046-2025)/25)</f>
        <v>1.7514075731107039</v>
      </c>
      <c r="AG27" s="32">
        <f>Trajectory!AG41*(Parameters!$L$11+(Parameters!$M$11-Parameters!$L$11)*(2047-2025)/25)</f>
        <v>1.8713241875039788</v>
      </c>
      <c r="AH27" s="32">
        <f>Trajectory!AG42*(Parameters!$L$11+(Parameters!$M$11-Parameters!$L$11)*(2048-2025)/25)</f>
        <v>1.9993257283612429</v>
      </c>
      <c r="AI27" s="32">
        <f>Trajectory!AG43*(Parameters!$L$11+(Parameters!$M$11-Parameters!$L$11)*(2049-2025)/25)</f>
        <v>2.135950687046376</v>
      </c>
      <c r="AJ27" s="32">
        <f>Trajectory!AG44*(Parameters!$L$11+(Parameters!$M$11-Parameters!$L$11)*(2050-2025)/25)</f>
        <v>2.2817730681516255</v>
      </c>
    </row>
    <row r="28" spans="1:36" x14ac:dyDescent="0.3">
      <c r="A28" s="31">
        <v>500</v>
      </c>
      <c r="B28" s="31" t="s">
        <v>144</v>
      </c>
      <c r="C28" s="31" t="s">
        <v>145</v>
      </c>
      <c r="D28" s="31">
        <v>11</v>
      </c>
      <c r="E28" s="31" t="s">
        <v>128</v>
      </c>
      <c r="F28" s="31"/>
      <c r="G28" s="31" t="s">
        <v>129</v>
      </c>
      <c r="H28" s="31">
        <v>0</v>
      </c>
      <c r="I28" s="32">
        <f>Trajectory!AJ17</f>
        <v>0.23599999999999999</v>
      </c>
      <c r="J28" s="32">
        <f>Trajectory!AJ18</f>
        <v>0.6765000000000001</v>
      </c>
      <c r="K28" s="32">
        <f>Trajectory!AK19*(Parameters!$L$12+(Parameters!$M$12-Parameters!$L$12)*(2025-2025)/25)</f>
        <v>0.52520000000000044</v>
      </c>
      <c r="L28" s="32">
        <f>Trajectory!AK20*(Parameters!$L$12+(Parameters!$M$12-Parameters!$L$12)*(2026-2025)/25)</f>
        <v>0.58305280000000048</v>
      </c>
      <c r="M28" s="32">
        <f>Trajectory!AK21*(Parameters!$L$12+(Parameters!$M$12-Parameters!$L$12)*(2027-2025)/25)</f>
        <v>0.64722416000000138</v>
      </c>
      <c r="N28" s="32">
        <f>Trajectory!AK22*(Parameters!$L$12+(Parameters!$M$12-Parameters!$L$12)*(2028-2025)/25)</f>
        <v>0.71839926399999987</v>
      </c>
      <c r="O28" s="32">
        <f>Trajectory!AK23*(Parameters!$L$12+(Parameters!$M$12-Parameters!$L$12)*(2029-2025)/25)</f>
        <v>0.79733714720000071</v>
      </c>
      <c r="P28" s="32">
        <f>Trajectory!AK24*(Parameters!$L$12+(Parameters!$M$12-Parameters!$L$12)*(2030-2025)/25)</f>
        <v>0.88487861440000282</v>
      </c>
      <c r="Q28" s="32">
        <f>Trajectory!AK25*(Parameters!$L$12+(Parameters!$M$12-Parameters!$L$12)*(2031-2025)/25)</f>
        <v>0.98195500356800203</v>
      </c>
      <c r="R28" s="32">
        <f>Trajectory!AK26*(Parameters!$L$12+(Parameters!$M$12-Parameters!$L$12)*(2032-2025)/25)</f>
        <v>1.0895978844255991</v>
      </c>
      <c r="S28" s="32">
        <f>Trajectory!AK27*(Parameters!$L$12+(Parameters!$M$12-Parameters!$L$12)*(2033-2025)/25)</f>
        <v>1.2089497914190426</v>
      </c>
      <c r="T28" s="32">
        <f>Trajectory!AK28*(Parameters!$L$12+(Parameters!$M$12-Parameters!$L$12)*(2034-2025)/25)</f>
        <v>1.3412761009669136</v>
      </c>
      <c r="U28" s="32">
        <f>Trajectory!AK29*(Parameters!$L$12+(Parameters!$M$12-Parameters!$L$12)*(2035-2025)/25)</f>
        <v>1.487978174510171</v>
      </c>
      <c r="V28" s="32">
        <f>Trajectory!AK30*(Parameters!$L$12+(Parameters!$M$12-Parameters!$L$12)*(2036-2025)/25)</f>
        <v>1.6506079017524078</v>
      </c>
      <c r="W28" s="32">
        <f>Trajectory!AK31*(Parameters!$L$12+(Parameters!$M$12-Parameters!$L$12)*(2037-2025)/25)</f>
        <v>1.8308837926979922</v>
      </c>
      <c r="X28" s="32">
        <f>Trajectory!AK32*(Parameters!$L$12+(Parameters!$M$12-Parameters!$L$12)*(2038-2025)/25)</f>
        <v>2.030708782815172</v>
      </c>
      <c r="Y28" s="32">
        <f>Trajectory!AK33*(Parameters!$L$12+(Parameters!$M$12-Parameters!$L$12)*(2039-2025)/25)</f>
        <v>2.2521899330288031</v>
      </c>
      <c r="Z28" s="32">
        <f>Trajectory!AK34*(Parameters!$L$12+(Parameters!$M$12-Parameters!$L$12)*(2040-2025)/25)</f>
        <v>2.4976602254570093</v>
      </c>
      <c r="AA28" s="32">
        <f>Trajectory!AK35*(Parameters!$L$12+(Parameters!$M$12-Parameters!$L$12)*(2041-2025)/25)</f>
        <v>2.7697026770405699</v>
      </c>
      <c r="AB28" s="32">
        <f>Trajectory!AK36*(Parameters!$L$12+(Parameters!$M$12-Parameters!$L$12)*(2042-2025)/25)</f>
        <v>3.0711770166862777</v>
      </c>
      <c r="AC28" s="32">
        <f>Trajectory!AK37*(Parameters!$L$12+(Parameters!$M$12-Parameters!$L$12)*(2043-2025)/25)</f>
        <v>3.4052491974907215</v>
      </c>
      <c r="AD28" s="32">
        <f>Trajectory!AK38*(Parameters!$L$12+(Parameters!$M$12-Parameters!$L$12)*(2044-2025)/25)</f>
        <v>3.7754240442891653</v>
      </c>
      <c r="AE28" s="32">
        <f>Trajectory!AK39*(Parameters!$L$12+(Parameters!$M$12-Parameters!$L$12)*(2045-2025)/25)</f>
        <v>4.1855813684724232</v>
      </c>
      <c r="AF28" s="32">
        <f>Trajectory!AK40*(Parameters!$L$12+(Parameters!$M$12-Parameters!$L$12)*(2046-2025)/25)</f>
        <v>1.1647608295057299</v>
      </c>
      <c r="AG28" s="32">
        <f>Trajectory!AK41*(Parameters!$L$12+(Parameters!$M$12-Parameters!$L$12)*(2047-2025)/25)</f>
        <v>0</v>
      </c>
      <c r="AH28" s="32">
        <f>Trajectory!AK42*(Parameters!$L$12+(Parameters!$M$12-Parameters!$L$12)*(2048-2025)/25)</f>
        <v>0</v>
      </c>
      <c r="AI28" s="32">
        <f>Trajectory!AK43*(Parameters!$L$12+(Parameters!$M$12-Parameters!$L$12)*(2049-2025)/25)</f>
        <v>0</v>
      </c>
      <c r="AJ28" s="32">
        <f>Trajectory!AK44*(Parameters!$L$12+(Parameters!$M$12-Parameters!$L$12)*(2050-2025)/25)</f>
        <v>0</v>
      </c>
    </row>
    <row r="29" spans="1:36" x14ac:dyDescent="0.3">
      <c r="A29" s="31">
        <v>140</v>
      </c>
      <c r="B29" s="31" t="s">
        <v>146</v>
      </c>
      <c r="C29" s="31" t="s">
        <v>147</v>
      </c>
      <c r="D29" s="31">
        <v>11</v>
      </c>
      <c r="E29" s="31" t="s">
        <v>128</v>
      </c>
      <c r="F29" s="31"/>
      <c r="G29" s="31" t="s">
        <v>129</v>
      </c>
      <c r="H29" s="31">
        <v>0</v>
      </c>
      <c r="I29" s="32">
        <f>Trajectory!AN17</f>
        <v>0</v>
      </c>
      <c r="J29" s="32">
        <f>Trajectory!AN18</f>
        <v>0</v>
      </c>
      <c r="K29" s="32">
        <f>Trajectory!AO19*(Parameters!$L$13+(Parameters!$M$13-Parameters!$L$13)*(2025-2025)/25)</f>
        <v>7.0000000000000053E-3</v>
      </c>
      <c r="L29" s="32">
        <f>Trajectory!AO20*(Parameters!$L$13+(Parameters!$M$13-Parameters!$L$13)*(2026-2025)/25)</f>
        <v>7.7660000000000064E-3</v>
      </c>
      <c r="M29" s="32">
        <f>Trajectory!AO21*(Parameters!$L$13+(Parameters!$M$13-Parameters!$L$13)*(2027-2025)/25)</f>
        <v>8.615200000000019E-3</v>
      </c>
      <c r="N29" s="32">
        <f>Trajectory!AO22*(Parameters!$L$13+(Parameters!$M$13-Parameters!$L$13)*(2028-2025)/25)</f>
        <v>9.5565799999999916E-3</v>
      </c>
      <c r="O29" s="32">
        <f>Trajectory!AO23*(Parameters!$L$13+(Parameters!$M$13-Parameters!$L$13)*(2029-2025)/25)</f>
        <v>1.0600084000000011E-2</v>
      </c>
      <c r="P29" s="32">
        <f>Trajectory!AO24*(Parameters!$L$13+(Parameters!$M$13-Parameters!$L$13)*(2030-2025)/25)</f>
        <v>1.1756723000000007E-2</v>
      </c>
      <c r="Q29" s="32">
        <f>Trajectory!AO25*(Parameters!$L$13+(Parameters!$M$13-Parameters!$L$13)*(2031-2025)/25)</f>
        <v>1.3038688960000036E-2</v>
      </c>
      <c r="R29" s="32">
        <f>Trajectory!AO26*(Parameters!$L$13+(Parameters!$M$13-Parameters!$L$13)*(2032-2025)/25)</f>
        <v>1.4459480881999998E-2</v>
      </c>
      <c r="S29" s="32">
        <f>Trajectory!AO27*(Parameters!$L$13+(Parameters!$M$13-Parameters!$L$13)*(2033-2025)/25)</f>
        <v>1.6034044298800017E-2</v>
      </c>
      <c r="T29" s="32">
        <f>Trajectory!AO28*(Parameters!$L$13+(Parameters!$M$13-Parameters!$L$13)*(2034-2025)/25)</f>
        <v>1.7778925590140049E-2</v>
      </c>
      <c r="U29" s="32">
        <f>Trajectory!AO29*(Parameters!$L$13+(Parameters!$M$13-Parameters!$L$13)*(2035-2025)/25)</f>
        <v>1.9712442696760032E-2</v>
      </c>
      <c r="V29" s="32">
        <f>Trajectory!AO30*(Parameters!$L$13+(Parameters!$M$13-Parameters!$L$13)*(2036-2025)/25)</f>
        <v>2.1854873968802587E-2</v>
      </c>
      <c r="W29" s="32">
        <f>Trajectory!AO31*(Parameters!$L$13+(Parameters!$M$13-Parameters!$L$13)*(2037-2025)/25)</f>
        <v>2.4228667068286143E-2</v>
      </c>
      <c r="X29" s="32">
        <f>Trajectory!AO32*(Parameters!$L$13+(Parameters!$M$13-Parameters!$L$13)*(2038-2025)/25)</f>
        <v>2.6858670047978438E-2</v>
      </c>
      <c r="Y29" s="32">
        <f>Trajectory!AO33*(Parameters!$L$13+(Parameters!$M$13-Parameters!$L$13)*(2039-2025)/25)</f>
        <v>2.9772386952926146E-2</v>
      </c>
      <c r="Z29" s="32">
        <f>Trajectory!AO34*(Parameters!$L$13+(Parameters!$M$13-Parameters!$L$13)*(2040-2025)/25)</f>
        <v>3.3000260538383668E-2</v>
      </c>
      <c r="AA29" s="32">
        <f>Trajectory!AO35*(Parameters!$L$13+(Parameters!$M$13-Parameters!$L$13)*(2041-2025)/25)</f>
        <v>3.6575984971403477E-2</v>
      </c>
      <c r="AB29" s="32">
        <f>Trajectory!AO36*(Parameters!$L$13+(Parameters!$M$13-Parameters!$L$13)*(2042-2025)/25)</f>
        <v>4.0536851685643423E-2</v>
      </c>
      <c r="AC29" s="32">
        <f>Trajectory!AO37*(Parameters!$L$13+(Parameters!$M$13-Parameters!$L$13)*(2043-2025)/25)</f>
        <v>4.4924131893017437E-2</v>
      </c>
      <c r="AD29" s="32">
        <f>Trajectory!AO38*(Parameters!$L$13+(Parameters!$M$13-Parameters!$L$13)*(2044-2025)/25)</f>
        <v>4.978349962500949E-2</v>
      </c>
      <c r="AE29" s="32">
        <f>Trajectory!AO39*(Parameters!$L$13+(Parameters!$M$13-Parameters!$L$13)*(2045-2025)/25)</f>
        <v>5.516549958447E-2</v>
      </c>
      <c r="AF29" s="32">
        <f>Trajectory!AO40*(Parameters!$L$13+(Parameters!$M$13-Parameters!$L$13)*(2046-2025)/25)</f>
        <v>6.112606453957261E-2</v>
      </c>
      <c r="AG29" s="32">
        <f>Trajectory!AO41*(Parameters!$L$13+(Parameters!$M$13-Parameters!$L$13)*(2047-2025)/25)</f>
        <v>6.772708748985079E-2</v>
      </c>
      <c r="AH29" s="32">
        <f>Trajectory!AO42*(Parameters!$L$13+(Parameters!$M$13-Parameters!$L$13)*(2048-2025)/25)</f>
        <v>7.5037054384788984E-2</v>
      </c>
      <c r="AI29" s="32">
        <f>Trajectory!AO43*(Parameters!$L$13+(Parameters!$M$13-Parameters!$L$13)*(2049-2025)/25)</f>
        <v>8.3131743783816603E-2</v>
      </c>
      <c r="AJ29" s="32">
        <f>Trajectory!AO44*(Parameters!$L$13+(Parameters!$M$13-Parameters!$L$13)*(2050-2025)/25)</f>
        <v>9.2095000518801221E-2</v>
      </c>
    </row>
    <row r="30" spans="1:36" x14ac:dyDescent="0.3">
      <c r="A30" s="31">
        <v>457</v>
      </c>
      <c r="B30" s="31" t="s">
        <v>148</v>
      </c>
      <c r="C30" s="31" t="s">
        <v>149</v>
      </c>
      <c r="D30" s="31">
        <v>11</v>
      </c>
      <c r="E30" s="31" t="s">
        <v>128</v>
      </c>
      <c r="F30" s="31"/>
      <c r="G30" s="31" t="s">
        <v>129</v>
      </c>
      <c r="H30" s="31">
        <v>0</v>
      </c>
      <c r="I30" s="32">
        <f>Trajectory!AR17</f>
        <v>0.11499999999999999</v>
      </c>
      <c r="J30" s="32">
        <f>Trajectory!AR18</f>
        <v>8.049999999999996E-2</v>
      </c>
      <c r="K30" s="32">
        <f>Trajectory!AS19*(Parameters!$L$14+(Parameters!$M$14-Parameters!$L$14)*(2025-2025)/25)</f>
        <v>8.4500000000000075E-2</v>
      </c>
      <c r="L30" s="32">
        <f>Trajectory!AS20*(Parameters!$L$14+(Parameters!$M$14-Parameters!$L$14)*(2026-2025)/25)</f>
        <v>9.3808000000000155E-2</v>
      </c>
      <c r="M30" s="32">
        <f>Trajectory!AS21*(Parameters!$L$14+(Parameters!$M$14-Parameters!$L$14)*(2027-2025)/25)</f>
        <v>0.10413260000000014</v>
      </c>
      <c r="N30" s="32">
        <f>Trajectory!AS22*(Parameters!$L$14+(Parameters!$M$14-Parameters!$L$14)*(2028-2025)/25)</f>
        <v>0.11558403999999987</v>
      </c>
      <c r="O30" s="32">
        <f>Trajectory!AS23*(Parameters!$L$14+(Parameters!$M$14-Parameters!$L$14)*(2029-2025)/25)</f>
        <v>0.12828444200000022</v>
      </c>
      <c r="P30" s="32">
        <f>Trajectory!AS24*(Parameters!$L$14+(Parameters!$M$14-Parameters!$L$14)*(2030-2025)/25)</f>
        <v>0.1423690840000004</v>
      </c>
      <c r="Q30" s="32">
        <f>Trajectory!AS25*(Parameters!$L$14+(Parameters!$M$14-Parameters!$L$14)*(2031-2025)/25)</f>
        <v>0.15798780998000039</v>
      </c>
      <c r="R30" s="32">
        <f>Trajectory!AS26*(Parameters!$L$14+(Parameters!$M$14-Parameters!$L$14)*(2032-2025)/25)</f>
        <v>0.1753065903159996</v>
      </c>
      <c r="S30" s="32">
        <f>Trajectory!AS27*(Parameters!$L$14+(Parameters!$M$14-Parameters!$L$14)*(2033-2025)/25)</f>
        <v>0.19450924861940042</v>
      </c>
      <c r="T30" s="32">
        <f>Trajectory!AS28*(Parameters!$L$14+(Parameters!$M$14-Parameters!$L$14)*(2034-2025)/25)</f>
        <v>0.21579937268032007</v>
      </c>
      <c r="U30" s="32">
        <f>Trajectory!AS29*(Parameters!$L$14+(Parameters!$M$14-Parameters!$L$14)*(2035-2025)/25)</f>
        <v>0.23940242906723111</v>
      </c>
      <c r="V30" s="32">
        <f>Trajectory!AS30*(Parameters!$L$14+(Parameters!$M$14-Parameters!$L$14)*(2036-2025)/25)</f>
        <v>0.26556810300471895</v>
      </c>
      <c r="W30" s="32">
        <f>Trajectory!AS31*(Parameters!$L$14+(Parameters!$M$14-Parameters!$L$14)*(2037-2025)/25)</f>
        <v>0.29457288743903315</v>
      </c>
      <c r="X30" s="32">
        <f>Trajectory!AS32*(Parameters!$L$14+(Parameters!$M$14-Parameters!$L$14)*(2038-2025)/25)</f>
        <v>0.32672294773016408</v>
      </c>
      <c r="Y30" s="32">
        <f>Trajectory!AS33*(Parameters!$L$14+(Parameters!$M$14-Parameters!$L$14)*(2039-2025)/25)</f>
        <v>0.36235729120512861</v>
      </c>
      <c r="Z30" s="32">
        <f>Trajectory!AS34*(Parameters!$L$14+(Parameters!$M$14-Parameters!$L$14)*(2040-2025)/25)</f>
        <v>0.40185127389778602</v>
      </c>
      <c r="AA30" s="32">
        <f>Trajectory!AS35*(Parameters!$L$14+(Parameters!$M$14-Parameters!$L$14)*(2041-2025)/25)</f>
        <v>0.44562048021692396</v>
      </c>
      <c r="AB30" s="32">
        <f>Trajectory!AS36*(Parameters!$L$14+(Parameters!$M$14-Parameters!$L$14)*(2042-2025)/25)</f>
        <v>0.49412501506090972</v>
      </c>
      <c r="AC30" s="32">
        <f>Trajectory!AS37*(Parameters!$L$14+(Parameters!$M$14-Parameters!$L$14)*(2043-2025)/25)</f>
        <v>0.54787425207152685</v>
      </c>
      <c r="AD30" s="32">
        <f>Trajectory!AS38*(Parameters!$L$14+(Parameters!$M$14-Parameters!$L$14)*(2044-2025)/25)</f>
        <v>0.60743208633365453</v>
      </c>
      <c r="AE30" s="32">
        <f>Trajectory!AS39*(Parameters!$L$14+(Parameters!$M$14-Parameters!$L$14)*(2045-2025)/25)</f>
        <v>0.67342274492749488</v>
      </c>
      <c r="AF30" s="32">
        <f>Trajectory!AS40*(Parameters!$L$14+(Parameters!$M$14-Parameters!$L$14)*(2046-2025)/25)</f>
        <v>0.74653721437676501</v>
      </c>
      <c r="AG30" s="32">
        <f>Trajectory!AS41*(Parameters!$L$14+(Parameters!$M$14-Parameters!$L$14)*(2047-2025)/25)</f>
        <v>0.82754035026661543</v>
      </c>
      <c r="AH30" s="32">
        <f>Trajectory!AS42*(Parameters!$L$14+(Parameters!$M$14-Parameters!$L$14)*(2048-2025)/25)</f>
        <v>0.91727874119066533</v>
      </c>
      <c r="AI30" s="32">
        <f>Trajectory!AS43*(Parameters!$L$14+(Parameters!$M$14-Parameters!$L$14)*(2049-2025)/25)</f>
        <v>1.0166894067968644</v>
      </c>
      <c r="AJ30" s="32">
        <f>Trajectory!AS44*(Parameters!$L$14+(Parameters!$M$14-Parameters!$L$14)*(2050-2025)/25)</f>
        <v>1.1268094181123929</v>
      </c>
    </row>
    <row r="31" spans="1:36" x14ac:dyDescent="0.3">
      <c r="A31" s="31">
        <v>33</v>
      </c>
      <c r="B31" s="31" t="s">
        <v>150</v>
      </c>
      <c r="C31" s="31" t="s">
        <v>151</v>
      </c>
      <c r="D31" s="31">
        <v>11</v>
      </c>
      <c r="E31" s="31" t="s">
        <v>128</v>
      </c>
      <c r="F31" s="31"/>
      <c r="G31" s="31" t="s">
        <v>129</v>
      </c>
      <c r="H31" s="31">
        <v>0</v>
      </c>
      <c r="I31" s="32">
        <f>Trajectory!AV17</f>
        <v>0.47599999999999987</v>
      </c>
      <c r="J31" s="32">
        <f>Trajectory!AV18</f>
        <v>0.13570000000000015</v>
      </c>
      <c r="K31" s="32">
        <f>Trajectory!AW19*(Parameters!$L$15+(Parameters!$M$15-Parameters!$L$15)*(2025-2025)/25)</f>
        <v>0.30875000000000041</v>
      </c>
      <c r="L31" s="32">
        <f>Trajectory!AW20*(Parameters!$L$15+(Parameters!$M$15-Parameters!$L$15)*(2026-2025)/25)</f>
        <v>0.33665112000000014</v>
      </c>
      <c r="M31" s="32">
        <f>Trajectory!AW21*(Parameters!$L$15+(Parameters!$M$15-Parameters!$L$15)*(2027-2025)/25)</f>
        <v>0.36704041920000008</v>
      </c>
      <c r="N31" s="32">
        <f>Trajectory!AW22*(Parameters!$L$15+(Parameters!$M$15-Parameters!$L$15)*(2028-2025)/25)</f>
        <v>0.40013743910400085</v>
      </c>
      <c r="O31" s="32">
        <f>Trajectory!AW23*(Parameters!$L$15+(Parameters!$M$15-Parameters!$L$15)*(2029-2025)/25)</f>
        <v>0.43618092350975962</v>
      </c>
      <c r="P31" s="32">
        <f>Trajectory!AW24*(Parameters!$L$15+(Parameters!$M$15-Parameters!$L$15)*(2030-2025)/25)</f>
        <v>0.47543048581017733</v>
      </c>
      <c r="Q31" s="32">
        <f>Trajectory!AW25*(Parameters!$L$15+(Parameters!$M$15-Parameters!$L$15)*(2031-2025)/25)</f>
        <v>0.51816842016819664</v>
      </c>
      <c r="R31" s="32">
        <f>Trajectory!AW26*(Parameters!$L$15+(Parameters!$M$15-Parameters!$L$15)*(2032-2025)/25)</f>
        <v>0.56470166891431439</v>
      </c>
      <c r="S31" s="32">
        <f>Trajectory!AW27*(Parameters!$L$15+(Parameters!$M$15-Parameters!$L$15)*(2033-2025)/25)</f>
        <v>0.61536395957073553</v>
      </c>
      <c r="T31" s="32">
        <f>Trajectory!AW28*(Parameters!$L$15+(Parameters!$M$15-Parameters!$L$15)*(2034-2025)/25)</f>
        <v>0.67051812605113248</v>
      </c>
      <c r="U31" s="32">
        <f>Trajectory!AW29*(Parameters!$L$15+(Parameters!$M$15-Parameters!$L$15)*(2035-2025)/25)</f>
        <v>0.73055862982713859</v>
      </c>
      <c r="V31" s="32">
        <f>Trajectory!AW30*(Parameters!$L$15+(Parameters!$M$15-Parameters!$L$15)*(2036-2025)/25)</f>
        <v>0.79591429820057891</v>
      </c>
      <c r="W31" s="32">
        <f>Trajectory!AW31*(Parameters!$L$15+(Parameters!$M$15-Parameters!$L$15)*(2037-2025)/25)</f>
        <v>0.22575797146403265</v>
      </c>
      <c r="X31" s="32">
        <f>Trajectory!AW32*(Parameters!$L$15+(Parameters!$M$15-Parameters!$L$15)*(2038-2025)/25)</f>
        <v>0</v>
      </c>
      <c r="Y31" s="32">
        <f>Trajectory!AW33*(Parameters!$L$15+(Parameters!$M$15-Parameters!$L$15)*(2039-2025)/25)</f>
        <v>0</v>
      </c>
      <c r="Z31" s="32">
        <f>Trajectory!AW34*(Parameters!$L$15+(Parameters!$M$15-Parameters!$L$15)*(2040-2025)/25)</f>
        <v>0</v>
      </c>
      <c r="AA31" s="32">
        <f>Trajectory!AW35*(Parameters!$L$15+(Parameters!$M$15-Parameters!$L$15)*(2041-2025)/25)</f>
        <v>0</v>
      </c>
      <c r="AB31" s="32">
        <f>Trajectory!AW36*(Parameters!$L$15+(Parameters!$M$15-Parameters!$L$15)*(2042-2025)/25)</f>
        <v>0</v>
      </c>
      <c r="AC31" s="32">
        <f>Trajectory!AW37*(Parameters!$L$15+(Parameters!$M$15-Parameters!$L$15)*(2043-2025)/25)</f>
        <v>0</v>
      </c>
      <c r="AD31" s="32">
        <f>Trajectory!AW38*(Parameters!$L$15+(Parameters!$M$15-Parameters!$L$15)*(2044-2025)/25)</f>
        <v>0</v>
      </c>
      <c r="AE31" s="32">
        <f>Trajectory!AW39*(Parameters!$L$15+(Parameters!$M$15-Parameters!$L$15)*(2045-2025)/25)</f>
        <v>0</v>
      </c>
      <c r="AF31" s="32">
        <f>Trajectory!AW40*(Parameters!$L$15+(Parameters!$M$15-Parameters!$L$15)*(2046-2025)/25)</f>
        <v>0</v>
      </c>
      <c r="AG31" s="32">
        <f>Trajectory!AW41*(Parameters!$L$15+(Parameters!$M$15-Parameters!$L$15)*(2047-2025)/25)</f>
        <v>0</v>
      </c>
      <c r="AH31" s="32">
        <f>Trajectory!AW42*(Parameters!$L$15+(Parameters!$M$15-Parameters!$L$15)*(2048-2025)/25)</f>
        <v>0</v>
      </c>
      <c r="AI31" s="32">
        <f>Trajectory!AW43*(Parameters!$L$15+(Parameters!$M$15-Parameters!$L$15)*(2049-2025)/25)</f>
        <v>0</v>
      </c>
      <c r="AJ31" s="32">
        <f>Trajectory!AW44*(Parameters!$L$15+(Parameters!$M$15-Parameters!$L$15)*(2050-2025)/25)</f>
        <v>0</v>
      </c>
    </row>
    <row r="33" spans="1:36" x14ac:dyDescent="0.3">
      <c r="A33" s="35" t="s">
        <v>153</v>
      </c>
      <c r="B33" s="35"/>
      <c r="C33" s="35"/>
      <c r="D33" s="35"/>
      <c r="E33" s="35"/>
      <c r="F33" s="35"/>
      <c r="G33" s="35"/>
      <c r="H33" s="35"/>
    </row>
    <row r="34" spans="1:36" x14ac:dyDescent="0.3">
      <c r="A34" s="24" t="s">
        <v>119</v>
      </c>
      <c r="B34" s="24" t="s">
        <v>52</v>
      </c>
      <c r="C34" s="24" t="s">
        <v>120</v>
      </c>
      <c r="D34" s="24" t="s">
        <v>121</v>
      </c>
      <c r="E34" s="24" t="s">
        <v>122</v>
      </c>
      <c r="F34" s="24" t="s">
        <v>123</v>
      </c>
      <c r="G34" s="24" t="s">
        <v>124</v>
      </c>
      <c r="H34" s="24" t="s">
        <v>125</v>
      </c>
      <c r="I34" s="24">
        <v>2023</v>
      </c>
      <c r="J34" s="24">
        <v>2024</v>
      </c>
      <c r="K34" s="24">
        <v>2025</v>
      </c>
      <c r="L34" s="24">
        <v>2026</v>
      </c>
      <c r="M34" s="24">
        <v>2027</v>
      </c>
      <c r="N34" s="24">
        <v>2028</v>
      </c>
      <c r="O34" s="24">
        <v>2029</v>
      </c>
      <c r="P34" s="24">
        <v>2030</v>
      </c>
      <c r="Q34" s="24">
        <v>2031</v>
      </c>
      <c r="R34" s="24">
        <v>2032</v>
      </c>
      <c r="S34" s="24">
        <v>2033</v>
      </c>
      <c r="T34" s="24">
        <v>2034</v>
      </c>
      <c r="U34" s="24">
        <v>2035</v>
      </c>
      <c r="V34" s="24">
        <v>2036</v>
      </c>
      <c r="W34" s="24">
        <v>2037</v>
      </c>
      <c r="X34" s="24">
        <v>2038</v>
      </c>
      <c r="Y34" s="24">
        <v>2039</v>
      </c>
      <c r="Z34" s="24">
        <v>2040</v>
      </c>
      <c r="AA34" s="24">
        <v>2041</v>
      </c>
      <c r="AB34" s="24">
        <v>2042</v>
      </c>
      <c r="AC34" s="24">
        <v>2043</v>
      </c>
      <c r="AD34" s="24">
        <v>2044</v>
      </c>
      <c r="AE34" s="24">
        <v>2045</v>
      </c>
      <c r="AF34" s="24">
        <v>2046</v>
      </c>
      <c r="AG34" s="24">
        <v>2047</v>
      </c>
      <c r="AH34" s="24">
        <v>2048</v>
      </c>
      <c r="AI34" s="24">
        <v>2049</v>
      </c>
      <c r="AJ34" s="24">
        <v>2050</v>
      </c>
    </row>
    <row r="35" spans="1:36" x14ac:dyDescent="0.3">
      <c r="A35" s="31">
        <v>8</v>
      </c>
      <c r="B35" s="31" t="s">
        <v>126</v>
      </c>
      <c r="C35" s="31" t="s">
        <v>127</v>
      </c>
      <c r="D35" s="31">
        <v>11</v>
      </c>
      <c r="E35" s="31" t="s">
        <v>128</v>
      </c>
      <c r="F35" s="31"/>
      <c r="G35" s="31" t="s">
        <v>129</v>
      </c>
      <c r="H35" s="31">
        <v>0</v>
      </c>
      <c r="I35" s="32">
        <f>Trajectory!D17</f>
        <v>3.3</v>
      </c>
      <c r="J35" s="32">
        <f>Trajectory!D18</f>
        <v>5.6000000000000014</v>
      </c>
      <c r="K35" s="32">
        <f>MAX(Trajectory!D19,Trajectory!E19)*(Parameters!$L$4+(Parameters!$M$4-Parameters!$L$4)*(2025-2025)/25)</f>
        <v>4.6080000000000041</v>
      </c>
      <c r="L35" s="32">
        <f>MAX(Trajectory!D20,Trajectory!E20)*(Parameters!$L$4+(Parameters!$M$4-Parameters!$L$4)*(2026-2025)/25)</f>
        <v>4.9333248000000074</v>
      </c>
      <c r="M35" s="32">
        <f>MAX(Trajectory!D21,Trajectory!E21)*(Parameters!$L$4+(Parameters!$M$4-Parameters!$L$4)*(2027-2025)/25)</f>
        <v>5.2810997760000111</v>
      </c>
      <c r="N35" s="32">
        <f>MAX(Trajectory!D22,Trajectory!E22)*(Parameters!$L$4+(Parameters!$M$4-Parameters!$L$4)*(2028-2025)/25)</f>
        <v>5.652847779840001</v>
      </c>
      <c r="O35" s="32">
        <f>MAX(Trajectory!D23,Trajectory!E23)*(Parameters!$L$4+(Parameters!$M$4-Parameters!$L$4)*(2029-2025)/25)</f>
        <v>6.0501935849472233</v>
      </c>
      <c r="P35" s="32">
        <f>MAX(Trajectory!D24,Trajectory!E24)*(Parameters!$L$4+(Parameters!$M$4-Parameters!$L$4)*(2030-2025)/25)</f>
        <v>6.4748706346598377</v>
      </c>
      <c r="Q35" s="32">
        <f>MAX(Trajectory!D25,Trajectory!E25)*(Parameters!$L$4+(Parameters!$M$4-Parameters!$L$4)*(2031-2025)/25)</f>
        <v>6.9287282334322065</v>
      </c>
      <c r="R35" s="32">
        <f>MAX(Trajectory!D26,Trajectory!E26)*(Parameters!$L$4+(Parameters!$M$4-Parameters!$L$4)*(2032-2025)/25)</f>
        <v>7.4137392097724311</v>
      </c>
      <c r="S35" s="32">
        <f>MAX(Trajectory!D27,Trajectory!E27)*(Parameters!$L$4+(Parameters!$M$4-Parameters!$L$4)*(2033-2025)/25)</f>
        <v>7.9320080816331711</v>
      </c>
      <c r="T35" s="32">
        <f>MAX(Trajectory!D28,Trajectory!E28)*(Parameters!$L$4+(Parameters!$M$4-Parameters!$L$4)*(2034-2025)/25)</f>
        <v>8.4857797569620281</v>
      </c>
      <c r="U35" s="32">
        <f>MAX(Trajectory!D29,Trajectory!E29)*(Parameters!$L$4+(Parameters!$M$4-Parameters!$L$4)*(2035-2025)/25)</f>
        <v>9.0774488042364467</v>
      </c>
      <c r="V35" s="32">
        <f>MAX(Trajectory!D30,Trajectory!E30)*(Parameters!$L$4+(Parameters!$M$4-Parameters!$L$4)*(2036-2025)/25)</f>
        <v>9.7095693300586952</v>
      </c>
      <c r="W35" s="32">
        <f>MAX(Trajectory!D31,Trajectory!E31)*(Parameters!$L$4+(Parameters!$M$4-Parameters!$L$4)*(2037-2025)/25)</f>
        <v>10.384865503284425</v>
      </c>
      <c r="X35" s="32">
        <f>MAX(Trajectory!D32,Trajectory!E32)*(Parameters!$L$4+(Parameters!$M$4-Parameters!$L$4)*(2038-2025)/25)</f>
        <v>11.106242767708977</v>
      </c>
      <c r="Y35" s="32">
        <f>MAX(Trajectory!D33,Trajectory!E33)*(Parameters!$L$4+(Parameters!$M$4-Parameters!$L$4)*(2039-2025)/25)</f>
        <v>5.2969211040109707</v>
      </c>
      <c r="Z35" s="32">
        <f>MAX(Trajectory!D34,Trajectory!E34)*(Parameters!$L$4+(Parameters!$M$4-Parameters!$L$4)*(2040-2025)/25)</f>
        <v>5.0222009279977478</v>
      </c>
      <c r="AA35" s="32">
        <f>MAX(Trajectory!D35,Trajectory!E35)*(Parameters!$L$4+(Parameters!$M$4-Parameters!$L$4)*(2041-2025)/25)</f>
        <v>4.6961952394400965</v>
      </c>
      <c r="AB35" s="32">
        <f>MAX(Trajectory!D36,Trajectory!E36)*(Parameters!$L$4+(Parameters!$M$4-Parameters!$L$4)*(2042-2025)/25)</f>
        <v>4.3352512047025824</v>
      </c>
      <c r="AC35" s="32">
        <f>MAX(Trajectory!D37,Trajectory!E37)*(Parameters!$L$4+(Parameters!$M$4-Parameters!$L$4)*(2043-2025)/25)</f>
        <v>3.9551846063386931</v>
      </c>
      <c r="AD35" s="32">
        <f>MAX(Trajectory!D38,Trajectory!E38)*(Parameters!$L$4+(Parameters!$M$4-Parameters!$L$4)*(2044-2025)/25)</f>
        <v>3.5701511252905229</v>
      </c>
      <c r="AE35" s="32">
        <f>MAX(Trajectory!D39,Trajectory!E39)*(Parameters!$L$4+(Parameters!$M$4-Parameters!$L$4)*(2045-2025)/25)</f>
        <v>3.1919411967289988</v>
      </c>
      <c r="AF35" s="32">
        <f>MAX(Trajectory!D40,Trajectory!E40)*(Parameters!$L$4+(Parameters!$M$4-Parameters!$L$4)*(2046-2025)/25)</f>
        <v>2.8296805426755429</v>
      </c>
      <c r="AG35" s="32">
        <f>MAX(Trajectory!D41,Trajectory!E41)*(Parameters!$L$4+(Parameters!$M$4-Parameters!$L$4)*(2047-2025)/25)</f>
        <v>2.4898587493921687</v>
      </c>
      <c r="AH35" s="32">
        <f>MAX(Trajectory!D42,Trajectory!E42)*(Parameters!$L$4+(Parameters!$M$4-Parameters!$L$4)*(2048-2025)/25)</f>
        <v>2.1765833649786748</v>
      </c>
      <c r="AI35" s="32">
        <f>MAX(Trajectory!D43,Trajectory!E43)*(Parameters!$L$4+(Parameters!$M$4-Parameters!$L$4)*(2049-2025)/25)</f>
        <v>1.8919594389024368</v>
      </c>
      <c r="AJ35" s="32">
        <f>MAX(Trajectory!D44,Trajectory!E44)*(Parameters!$L$4+(Parameters!$M$4-Parameters!$L$4)*(2050-2025)/25)</f>
        <v>1.6365129463907238</v>
      </c>
    </row>
    <row r="36" spans="1:36" x14ac:dyDescent="0.3">
      <c r="A36" s="31">
        <v>453</v>
      </c>
      <c r="B36" s="31" t="s">
        <v>130</v>
      </c>
      <c r="C36" s="31" t="s">
        <v>131</v>
      </c>
      <c r="D36" s="31">
        <v>11</v>
      </c>
      <c r="E36" s="31" t="s">
        <v>128</v>
      </c>
      <c r="F36" s="31"/>
      <c r="G36" s="31" t="s">
        <v>129</v>
      </c>
      <c r="H36" s="31">
        <v>0</v>
      </c>
      <c r="I36" s="32">
        <f>Trajectory!H17</f>
        <v>4</v>
      </c>
      <c r="J36" s="32">
        <f>Trajectory!H18</f>
        <v>3</v>
      </c>
      <c r="K36" s="32">
        <f>MAX(Trajectory!H19,Trajectory!I19)*(Parameters!$L$5+(Parameters!$M$5-Parameters!$L$5)*(2025-2025)/25)</f>
        <v>4.7040000000000015</v>
      </c>
      <c r="L36" s="32">
        <f>MAX(Trajectory!H20,Trajectory!I20)*(Parameters!$L$5+(Parameters!$M$5-Parameters!$L$5)*(2026-2025)/25)</f>
        <v>4.9885919999999997</v>
      </c>
      <c r="M36" s="32">
        <f>MAX(Trajectory!H21,Trajectory!I21)*(Parameters!$L$5+(Parameters!$M$5-Parameters!$L$5)*(2027-2025)/25)</f>
        <v>5.2898832000000127</v>
      </c>
      <c r="N36" s="32">
        <f>MAX(Trajectory!H22,Trajectory!I22)*(Parameters!$L$5+(Parameters!$M$5-Parameters!$L$5)*(2028-2025)/25)</f>
        <v>5.6088320399999878</v>
      </c>
      <c r="O36" s="32">
        <f>MAX(Trajectory!H23,Trajectory!I23)*(Parameters!$L$5+(Parameters!$M$5-Parameters!$L$5)*(2029-2025)/25)</f>
        <v>5.9464510560000061</v>
      </c>
      <c r="P36" s="32">
        <f>MAX(Trajectory!H24,Trajectory!I24)*(Parameters!$L$5+(Parameters!$M$5-Parameters!$L$5)*(2030-2025)/25)</f>
        <v>6.3038098934999889</v>
      </c>
      <c r="Q36" s="32">
        <f>MAX(Trajectory!H25,Trajectory!I25)*(Parameters!$L$5+(Parameters!$M$5-Parameters!$L$5)*(2031-2025)/25)</f>
        <v>6.6820384871100176</v>
      </c>
      <c r="R36" s="32">
        <f>MAX(Trajectory!H26,Trajectory!I26)*(Parameters!$L$5+(Parameters!$M$5-Parameters!$L$5)*(2032-2025)/25)</f>
        <v>7.0823304153472364</v>
      </c>
      <c r="S36" s="32">
        <f>MAX(Trajectory!H27,Trajectory!I27)*(Parameters!$L$5+(Parameters!$M$5-Parameters!$L$5)*(2033-2025)/25)</f>
        <v>7.5059464401904661</v>
      </c>
      <c r="T36" s="32">
        <f>MAX(Trajectory!H28,Trajectory!I28)*(Parameters!$L$5+(Parameters!$M$5-Parameters!$L$5)*(2034-2025)/25)</f>
        <v>7.9542182414795928</v>
      </c>
      <c r="U36" s="32">
        <f>MAX(Trajectory!H29,Trajectory!I29)*(Parameters!$L$5+(Parameters!$M$5-Parameters!$L$5)*(2035-2025)/25)</f>
        <v>8.4285523567972085</v>
      </c>
      <c r="V36" s="32">
        <f>MAX(Trajectory!H30,Trajectory!I30)*(Parameters!$L$5+(Parameters!$M$5-Parameters!$L$5)*(2036-2025)/25)</f>
        <v>8.9304343380428151</v>
      </c>
      <c r="W36" s="32">
        <f>MAX(Trajectory!H31,Trajectory!I31)*(Parameters!$L$5+(Parameters!$M$5-Parameters!$L$5)*(2037-2025)/25)</f>
        <v>9.4614331365211086</v>
      </c>
      <c r="X36" s="32">
        <f>MAX(Trajectory!H32,Trajectory!I32)*(Parameters!$L$5+(Parameters!$M$5-Parameters!$L$5)*(2038-2025)/25)</f>
        <v>10.023205729001942</v>
      </c>
      <c r="Y36" s="32">
        <f>MAX(Trajectory!H33,Trajectory!I33)*(Parameters!$L$5+(Parameters!$M$5-Parameters!$L$5)*(2039-2025)/25)</f>
        <v>10.617501997889825</v>
      </c>
      <c r="Z36" s="32">
        <f>MAX(Trajectory!H34,Trajectory!I34)*(Parameters!$L$5+(Parameters!$M$5-Parameters!$L$5)*(2040-2025)/25)</f>
        <v>4.708602413125285</v>
      </c>
      <c r="AA36" s="32">
        <f>MAX(Trajectory!H35,Trajectory!I35)*(Parameters!$L$5+(Parameters!$M$5-Parameters!$L$5)*(2041-2025)/25)</f>
        <v>4.312382885535671</v>
      </c>
      <c r="AB36" s="32">
        <f>MAX(Trajectory!H36,Trajectory!I36)*(Parameters!$L$5+(Parameters!$M$5-Parameters!$L$5)*(2042-2025)/25)</f>
        <v>3.9741923831945054</v>
      </c>
      <c r="AC36" s="32">
        <f>MAX(Trajectory!H37,Trajectory!I37)*(Parameters!$L$5+(Parameters!$M$5-Parameters!$L$5)*(2043-2025)/25)</f>
        <v>3.6319040568209688</v>
      </c>
      <c r="AD36" s="32">
        <f>MAX(Trajectory!H38,Trajectory!I38)*(Parameters!$L$5+(Parameters!$M$5-Parameters!$L$5)*(2044-2025)/25)</f>
        <v>3.2939143648826859</v>
      </c>
      <c r="AE36" s="32">
        <f>MAX(Trajectory!H39,Trajectory!I39)*(Parameters!$L$5+(Parameters!$M$5-Parameters!$L$5)*(2045-2025)/25)</f>
        <v>2.966961933373907</v>
      </c>
      <c r="AF36" s="32">
        <f>MAX(Trajectory!H40,Trajectory!I40)*(Parameters!$L$5+(Parameters!$M$5-Parameters!$L$5)*(2046-2025)/25)</f>
        <v>2.6561196619367506</v>
      </c>
      <c r="AG36" s="32">
        <f>MAX(Trajectory!H41,Trajectory!I41)*(Parameters!$L$5+(Parameters!$M$5-Parameters!$L$5)*(2047-2025)/25)</f>
        <v>2.3649089411386188</v>
      </c>
      <c r="AH36" s="32">
        <f>MAX(Trajectory!H42,Trajectory!I42)*(Parameters!$L$5+(Parameters!$M$5-Parameters!$L$5)*(2048-2025)/25)</f>
        <v>2.09549054668862</v>
      </c>
      <c r="AI36" s="32">
        <f>MAX(Trajectory!H43,Trajectory!I43)*(Parameters!$L$5+(Parameters!$M$5-Parameters!$L$5)*(2049-2025)/25)</f>
        <v>1.8488927645549393</v>
      </c>
      <c r="AJ36" s="32">
        <f>MAX(Trajectory!H44,Trajectory!I44)*(Parameters!$L$5+(Parameters!$M$5-Parameters!$L$5)*(2050-2025)/25)</f>
        <v>1.6252464249955594</v>
      </c>
    </row>
    <row r="37" spans="1:36" x14ac:dyDescent="0.3">
      <c r="A37" s="31">
        <v>13</v>
      </c>
      <c r="B37" s="31" t="s">
        <v>132</v>
      </c>
      <c r="C37" s="31" t="s">
        <v>133</v>
      </c>
      <c r="D37" s="31">
        <v>11</v>
      </c>
      <c r="E37" s="31" t="s">
        <v>128</v>
      </c>
      <c r="F37" s="31"/>
      <c r="G37" s="31" t="s">
        <v>129</v>
      </c>
      <c r="H37" s="31">
        <v>0</v>
      </c>
      <c r="I37" s="32">
        <f>Trajectory!L17</f>
        <v>0.8199999999999994</v>
      </c>
      <c r="J37" s="32">
        <f>Trajectory!L18</f>
        <v>0</v>
      </c>
      <c r="K37" s="32">
        <f>MAX(Trajectory!L19,Trajectory!M19)*(Parameters!$L$6+(Parameters!$M$6-Parameters!$L$6)*(2025-2025)/25)</f>
        <v>0.76348153371238237</v>
      </c>
      <c r="L37" s="32">
        <f>MAX(Trajectory!L20,Trajectory!M20)*(Parameters!$L$6+(Parameters!$M$6-Parameters!$L$6)*(2026-2025)/25)</f>
        <v>0.90414116589936833</v>
      </c>
      <c r="M37" s="32">
        <f>MAX(Trajectory!L21,Trajectory!M21)*(Parameters!$L$6+(Parameters!$M$6-Parameters!$L$6)*(2027-2025)/25)</f>
        <v>1.0623046036132751</v>
      </c>
      <c r="N37" s="32">
        <f>MAX(Trajectory!L22,Trajectory!M22)*(Parameters!$L$6+(Parameters!$M$6-Parameters!$L$6)*(2028-2025)/25)</f>
        <v>1.2367544758697546</v>
      </c>
      <c r="O37" s="32">
        <f>MAX(Trajectory!L23,Trajectory!M23)*(Parameters!$L$6+(Parameters!$M$6-Parameters!$L$6)*(2029-2025)/25)</f>
        <v>1.4247448259261326</v>
      </c>
      <c r="P37" s="32">
        <f>MAX(Trajectory!L24,Trajectory!M24)*(Parameters!$L$6+(Parameters!$M$6-Parameters!$L$6)*(2030-2025)/25)</f>
        <v>1.62169790350845</v>
      </c>
      <c r="Q37" s="32">
        <f>MAX(Trajectory!L25,Trajectory!M25)*(Parameters!$L$6+(Parameters!$M$6-Parameters!$L$6)*(2031-2025)/25)</f>
        <v>1.821051790302197</v>
      </c>
      <c r="R37" s="32">
        <f>MAX(Trajectory!L26,Trajectory!M26)*(Parameters!$L$6+(Parameters!$M$6-Parameters!$L$6)*(2032-2025)/25)</f>
        <v>2.0143657270853756</v>
      </c>
      <c r="S37" s="32">
        <f>MAX(Trajectory!L27,Trajectory!M27)*(Parameters!$L$6+(Parameters!$M$6-Parameters!$L$6)*(2033-2025)/25)</f>
        <v>2.1917739842254358</v>
      </c>
      <c r="T37" s="32">
        <f>MAX(Trajectory!L28,Trajectory!M28)*(Parameters!$L$6+(Parameters!$M$6-Parameters!$L$6)*(2034-2025)/25)</f>
        <v>2.3428213807092506</v>
      </c>
      <c r="U37" s="32">
        <f>MAX(Trajectory!L29,Trajectory!M29)*(Parameters!$L$6+(Parameters!$M$6-Parameters!$L$6)*(2035-2025)/25)</f>
        <v>2.4576156115537771</v>
      </c>
      <c r="V37" s="32">
        <f>MAX(Trajectory!L30,Trajectory!M30)*(Parameters!$L$6+(Parameters!$M$6-Parameters!$L$6)*(2036-2025)/25)</f>
        <v>2.528117324141534</v>
      </c>
      <c r="W37" s="32">
        <f>MAX(Trajectory!L31,Trajectory!M31)*(Parameters!$L$6+(Parameters!$M$6-Parameters!$L$6)*(2037-2025)/25)</f>
        <v>2.5493026648466452</v>
      </c>
      <c r="X37" s="32">
        <f>MAX(Trajectory!L32,Trajectory!M32)*(Parameters!$L$6+(Parameters!$M$6-Parameters!$L$6)*(2038-2025)/25)</f>
        <v>2.5199213594523182</v>
      </c>
      <c r="Y37" s="32">
        <f>MAX(Trajectory!L33,Trajectory!M33)*(Parameters!$L$6+(Parameters!$M$6-Parameters!$L$6)*(2039-2025)/25)</f>
        <v>2.4426575190917412</v>
      </c>
      <c r="Z37" s="32">
        <f>MAX(Trajectory!L34,Trajectory!M34)*(Parameters!$L$6+(Parameters!$M$6-Parameters!$L$6)*(2040-2025)/25)</f>
        <v>2.3236572325599227</v>
      </c>
      <c r="AA37" s="32">
        <f>MAX(Trajectory!L35,Trajectory!M35)*(Parameters!$L$6+(Parameters!$M$6-Parameters!$L$6)*(2041-2025)/25)</f>
        <v>2.171556116193194</v>
      </c>
      <c r="AB37" s="32">
        <f>MAX(Trajectory!L36,Trajectory!M36)*(Parameters!$L$6+(Parameters!$M$6-Parameters!$L$6)*(2042-2025)/25)</f>
        <v>1.9962550237715044</v>
      </c>
      <c r="AC37" s="32">
        <f>MAX(Trajectory!L37,Trajectory!M37)*(Parameters!$L$6+(Parameters!$M$6-Parameters!$L$6)*(2043-2025)/25)</f>
        <v>1.8077161924402989</v>
      </c>
      <c r="AD37" s="32">
        <f>MAX(Trajectory!L38,Trajectory!M38)*(Parameters!$L$6+(Parameters!$M$6-Parameters!$L$6)*(2044-2025)/25)</f>
        <v>1.6149926513465334</v>
      </c>
      <c r="AE37" s="32">
        <f>MAX(Trajectory!L39,Trajectory!M39)*(Parameters!$L$6+(Parameters!$M$6-Parameters!$L$6)*(2045-2025)/25)</f>
        <v>1.5791322803361405</v>
      </c>
      <c r="AF37" s="32">
        <f>MAX(Trajectory!L40,Trajectory!M40)*(Parameters!$L$6+(Parameters!$M$6-Parameters!$L$6)*(2046-2025)/25)</f>
        <v>1.7187521837715833</v>
      </c>
      <c r="AG37" s="32">
        <f>MAX(Trajectory!L41,Trajectory!M41)*(Parameters!$L$6+(Parameters!$M$6-Parameters!$L$6)*(2047-2025)/25)</f>
        <v>1.870604825162532</v>
      </c>
      <c r="AH37" s="32">
        <f>MAX(Trajectory!L42,Trajectory!M42)*(Parameters!$L$6+(Parameters!$M$6-Parameters!$L$6)*(2048-2025)/25)</f>
        <v>2.035753875199906</v>
      </c>
      <c r="AI37" s="32">
        <f>MAX(Trajectory!L43,Trajectory!M43)*(Parameters!$L$6+(Parameters!$M$6-Parameters!$L$6)*(2049-2025)/25)</f>
        <v>2.2153549023622077</v>
      </c>
      <c r="AJ37" s="32">
        <f>MAX(Trajectory!L44,Trajectory!M44)*(Parameters!$L$6+(Parameters!$M$6-Parameters!$L$6)*(2050-2025)/25)</f>
        <v>2.4106632690691985</v>
      </c>
    </row>
    <row r="38" spans="1:36" x14ac:dyDescent="0.3">
      <c r="A38" s="31">
        <v>77</v>
      </c>
      <c r="B38" s="31" t="s">
        <v>134</v>
      </c>
      <c r="C38" s="31" t="s">
        <v>135</v>
      </c>
      <c r="D38" s="31">
        <v>11</v>
      </c>
      <c r="E38" s="31" t="s">
        <v>128</v>
      </c>
      <c r="F38" s="31"/>
      <c r="G38" s="31" t="s">
        <v>129</v>
      </c>
      <c r="H38" s="31">
        <v>0</v>
      </c>
      <c r="I38" s="32">
        <f>Trajectory!P17</f>
        <v>0</v>
      </c>
      <c r="J38" s="32">
        <f>Trajectory!P18</f>
        <v>0</v>
      </c>
      <c r="K38" s="32">
        <f>MAX(Trajectory!P19,Trajectory!Q19)*(Parameters!$L$7+(Parameters!$M$7-Parameters!$L$7)*(2025-2025)/25)</f>
        <v>0.73855392370084061</v>
      </c>
      <c r="L38" s="32">
        <f>MAX(Trajectory!P20,Trajectory!Q20)*(Parameters!$L$7+(Parameters!$M$7-Parameters!$L$7)*(2026-2025)/25)</f>
        <v>0.88045948692412646</v>
      </c>
      <c r="M38" s="32">
        <f>MAX(Trajectory!P21,Trajectory!Q21)*(Parameters!$L$7+(Parameters!$M$7-Parameters!$L$7)*(2027-2025)/25)</f>
        <v>1.0425832676598061</v>
      </c>
      <c r="N38" s="32">
        <f>MAX(Trajectory!P22,Trajectory!Q22)*(Parameters!$L$7+(Parameters!$M$7-Parameters!$L$7)*(2028-2025)/25)</f>
        <v>1.2248640661096601</v>
      </c>
      <c r="O38" s="32">
        <f>MAX(Trajectory!P23,Trajectory!Q23)*(Parameters!$L$7+(Parameters!$M$7-Parameters!$L$7)*(2029-2025)/25)</f>
        <v>1.4258941333215147</v>
      </c>
      <c r="P38" s="32">
        <f>MAX(Trajectory!P24,Trajectory!Q24)*(Parameters!$L$7+(Parameters!$M$7-Parameters!$L$7)*(2030-2025)/25)</f>
        <v>1.6425040987283586</v>
      </c>
      <c r="Q38" s="32">
        <f>MAX(Trajectory!P25,Trajectory!Q25)*(Parameters!$L$7+(Parameters!$M$7-Parameters!$L$7)*(2031-2025)/25)</f>
        <v>1.8694141067957972</v>
      </c>
      <c r="R38" s="32">
        <f>MAX(Trajectory!P26,Trajectory!Q26)*(Parameters!$L$7+(Parameters!$M$7-Parameters!$L$7)*(2032-2025)/25)</f>
        <v>2.0990589393908725</v>
      </c>
      <c r="S38" s="32">
        <f>MAX(Trajectory!P27,Trajectory!Q27)*(Parameters!$L$7+(Parameters!$M$7-Parameters!$L$7)*(2033-2025)/25)</f>
        <v>2.3217101987043316</v>
      </c>
      <c r="T38" s="32">
        <f>MAX(Trajectory!P28,Trajectory!Q28)*(Parameters!$L$7+(Parameters!$M$7-Parameters!$L$7)*(2034-2025)/25)</f>
        <v>2.5260000889830101</v>
      </c>
      <c r="U38" s="32">
        <f>MAX(Trajectory!P29,Trajectory!Q29)*(Parameters!$L$7+(Parameters!$M$7-Parameters!$L$7)*(2035-2025)/25)</f>
        <v>2.6998847490988611</v>
      </c>
      <c r="V38" s="32">
        <f>MAX(Trajectory!P30,Trajectory!Q30)*(Parameters!$L$7+(Parameters!$M$7-Parameters!$L$7)*(2036-2025)/25)</f>
        <v>2.831972214756723</v>
      </c>
      <c r="W38" s="32">
        <f>MAX(Trajectory!P31,Trajectory!Q31)*(Parameters!$L$7+(Parameters!$M$7-Parameters!$L$7)*(2037-2025)/25)</f>
        <v>2.9130085362815668</v>
      </c>
      <c r="X38" s="32">
        <f>MAX(Trajectory!P32,Trajectory!Q32)*(Parameters!$L$7+(Parameters!$M$7-Parameters!$L$7)*(2038-2025)/25)</f>
        <v>2.9372163634528921</v>
      </c>
      <c r="Y38" s="32">
        <f>MAX(Trajectory!P33,Trajectory!Q33)*(Parameters!$L$7+(Parameters!$M$7-Parameters!$L$7)*(2039-2025)/25)</f>
        <v>2.9031670469712667</v>
      </c>
      <c r="Z38" s="32">
        <f>MAX(Trajectory!P34,Trajectory!Q34)*(Parameters!$L$7+(Parameters!$M$7-Parameters!$L$7)*(2040-2025)/25)</f>
        <v>2.8139643863847179</v>
      </c>
      <c r="AA38" s="32">
        <f>MAX(Trajectory!P35,Trajectory!Q35)*(Parameters!$L$7+(Parameters!$M$7-Parameters!$L$7)*(2041-2025)/25)</f>
        <v>2.67669895792804</v>
      </c>
      <c r="AB38" s="32">
        <f>MAX(Trajectory!P36,Trajectory!Q36)*(Parameters!$L$7+(Parameters!$M$7-Parameters!$L$7)*(2042-2025)/25)</f>
        <v>2.5013267470281568</v>
      </c>
      <c r="AC38" s="32">
        <f>MAX(Trajectory!P37,Trajectory!Q37)*(Parameters!$L$7+(Parameters!$M$7-Parameters!$L$7)*(2043-2025)/25)</f>
        <v>2.2992582023963686</v>
      </c>
      <c r="AD38" s="32">
        <f>MAX(Trajectory!P38,Trajectory!Q38)*(Parameters!$L$7+(Parameters!$M$7-Parameters!$L$7)*(2044-2025)/25)</f>
        <v>2.0819713959066841</v>
      </c>
      <c r="AE38" s="32">
        <f>MAX(Trajectory!P39,Trajectory!Q39)*(Parameters!$L$7+(Parameters!$M$7-Parameters!$L$7)*(2045-2025)/25)</f>
        <v>1.8598943470894567</v>
      </c>
      <c r="AF38" s="32">
        <f>MAX(Trajectory!P40,Trajectory!Q40)*(Parameters!$L$7+(Parameters!$M$7-Parameters!$L$7)*(2046-2025)/25)</f>
        <v>1.6416822662574115</v>
      </c>
      <c r="AG38" s="32">
        <f>MAX(Trajectory!P41,Trajectory!Q41)*(Parameters!$L$7+(Parameters!$M$7-Parameters!$L$7)*(2047-2025)/25)</f>
        <v>1.4338977540385431</v>
      </c>
      <c r="AH38" s="32">
        <f>MAX(Trajectory!P42,Trajectory!Q42)*(Parameters!$L$7+(Parameters!$M$7-Parameters!$L$7)*(2048-2025)/25)</f>
        <v>1.2410205663382725</v>
      </c>
      <c r="AI38" s="32">
        <f>MAX(Trajectory!P43,Trajectory!Q43)*(Parameters!$L$7+(Parameters!$M$7-Parameters!$L$7)*(2049-2025)/25)</f>
        <v>1.0656780985026788</v>
      </c>
      <c r="AJ38" s="32">
        <f>MAX(Trajectory!P44,Trajectory!Q44)*(Parameters!$L$7+(Parameters!$M$7-Parameters!$L$7)*(2050-2025)/25)</f>
        <v>0.90898944455489072</v>
      </c>
    </row>
    <row r="39" spans="1:36" x14ac:dyDescent="0.3">
      <c r="A39" s="31">
        <v>295</v>
      </c>
      <c r="B39" s="31" t="s">
        <v>136</v>
      </c>
      <c r="C39" s="31" t="s">
        <v>137</v>
      </c>
      <c r="D39" s="31">
        <v>11</v>
      </c>
      <c r="E39" s="31" t="s">
        <v>128</v>
      </c>
      <c r="F39" s="31"/>
      <c r="G39" s="31" t="s">
        <v>129</v>
      </c>
      <c r="H39" s="31">
        <v>0</v>
      </c>
      <c r="I39" s="32">
        <f>Trajectory!T17</f>
        <v>1.5</v>
      </c>
      <c r="J39" s="32">
        <f>Trajectory!T18</f>
        <v>0.59999999999999964</v>
      </c>
      <c r="K39" s="32">
        <f>MAX(Trajectory!T19,Trajectory!U19)*(Parameters!$L$8+(Parameters!$M$8-Parameters!$L$8)*(2025-2025)/25)</f>
        <v>1.4760000000000004</v>
      </c>
      <c r="L39" s="32">
        <f>MAX(Trajectory!T20,Trajectory!U20)*(Parameters!$L$8+(Parameters!$M$8-Parameters!$L$8)*(2026-2025)/25)</f>
        <v>1.5802056000000031</v>
      </c>
      <c r="M39" s="32">
        <f>MAX(Trajectory!T21,Trajectory!U21)*(Parameters!$L$8+(Parameters!$M$8-Parameters!$L$8)*(2027-2025)/25)</f>
        <v>1.6916022720000043</v>
      </c>
      <c r="N39" s="32">
        <f>MAX(Trajectory!T22,Trajectory!U22)*(Parameters!$L$8+(Parameters!$M$8-Parameters!$L$8)*(2028-2025)/25)</f>
        <v>1.8106778044800003</v>
      </c>
      <c r="O39" s="32">
        <f>MAX(Trajectory!T23,Trajectory!U23)*(Parameters!$L$8+(Parameters!$M$8-Parameters!$L$8)*(2029-2025)/25)</f>
        <v>1.9379526326784047</v>
      </c>
      <c r="P39" s="32">
        <f>MAX(Trajectory!T24,Trajectory!U24)*(Parameters!$L$8+(Parameters!$M$8-Parameters!$L$8)*(2030-2025)/25)</f>
        <v>2.0739820001644804</v>
      </c>
      <c r="Q39" s="32">
        <f>MAX(Trajectory!T25,Trajectory!U25)*(Parameters!$L$8+(Parameters!$M$8-Parameters!$L$8)*(2031-2025)/25)</f>
        <v>2.2193582622712564</v>
      </c>
      <c r="R39" s="32">
        <f>MAX(Trajectory!T26,Trajectory!U26)*(Parameters!$L$8+(Parameters!$M$8-Parameters!$L$8)*(2032-2025)/25)</f>
        <v>2.3747133406302314</v>
      </c>
      <c r="S39" s="32">
        <f>MAX(Trajectory!T27,Trajectory!U27)*(Parameters!$L$8+(Parameters!$M$8-Parameters!$L$8)*(2033-2025)/25)</f>
        <v>2.5407213386481247</v>
      </c>
      <c r="T39" s="32">
        <f>MAX(Trajectory!T28,Trajectory!U28)*(Parameters!$L$8+(Parameters!$M$8-Parameters!$L$8)*(2034-2025)/25)</f>
        <v>2.7181013284018953</v>
      </c>
      <c r="U39" s="32">
        <f>MAX(Trajectory!T29,Trajectory!U29)*(Parameters!$L$8+(Parameters!$M$8-Parameters!$L$8)*(2035-2025)/25)</f>
        <v>2.9076203201069868</v>
      </c>
      <c r="V39" s="32">
        <f>MAX(Trajectory!T30,Trajectory!U30)*(Parameters!$L$8+(Parameters!$M$8-Parameters!$L$8)*(2036-2025)/25)</f>
        <v>3.1100964260344326</v>
      </c>
      <c r="W39" s="32">
        <f>MAX(Trajectory!T31,Trajectory!U31)*(Parameters!$L$8+(Parameters!$M$8-Parameters!$L$8)*(2037-2025)/25)</f>
        <v>3.3264022315207935</v>
      </c>
      <c r="X39" s="32">
        <f>MAX(Trajectory!T32,Trajectory!U32)*(Parameters!$L$8+(Parameters!$M$8-Parameters!$L$8)*(2038-2025)/25)</f>
        <v>3.5574683865317835</v>
      </c>
      <c r="Y39" s="32">
        <f>MAX(Trajectory!T33,Trajectory!U33)*(Parameters!$L$8+(Parameters!$M$8-Parameters!$L$8)*(2039-2025)/25)</f>
        <v>3.8042874321106432</v>
      </c>
      <c r="Z39" s="32">
        <f>MAX(Trajectory!T34,Trajectory!U34)*(Parameters!$L$8+(Parameters!$M$8-Parameters!$L$8)*(2040-2025)/25)</f>
        <v>4.0679178769674014</v>
      </c>
      <c r="AA39" s="32">
        <f>MAX(Trajectory!T35,Trajectory!U35)*(Parameters!$L$8+(Parameters!$M$8-Parameters!$L$8)*(2041-2025)/25)</f>
        <v>4.3494885404514321</v>
      </c>
      <c r="AB39" s="32">
        <f>MAX(Trajectory!T36,Trajectory!U36)*(Parameters!$L$8+(Parameters!$M$8-Parameters!$L$8)*(2042-2025)/25)</f>
        <v>3.7882136800595578</v>
      </c>
      <c r="AC39" s="32">
        <f>MAX(Trajectory!T37,Trajectory!U37)*(Parameters!$L$8+(Parameters!$M$8-Parameters!$L$8)*(2043-2025)/25)</f>
        <v>1.7736679169912182</v>
      </c>
      <c r="AD39" s="32">
        <f>MAX(Trajectory!T38,Trajectory!U38)*(Parameters!$L$8+(Parameters!$M$8-Parameters!$L$8)*(2044-2025)/25)</f>
        <v>1.6010030226122844</v>
      </c>
      <c r="AE39" s="32">
        <f>MAX(Trajectory!T39,Trajectory!U39)*(Parameters!$L$8+(Parameters!$M$8-Parameters!$L$8)*(2045-2025)/25)</f>
        <v>1.4313980906194774</v>
      </c>
      <c r="AF39" s="32">
        <f>MAX(Trajectory!T40,Trajectory!U40)*(Parameters!$L$8+(Parameters!$M$8-Parameters!$L$8)*(2046-2025)/25)</f>
        <v>1.2689454711758494</v>
      </c>
      <c r="AG39" s="32">
        <f>MAX(Trajectory!T41,Trajectory!U41)*(Parameters!$L$8+(Parameters!$M$8-Parameters!$L$8)*(2047-2025)/25)</f>
        <v>1.1165553624372708</v>
      </c>
      <c r="AH39" s="32">
        <f>MAX(Trajectory!T42,Trajectory!U42)*(Parameters!$L$8+(Parameters!$M$8-Parameters!$L$8)*(2048-2025)/25)</f>
        <v>0.97606975839568366</v>
      </c>
      <c r="AI39" s="32">
        <f>MAX(Trajectory!T43,Trajectory!U43)*(Parameters!$L$8+(Parameters!$M$8-Parameters!$L$8)*(2049-2025)/25)</f>
        <v>0.84843265005937418</v>
      </c>
      <c r="AJ39" s="32">
        <f>MAX(Trajectory!T44,Trajectory!U44)*(Parameters!$L$8+(Parameters!$M$8-Parameters!$L$8)*(2050-2025)/25)</f>
        <v>0.73387990641502654</v>
      </c>
    </row>
    <row r="40" spans="1:36" x14ac:dyDescent="0.3">
      <c r="A40" s="31">
        <v>327</v>
      </c>
      <c r="B40" s="31" t="s">
        <v>138</v>
      </c>
      <c r="C40" s="31" t="s">
        <v>139</v>
      </c>
      <c r="D40" s="31">
        <v>11</v>
      </c>
      <c r="E40" s="31" t="s">
        <v>128</v>
      </c>
      <c r="F40" s="31"/>
      <c r="G40" s="31" t="s">
        <v>129</v>
      </c>
      <c r="H40" s="31">
        <v>0</v>
      </c>
      <c r="I40" s="32">
        <f>Trajectory!X17</f>
        <v>0.70900000000000052</v>
      </c>
      <c r="J40" s="32">
        <f>Trajectory!X18</f>
        <v>0.18399999999999928</v>
      </c>
      <c r="K40" s="32">
        <f>MAX(Trajectory!X19,Trajectory!Y19)*(Parameters!$L$9+(Parameters!$M$9-Parameters!$L$9)*(2025-2025)/25)</f>
        <v>0.75354844060614179</v>
      </c>
      <c r="L40" s="32">
        <f>MAX(Trajectory!X20,Trajectory!Y20)*(Parameters!$L$9+(Parameters!$M$9-Parameters!$L$9)*(2026-2025)/25)</f>
        <v>0.84629069624560216</v>
      </c>
      <c r="M40" s="32">
        <f>MAX(Trajectory!X21,Trajectory!Y21)*(Parameters!$L$9+(Parameters!$M$9-Parameters!$L$9)*(2027-2025)/25)</f>
        <v>0.94321137427212787</v>
      </c>
      <c r="N40" s="32">
        <f>MAX(Trajectory!X22,Trajectory!Y22)*(Parameters!$L$9+(Parameters!$M$9-Parameters!$L$9)*(2028-2025)/25)</f>
        <v>1.042419151982972</v>
      </c>
      <c r="O40" s="32">
        <f>MAX(Trajectory!X23,Trajectory!Y23)*(Parameters!$L$9+(Parameters!$M$9-Parameters!$L$9)*(2029-2025)/25)</f>
        <v>1.141512312822087</v>
      </c>
      <c r="P40" s="32">
        <f>MAX(Trajectory!X24,Trajectory!Y24)*(Parameters!$L$9+(Parameters!$M$9-Parameters!$L$9)*(2030-2025)/25)</f>
        <v>1.2376329382433895</v>
      </c>
      <c r="Q40" s="32">
        <f>MAX(Trajectory!X25,Trajectory!Y25)*(Parameters!$L$9+(Parameters!$M$9-Parameters!$L$9)*(2031-2025)/25)</f>
        <v>1.32758362627612</v>
      </c>
      <c r="R40" s="32">
        <f>MAX(Trajectory!X26,Trajectory!Y26)*(Parameters!$L$9+(Parameters!$M$9-Parameters!$L$9)*(2032-2025)/25)</f>
        <v>1.4080080842346396</v>
      </c>
      <c r="S40" s="32">
        <f>MAX(Trajectory!X27,Trajectory!Y27)*(Parameters!$L$9+(Parameters!$M$9-Parameters!$L$9)*(2033-2025)/25)</f>
        <v>1.4756254961205835</v>
      </c>
      <c r="T40" s="32">
        <f>MAX(Trajectory!X28,Trajectory!Y28)*(Parameters!$L$9+(Parameters!$M$9-Parameters!$L$9)*(2034-2025)/25)</f>
        <v>1.5274958902123561</v>
      </c>
      <c r="U40" s="32">
        <f>MAX(Trajectory!X29,Trajectory!Y29)*(Parameters!$L$9+(Parameters!$M$9-Parameters!$L$9)*(2035-2025)/25)</f>
        <v>1.561283066460065</v>
      </c>
      <c r="V40" s="32">
        <f>MAX(Trajectory!X30,Trajectory!Y30)*(Parameters!$L$9+(Parameters!$M$9-Parameters!$L$9)*(2036-2025)/25)</f>
        <v>1.5754765488824245</v>
      </c>
      <c r="W40" s="32">
        <f>MAX(Trajectory!X31,Trajectory!Y31)*(Parameters!$L$9+(Parameters!$M$9-Parameters!$L$9)*(2037-2025)/25)</f>
        <v>1.5695370615026136</v>
      </c>
      <c r="X40" s="32">
        <f>MAX(Trajectory!X32,Trajectory!Y32)*(Parameters!$L$9+(Parameters!$M$9-Parameters!$L$9)*(2038-2025)/25)</f>
        <v>1.5439414913113463</v>
      </c>
      <c r="Y40" s="32">
        <f>MAX(Trajectory!X33,Trajectory!Y33)*(Parameters!$L$9+(Parameters!$M$9-Parameters!$L$9)*(2039-2025)/25)</f>
        <v>1.6268741376343117</v>
      </c>
      <c r="Z40" s="32">
        <f>MAX(Trajectory!X34,Trajectory!Y34)*(Parameters!$L$9+(Parameters!$M$9-Parameters!$L$9)*(2040-2025)/25)</f>
        <v>1.7396136612071995</v>
      </c>
      <c r="AA40" s="32">
        <f>MAX(Trajectory!X35,Trajectory!Y35)*(Parameters!$L$9+(Parameters!$M$9-Parameters!$L$9)*(2041-2025)/25)</f>
        <v>1.8600251807133725</v>
      </c>
      <c r="AB40" s="32">
        <f>MAX(Trajectory!X36,Trajectory!Y36)*(Parameters!$L$9+(Parameters!$M$9-Parameters!$L$9)*(2042-2025)/25)</f>
        <v>1.9886234733799353</v>
      </c>
      <c r="AC40" s="32">
        <f>MAX(Trajectory!X37,Trajectory!Y37)*(Parameters!$L$9+(Parameters!$M$9-Parameters!$L$9)*(2043-2025)/25)</f>
        <v>2.1259574705159223</v>
      </c>
      <c r="AD40" s="32">
        <f>MAX(Trajectory!X38,Trajectory!Y38)*(Parameters!$L$9+(Parameters!$M$9-Parameters!$L$9)*(2044-2025)/25)</f>
        <v>2.272612502804046</v>
      </c>
      <c r="AE40" s="32">
        <f>MAX(Trajectory!X39,Trajectory!Y39)*(Parameters!$L$9+(Parameters!$M$9-Parameters!$L$9)*(2045-2025)/25)</f>
        <v>2.4292126920729107</v>
      </c>
      <c r="AF40" s="32">
        <f>MAX(Trajectory!X40,Trajectory!Y40)*(Parameters!$L$9+(Parameters!$M$9-Parameters!$L$9)*(2046-2025)/25)</f>
        <v>2.5964234990439214</v>
      </c>
      <c r="AG40" s="32">
        <f>MAX(Trajectory!X41,Trajectory!Y41)*(Parameters!$L$9+(Parameters!$M$9-Parameters!$L$9)*(2047-2025)/25)</f>
        <v>2.7749544371600017</v>
      </c>
      <c r="AH40" s="32">
        <f>MAX(Trajectory!X42,Trajectory!Y42)*(Parameters!$L$9+(Parameters!$M$9-Parameters!$L$9)*(2048-2025)/25)</f>
        <v>0.83127527910924581</v>
      </c>
      <c r="AI40" s="32">
        <f>MAX(Trajectory!X43,Trajectory!Y43)*(Parameters!$L$9+(Parameters!$M$9-Parameters!$L$9)*(2049-2025)/25)</f>
        <v>0.65436808606471131</v>
      </c>
      <c r="AJ40" s="32">
        <f>MAX(Trajectory!X44,Trajectory!Y44)*(Parameters!$L$9+(Parameters!$M$9-Parameters!$L$9)*(2050-2025)/25)</f>
        <v>0.57974423696546751</v>
      </c>
    </row>
    <row r="41" spans="1:36" x14ac:dyDescent="0.3">
      <c r="A41" s="31">
        <v>414</v>
      </c>
      <c r="B41" s="31" t="s">
        <v>140</v>
      </c>
      <c r="C41" s="31" t="s">
        <v>141</v>
      </c>
      <c r="D41" s="31">
        <v>11</v>
      </c>
      <c r="E41" s="31" t="s">
        <v>128</v>
      </c>
      <c r="F41" s="31"/>
      <c r="G41" s="31" t="s">
        <v>129</v>
      </c>
      <c r="H41" s="31">
        <v>0</v>
      </c>
      <c r="I41" s="32">
        <f>Trajectory!AB17</f>
        <v>0.29259999999999997</v>
      </c>
      <c r="J41" s="32">
        <f>Trajectory!AB18</f>
        <v>0.33529999999999993</v>
      </c>
      <c r="K41" s="32">
        <f>MAX(Trajectory!AB19,Trajectory!AC19)*(Parameters!$L$10+(Parameters!$M$10-Parameters!$L$10)*(2025-2025)/25)</f>
        <v>0.28730000000000011</v>
      </c>
      <c r="L41" s="32">
        <f>MAX(Trajectory!AB20,Trajectory!AC20)*(Parameters!$L$10+(Parameters!$M$10-Parameters!$L$10)*(2026-2025)/25)</f>
        <v>0.31024863999999996</v>
      </c>
      <c r="M41" s="32">
        <f>MAX(Trajectory!AB21,Trajectory!AC21)*(Parameters!$L$10+(Parameters!$M$10-Parameters!$L$10)*(2027-2025)/25)</f>
        <v>0.33500231959999993</v>
      </c>
      <c r="N41" s="32">
        <f>MAX(Trajectory!AB22,Trajectory!AC22)*(Parameters!$L$10+(Parameters!$M$10-Parameters!$L$10)*(2028-2025)/25)</f>
        <v>0.36170129600799988</v>
      </c>
      <c r="O41" s="32">
        <f>MAX(Trajectory!AB23,Trajectory!AC23)*(Parameters!$L$10+(Parameters!$M$10-Parameters!$L$10)*(2029-2025)/25)</f>
        <v>0.39937040211651631</v>
      </c>
      <c r="P41" s="32">
        <f>MAX(Trajectory!AB24,Trajectory!AC24)*(Parameters!$L$10+(Parameters!$M$10-Parameters!$L$10)*(2030-2025)/25)</f>
        <v>0.45016321553362509</v>
      </c>
      <c r="Q41" s="32">
        <f>MAX(Trajectory!AB25,Trajectory!AC25)*(Parameters!$L$10+(Parameters!$M$10-Parameters!$L$10)*(2031-2025)/25)</f>
        <v>0.50202906537434544</v>
      </c>
      <c r="R41" s="32">
        <f>MAX(Trajectory!AB26,Trajectory!AC26)*(Parameters!$L$10+(Parameters!$M$10-Parameters!$L$10)*(2032-2025)/25)</f>
        <v>0.5533126373041144</v>
      </c>
      <c r="S41" s="32">
        <f>MAX(Trajectory!AB27,Trajectory!AC27)*(Parameters!$L$10+(Parameters!$M$10-Parameters!$L$10)*(2033-2025)/25)</f>
        <v>0.60204368646187945</v>
      </c>
      <c r="T41" s="32">
        <f>MAX(Trajectory!AB28,Trajectory!AC28)*(Parameters!$L$10+(Parameters!$M$10-Parameters!$L$10)*(2034-2025)/25)</f>
        <v>0.64605226327088283</v>
      </c>
      <c r="U41" s="32">
        <f>MAX(Trajectory!AB29,Trajectory!AC29)*(Parameters!$L$10+(Parameters!$M$10-Parameters!$L$10)*(2035-2025)/25)</f>
        <v>0.68314054557616299</v>
      </c>
      <c r="V41" s="32">
        <f>MAX(Trajectory!AB30,Trajectory!AC30)*(Parameters!$L$10+(Parameters!$M$10-Parameters!$L$10)*(2036-2025)/25)</f>
        <v>0.71129469503728093</v>
      </c>
      <c r="W41" s="32">
        <f>MAX(Trajectory!AB31,Trajectory!AC31)*(Parameters!$L$10+(Parameters!$M$10-Parameters!$L$10)*(2037-2025)/25)</f>
        <v>0.72890620704964015</v>
      </c>
      <c r="X41" s="32">
        <f>MAX(Trajectory!AB32,Trajectory!AC32)*(Parameters!$L$10+(Parameters!$M$10-Parameters!$L$10)*(2038-2025)/25)</f>
        <v>0.77543028478051845</v>
      </c>
      <c r="Y41" s="32">
        <f>MAX(Trajectory!AB33,Trajectory!AC33)*(Parameters!$L$10+(Parameters!$M$10-Parameters!$L$10)*(2039-2025)/25)</f>
        <v>0.83654867728149274</v>
      </c>
      <c r="Z41" s="32">
        <f>MAX(Trajectory!AB34,Trajectory!AC34)*(Parameters!$L$10+(Parameters!$M$10-Parameters!$L$10)*(2040-2025)/25)</f>
        <v>0.90242403633716939</v>
      </c>
      <c r="AA41" s="32">
        <f>MAX(Trajectory!AB35,Trajectory!AC35)*(Parameters!$L$10+(Parameters!$M$10-Parameters!$L$10)*(2041-2025)/25)</f>
        <v>0.97342285714197019</v>
      </c>
      <c r="AB41" s="32">
        <f>MAX(Trajectory!AB36,Trajectory!AC36)*(Parameters!$L$10+(Parameters!$M$10-Parameters!$L$10)*(2042-2025)/25)</f>
        <v>1.0499396350813837</v>
      </c>
      <c r="AC41" s="32">
        <f>MAX(Trajectory!AB37,Trajectory!AC37)*(Parameters!$L$10+(Parameters!$M$10-Parameters!$L$10)*(2043-2025)/25)</f>
        <v>1.1323989899323306</v>
      </c>
      <c r="AD41" s="32">
        <f>MAX(Trajectory!AB38,Trajectory!AC38)*(Parameters!$L$10+(Parameters!$M$10-Parameters!$L$10)*(2044-2025)/25)</f>
        <v>1.221257950250495</v>
      </c>
      <c r="AE41" s="32">
        <f>MAX(Trajectory!AB39,Trajectory!AC39)*(Parameters!$L$10+(Parameters!$M$10-Parameters!$L$10)*(2045-2025)/25)</f>
        <v>1.3170084099625461</v>
      </c>
      <c r="AF41" s="32">
        <f>MAX(Trajectory!AB40,Trajectory!AC40)*(Parameters!$L$10+(Parameters!$M$10-Parameters!$L$10)*(2046-2025)/25)</f>
        <v>0.53419208459923151</v>
      </c>
      <c r="AG41" s="32">
        <f>MAX(Trajectory!AB41,Trajectory!AC41)*(Parameters!$L$10+(Parameters!$M$10-Parameters!$L$10)*(2047-2025)/25)</f>
        <v>0.41082487251861138</v>
      </c>
      <c r="AH41" s="32">
        <f>MAX(Trajectory!AB42,Trajectory!AC42)*(Parameters!$L$10+(Parameters!$M$10-Parameters!$L$10)*(2048-2025)/25)</f>
        <v>0.36396078734351472</v>
      </c>
      <c r="AI41" s="32">
        <f>MAX(Trajectory!AB43,Trajectory!AC43)*(Parameters!$L$10+(Parameters!$M$10-Parameters!$L$10)*(2049-2025)/25)</f>
        <v>0.32004549766410267</v>
      </c>
      <c r="AJ41" s="32">
        <f>MAX(Trajectory!AB44,Trajectory!AC44)*(Parameters!$L$10+(Parameters!$M$10-Parameters!$L$10)*(2050-2025)/25)</f>
        <v>0.27959958428563425</v>
      </c>
    </row>
    <row r="42" spans="1:36" x14ac:dyDescent="0.3">
      <c r="A42" s="31">
        <v>275</v>
      </c>
      <c r="B42" s="31" t="s">
        <v>142</v>
      </c>
      <c r="C42" s="31" t="s">
        <v>143</v>
      </c>
      <c r="D42" s="31">
        <v>11</v>
      </c>
      <c r="E42" s="31" t="s">
        <v>128</v>
      </c>
      <c r="F42" s="31"/>
      <c r="G42" s="31" t="s">
        <v>129</v>
      </c>
      <c r="H42" s="31">
        <v>0</v>
      </c>
      <c r="I42" s="32">
        <f>Trajectory!AF17</f>
        <v>0.39610000000000012</v>
      </c>
      <c r="J42" s="32">
        <f>Trajectory!AF18</f>
        <v>0.61399999999999944</v>
      </c>
      <c r="K42" s="32">
        <f>MAX(Trajectory!AF19,Trajectory!AG19)*(Parameters!$L$11+(Parameters!$M$11-Parameters!$L$11)*(2025-2025)/25)</f>
        <v>0.56103673147655631</v>
      </c>
      <c r="L42" s="32">
        <f>MAX(Trajectory!AF20,Trajectory!AG20)*(Parameters!$L$11+(Parameters!$M$11-Parameters!$L$11)*(2026-2025)/25)</f>
        <v>0.63412555033432916</v>
      </c>
      <c r="M42" s="32">
        <f>MAX(Trajectory!AF21,Trajectory!AG21)*(Parameters!$L$11+(Parameters!$M$11-Parameters!$L$11)*(2027-2025)/25)</f>
        <v>0.71182353431484224</v>
      </c>
      <c r="N42" s="32">
        <f>MAX(Trajectory!AF22,Trajectory!AG22)*(Parameters!$L$11+(Parameters!$M$11-Parameters!$L$11)*(2028-2025)/25)</f>
        <v>0.79296596630934135</v>
      </c>
      <c r="O42" s="32">
        <f>MAX(Trajectory!AF23,Trajectory!AG23)*(Parameters!$L$11+(Parameters!$M$11-Parameters!$L$11)*(2029-2025)/25)</f>
        <v>0.87596059830067374</v>
      </c>
      <c r="P42" s="32">
        <f>MAX(Trajectory!AF24,Trajectory!AG24)*(Parameters!$L$11+(Parameters!$M$11-Parameters!$L$11)*(2030-2025)/25)</f>
        <v>0.95878952047321975</v>
      </c>
      <c r="Q42" s="32">
        <f>MAX(Trajectory!AF25,Trajectory!AG25)*(Parameters!$L$11+(Parameters!$M$11-Parameters!$L$11)*(2031-2025)/25)</f>
        <v>1.0390554797608929</v>
      </c>
      <c r="R42" s="32">
        <f>MAX(Trajectory!AF26,Trajectory!AG26)*(Parameters!$L$11+(Parameters!$M$11-Parameters!$L$11)*(2032-2025)/25)</f>
        <v>1.1140805022089519</v>
      </c>
      <c r="S42" s="32">
        <f>MAX(Trajectory!AF27,Trajectory!AG27)*(Parameters!$L$11+(Parameters!$M$11-Parameters!$L$11)*(2033-2025)/25)</f>
        <v>1.1810578008080046</v>
      </c>
      <c r="T42" s="32">
        <f>MAX(Trajectory!AF28,Trajectory!AG28)*(Parameters!$L$11+(Parameters!$M$11-Parameters!$L$11)*(2034-2025)/25)</f>
        <v>1.2372483598817845</v>
      </c>
      <c r="U42" s="32">
        <f>MAX(Trajectory!AF29,Trajectory!AG29)*(Parameters!$L$11+(Parameters!$M$11-Parameters!$L$11)*(2035-2025)/25)</f>
        <v>1.2802030027969737</v>
      </c>
      <c r="V42" s="32">
        <f>MAX(Trajectory!AF30,Trajectory!AG30)*(Parameters!$L$11+(Parameters!$M$11-Parameters!$L$11)*(2036-2025)/25)</f>
        <v>1.3079818848254012</v>
      </c>
      <c r="W42" s="32">
        <f>MAX(Trajectory!AF31,Trajectory!AG31)*(Parameters!$L$11+(Parameters!$M$11-Parameters!$L$11)*(2037-2025)/25)</f>
        <v>1.319339180496818</v>
      </c>
      <c r="X42" s="32">
        <f>MAX(Trajectory!AF32,Trajectory!AG32)*(Parameters!$L$11+(Parameters!$M$11-Parameters!$L$11)*(2038-2025)/25)</f>
        <v>1.3138433736733954</v>
      </c>
      <c r="Y42" s="32">
        <f>MAX(Trajectory!AF33,Trajectory!AG33)*(Parameters!$L$11+(Parameters!$M$11-Parameters!$L$11)*(2039-2025)/25)</f>
        <v>1.2919132358706704</v>
      </c>
      <c r="Z42" s="32">
        <f>MAX(Trajectory!AF34,Trajectory!AG34)*(Parameters!$L$11+(Parameters!$M$11-Parameters!$L$11)*(2040-2025)/25)</f>
        <v>1.2547642311704656</v>
      </c>
      <c r="AA42" s="32">
        <f>MAX(Trajectory!AF35,Trajectory!AG35)*(Parameters!$L$11+(Parameters!$M$11-Parameters!$L$11)*(2041-2025)/25)</f>
        <v>1.2564731853556443</v>
      </c>
      <c r="AB42" s="32">
        <f>MAX(Trajectory!AF36,Trajectory!AG36)*(Parameters!$L$11+(Parameters!$M$11-Parameters!$L$11)*(2042-2025)/25)</f>
        <v>1.3429450292631986</v>
      </c>
      <c r="AC42" s="32">
        <f>MAX(Trajectory!AF37,Trajectory!AG37)*(Parameters!$L$11+(Parameters!$M$11-Parameters!$L$11)*(2043-2025)/25)</f>
        <v>1.4352701909723806</v>
      </c>
      <c r="AD42" s="32">
        <f>MAX(Trajectory!AF38,Trajectory!AG38)*(Parameters!$L$11+(Parameters!$M$11-Parameters!$L$11)*(2044-2025)/25)</f>
        <v>1.5338397699813109</v>
      </c>
      <c r="AE42" s="32">
        <f>MAX(Trajectory!AF39,Trajectory!AG39)*(Parameters!$L$11+(Parameters!$M$11-Parameters!$L$11)*(2045-2025)/25)</f>
        <v>1.6390707257838237</v>
      </c>
      <c r="AF42" s="32">
        <f>MAX(Trajectory!AF40,Trajectory!AG40)*(Parameters!$L$11+(Parameters!$M$11-Parameters!$L$11)*(2046-2025)/25)</f>
        <v>1.7514075731107039</v>
      </c>
      <c r="AG42" s="32">
        <f>MAX(Trajectory!AF41,Trajectory!AG41)*(Parameters!$L$11+(Parameters!$M$11-Parameters!$L$11)*(2047-2025)/25)</f>
        <v>1.8713241875039788</v>
      </c>
      <c r="AH42" s="32">
        <f>MAX(Trajectory!AF42,Trajectory!AG42)*(Parameters!$L$11+(Parameters!$M$11-Parameters!$L$11)*(2048-2025)/25)</f>
        <v>1.9993257283612429</v>
      </c>
      <c r="AI42" s="32">
        <f>MAX(Trajectory!AF43,Trajectory!AG43)*(Parameters!$L$11+(Parameters!$M$11-Parameters!$L$11)*(2049-2025)/25)</f>
        <v>2.135950687046376</v>
      </c>
      <c r="AJ42" s="32">
        <f>MAX(Trajectory!AF44,Trajectory!AG44)*(Parameters!$L$11+(Parameters!$M$11-Parameters!$L$11)*(2050-2025)/25)</f>
        <v>2.2817730681516255</v>
      </c>
    </row>
    <row r="43" spans="1:36" x14ac:dyDescent="0.3">
      <c r="A43" s="31">
        <v>500</v>
      </c>
      <c r="B43" s="31" t="s">
        <v>144</v>
      </c>
      <c r="C43" s="31" t="s">
        <v>145</v>
      </c>
      <c r="D43" s="31">
        <v>11</v>
      </c>
      <c r="E43" s="31" t="s">
        <v>128</v>
      </c>
      <c r="F43" s="31"/>
      <c r="G43" s="31" t="s">
        <v>129</v>
      </c>
      <c r="H43" s="31">
        <v>0</v>
      </c>
      <c r="I43" s="32">
        <f>Trajectory!AJ17</f>
        <v>0.23599999999999999</v>
      </c>
      <c r="J43" s="32">
        <f>Trajectory!AJ18</f>
        <v>0.6765000000000001</v>
      </c>
      <c r="K43" s="32">
        <f>MAX(Trajectory!AJ19,Trajectory!AK19)*(Parameters!$L$12+(Parameters!$M$12-Parameters!$L$12)*(2025-2025)/25)</f>
        <v>0.62544134569741994</v>
      </c>
      <c r="L43" s="32">
        <f>MAX(Trajectory!AJ20,Trajectory!AK20)*(Parameters!$L$12+(Parameters!$M$12-Parameters!$L$12)*(2026-2025)/25)</f>
        <v>0.74066921402916963</v>
      </c>
      <c r="M43" s="32">
        <f>MAX(Trajectory!AJ21,Trajectory!AK21)*(Parameters!$L$12+(Parameters!$M$12-Parameters!$L$12)*(2027-2025)/25)</f>
        <v>0.87023613733498184</v>
      </c>
      <c r="N43" s="32">
        <f>MAX(Trajectory!AJ22,Trajectory!AK22)*(Parameters!$L$12+(Parameters!$M$12-Parameters!$L$12)*(2028-2025)/25)</f>
        <v>1.0131448496522315</v>
      </c>
      <c r="O43" s="32">
        <f>MAX(Trajectory!AJ23,Trajectory!AK23)*(Parameters!$L$12+(Parameters!$M$12-Parameters!$L$12)*(2029-2025)/25)</f>
        <v>1.1671458730243105</v>
      </c>
      <c r="P43" s="32">
        <f>MAX(Trajectory!AJ24,Trajectory!AK24)*(Parameters!$L$12+(Parameters!$M$12-Parameters!$L$12)*(2030-2025)/25)</f>
        <v>1.3284891307758968</v>
      </c>
      <c r="Q43" s="32">
        <f>MAX(Trajectory!AJ25,Trajectory!AK25)*(Parameters!$L$12+(Parameters!$M$12-Parameters!$L$12)*(2031-2025)/25)</f>
        <v>1.4917991228591632</v>
      </c>
      <c r="R43" s="32">
        <f>MAX(Trajectory!AJ26,Trajectory!AK26)*(Parameters!$L$12+(Parameters!$M$12-Parameters!$L$12)*(2032-2025)/25)</f>
        <v>1.6501612094650311</v>
      </c>
      <c r="S43" s="32">
        <f>MAX(Trajectory!AJ27,Trajectory!AK27)*(Parameters!$L$12+(Parameters!$M$12-Parameters!$L$12)*(2033-2025)/25)</f>
        <v>1.795493420113248</v>
      </c>
      <c r="T43" s="32">
        <f>MAX(Trajectory!AJ28,Trajectory!AK28)*(Parameters!$L$12+(Parameters!$M$12-Parameters!$L$12)*(2034-2025)/25)</f>
        <v>1.9192309078577963</v>
      </c>
      <c r="U43" s="32">
        <f>MAX(Trajectory!AJ29,Trajectory!AK29)*(Parameters!$L$12+(Parameters!$M$12-Parameters!$L$12)*(2035-2025)/25)</f>
        <v>2.0132699317862413</v>
      </c>
      <c r="V43" s="32">
        <f>MAX(Trajectory!AJ30,Trajectory!AK30)*(Parameters!$L$12+(Parameters!$M$12-Parameters!$L$12)*(2036-2025)/25)</f>
        <v>2.0710246829463084</v>
      </c>
      <c r="W43" s="32">
        <f>MAX(Trajectory!AJ31,Trajectory!AK31)*(Parameters!$L$12+(Parameters!$M$12-Parameters!$L$12)*(2037-2025)/25)</f>
        <v>2.0883796383899949</v>
      </c>
      <c r="X43" s="32">
        <f>MAX(Trajectory!AJ32,Trajectory!AK32)*(Parameters!$L$12+(Parameters!$M$12-Parameters!$L$12)*(2038-2025)/25)</f>
        <v>2.0643105779441968</v>
      </c>
      <c r="Y43" s="32">
        <f>MAX(Trajectory!AJ33,Trajectory!AK33)*(Parameters!$L$12+(Parameters!$M$12-Parameters!$L$12)*(2039-2025)/25)</f>
        <v>2.2521899330288031</v>
      </c>
      <c r="Z43" s="32">
        <f>MAX(Trajectory!AJ34,Trajectory!AK34)*(Parameters!$L$12+(Parameters!$M$12-Parameters!$L$12)*(2040-2025)/25)</f>
        <v>2.4976602254570093</v>
      </c>
      <c r="AA43" s="32">
        <f>MAX(Trajectory!AJ35,Trajectory!AK35)*(Parameters!$L$12+(Parameters!$M$12-Parameters!$L$12)*(2041-2025)/25)</f>
        <v>2.7697026770405699</v>
      </c>
      <c r="AB43" s="32">
        <f>MAX(Trajectory!AJ36,Trajectory!AK36)*(Parameters!$L$12+(Parameters!$M$12-Parameters!$L$12)*(2042-2025)/25)</f>
        <v>3.0711770166862777</v>
      </c>
      <c r="AC43" s="32">
        <f>MAX(Trajectory!AJ37,Trajectory!AK37)*(Parameters!$L$12+(Parameters!$M$12-Parameters!$L$12)*(2043-2025)/25)</f>
        <v>3.4052491974907215</v>
      </c>
      <c r="AD43" s="32">
        <f>MAX(Trajectory!AJ38,Trajectory!AK38)*(Parameters!$L$12+(Parameters!$M$12-Parameters!$L$12)*(2044-2025)/25)</f>
        <v>3.7754240442891653</v>
      </c>
      <c r="AE43" s="32">
        <f>MAX(Trajectory!AJ39,Trajectory!AK39)*(Parameters!$L$12+(Parameters!$M$12-Parameters!$L$12)*(2045-2025)/25)</f>
        <v>4.1855813684724232</v>
      </c>
      <c r="AF43" s="32">
        <f>MAX(Trajectory!AJ40,Trajectory!AK40)*(Parameters!$L$12+(Parameters!$M$12-Parameters!$L$12)*(2046-2025)/25)</f>
        <v>1.1647608295057299</v>
      </c>
      <c r="AG43" s="32">
        <f>MAX(Trajectory!AJ41,Trajectory!AK41)*(Parameters!$L$12+(Parameters!$M$12-Parameters!$L$12)*(2047-2025)/25)</f>
        <v>0.88293189843110753</v>
      </c>
      <c r="AH43" s="32">
        <f>MAX(Trajectory!AJ42,Trajectory!AK42)*(Parameters!$L$12+(Parameters!$M$12-Parameters!$L$12)*(2048-2025)/25)</f>
        <v>0.75822735447627221</v>
      </c>
      <c r="AI43" s="32">
        <f>MAX(Trajectory!AJ43,Trajectory!AK43)*(Parameters!$L$12+(Parameters!$M$12-Parameters!$L$12)*(2049-2025)/25)</f>
        <v>0.64678069466573984</v>
      </c>
      <c r="AJ43" s="32">
        <f>MAX(Trajectory!AJ44,Trajectory!AK44)*(Parameters!$L$12+(Parameters!$M$12-Parameters!$L$12)*(2050-2025)/25)</f>
        <v>0.54858315471948349</v>
      </c>
    </row>
    <row r="44" spans="1:36" x14ac:dyDescent="0.3">
      <c r="A44" s="31">
        <v>140</v>
      </c>
      <c r="B44" s="31" t="s">
        <v>146</v>
      </c>
      <c r="C44" s="31" t="s">
        <v>147</v>
      </c>
      <c r="D44" s="31">
        <v>11</v>
      </c>
      <c r="E44" s="31" t="s">
        <v>128</v>
      </c>
      <c r="F44" s="31"/>
      <c r="G44" s="31" t="s">
        <v>129</v>
      </c>
      <c r="H44" s="31">
        <v>0</v>
      </c>
      <c r="I44" s="32">
        <f>Trajectory!AN17</f>
        <v>0</v>
      </c>
      <c r="J44" s="32">
        <f>Trajectory!AN18</f>
        <v>0</v>
      </c>
      <c r="K44" s="32">
        <f>MAX(Trajectory!AN19,Trajectory!AO19)*(Parameters!$L$13+(Parameters!$M$13-Parameters!$L$13)*(2025-2025)/25)</f>
        <v>0.23365655983142061</v>
      </c>
      <c r="L44" s="32">
        <f>MAX(Trajectory!AN20,Trajectory!AO20)*(Parameters!$L$13+(Parameters!$M$13-Parameters!$L$13)*(2026-2025)/25)</f>
        <v>0.27830582425798867</v>
      </c>
      <c r="M44" s="32">
        <f>MAX(Trajectory!AN21,Trajectory!AO21)*(Parameters!$L$13+(Parameters!$M$13-Parameters!$L$13)*(2027-2025)/25)</f>
        <v>0.32776008081928687</v>
      </c>
      <c r="N44" s="32">
        <f>MAX(Trajectory!AN22,Trajectory!AO22)*(Parameters!$L$13+(Parameters!$M$13-Parameters!$L$13)*(2028-2025)/25)</f>
        <v>0.38094873897938214</v>
      </c>
      <c r="O44" s="32">
        <f>MAX(Trajectory!AN23,Trajectory!AO23)*(Parameters!$L$13+(Parameters!$M$13-Parameters!$L$13)*(2029-2025)/25)</f>
        <v>0.43610624131560538</v>
      </c>
      <c r="P44" s="32">
        <f>MAX(Trajectory!AN24,Trajectory!AO24)*(Parameters!$L$13+(Parameters!$M$13-Parameters!$L$13)*(2030-2025)/25)</f>
        <v>0.49074351226189511</v>
      </c>
      <c r="Q44" s="32">
        <f>MAX(Trajectory!AN25,Trajectory!AO25)*(Parameters!$L$13+(Parameters!$M$13-Parameters!$L$13)*(2031-2025)/25)</f>
        <v>0.54175064274301854</v>
      </c>
      <c r="R44" s="32">
        <f>MAX(Trajectory!AN26,Trajectory!AO26)*(Parameters!$L$13+(Parameters!$M$13-Parameters!$L$13)*(2032-2025)/25)</f>
        <v>0.58566420771641525</v>
      </c>
      <c r="S44" s="32">
        <f>MAX(Trajectory!AN27,Trajectory!AO27)*(Parameters!$L$13+(Parameters!$M$13-Parameters!$L$13)*(2033-2025)/25)</f>
        <v>0.61909083873781645</v>
      </c>
      <c r="T44" s="32">
        <f>MAX(Trajectory!AN28,Trajectory!AO28)*(Parameters!$L$13+(Parameters!$M$13-Parameters!$L$13)*(2034-2025)/25)</f>
        <v>0.63921999324824497</v>
      </c>
      <c r="U44" s="32">
        <f>MAX(Trajectory!AN29,Trajectory!AO29)*(Parameters!$L$13+(Parameters!$M$13-Parameters!$L$13)*(2035-2025)/25)</f>
        <v>0.64430662449425224</v>
      </c>
      <c r="V44" s="32">
        <f>MAX(Trajectory!AN30,Trajectory!AO30)*(Parameters!$L$13+(Parameters!$M$13-Parameters!$L$13)*(2036-2025)/25)</f>
        <v>0.63398874662188154</v>
      </c>
      <c r="W44" s="32">
        <f>MAX(Trajectory!AN31,Trajectory!AO31)*(Parameters!$L$13+(Parameters!$M$13-Parameters!$L$13)*(2037-2025)/25)</f>
        <v>0.60934335358096281</v>
      </c>
      <c r="X44" s="32">
        <f>MAX(Trajectory!AN32,Trajectory!AO32)*(Parameters!$L$13+(Parameters!$M$13-Parameters!$L$13)*(2038-2025)/25)</f>
        <v>0.57266576094302701</v>
      </c>
      <c r="Y44" s="32">
        <f>MAX(Trajectory!AN33,Trajectory!AO33)*(Parameters!$L$13+(Parameters!$M$13-Parameters!$L$13)*(2039-2025)/25)</f>
        <v>0.52704508714154252</v>
      </c>
      <c r="Z44" s="32">
        <f>MAX(Trajectory!AN34,Trajectory!AO34)*(Parameters!$L$13+(Parameters!$M$13-Parameters!$L$13)*(2040-2025)/25)</f>
        <v>0.47586178265100731</v>
      </c>
      <c r="AA44" s="32">
        <f>MAX(Trajectory!AN35,Trajectory!AO35)*(Parameters!$L$13+(Parameters!$M$13-Parameters!$L$13)*(2041-2025)/25)</f>
        <v>0.42233314237825509</v>
      </c>
      <c r="AB44" s="32">
        <f>MAX(Trajectory!AN36,Trajectory!AO36)*(Parameters!$L$13+(Parameters!$M$13-Parameters!$L$13)*(2042-2025)/25)</f>
        <v>0.36919042811386066</v>
      </c>
      <c r="AC44" s="32">
        <f>MAX(Trajectory!AN37,Trajectory!AO37)*(Parameters!$L$13+(Parameters!$M$13-Parameters!$L$13)*(2043-2025)/25)</f>
        <v>0.31851431444823425</v>
      </c>
      <c r="AD44" s="32">
        <f>MAX(Trajectory!AN38,Trajectory!AO38)*(Parameters!$L$13+(Parameters!$M$13-Parameters!$L$13)*(2044-2025)/25)</f>
        <v>0.27170919957539474</v>
      </c>
      <c r="AE44" s="32">
        <f>MAX(Trajectory!AN39,Trajectory!AO39)*(Parameters!$L$13+(Parameters!$M$13-Parameters!$L$13)*(2045-2025)/25)</f>
        <v>0.22957313729684578</v>
      </c>
      <c r="AF44" s="32">
        <f>MAX(Trajectory!AN40,Trajectory!AO40)*(Parameters!$L$13+(Parameters!$M$13-Parameters!$L$13)*(2046-2025)/25)</f>
        <v>0.19241708975216118</v>
      </c>
      <c r="AG44" s="32">
        <f>MAX(Trajectory!AN41,Trajectory!AO41)*(Parameters!$L$13+(Parameters!$M$13-Parameters!$L$13)*(2047-2025)/25)</f>
        <v>0.1601966220834089</v>
      </c>
      <c r="AH44" s="32">
        <f>MAX(Trajectory!AN42,Trajectory!AO42)*(Parameters!$L$13+(Parameters!$M$13-Parameters!$L$13)*(2048-2025)/25)</f>
        <v>0.13263264640240238</v>
      </c>
      <c r="AI44" s="32">
        <f>MAX(Trajectory!AN43,Trajectory!AO43)*(Parameters!$L$13+(Parameters!$M$13-Parameters!$L$13)*(2049-2025)/25)</f>
        <v>0.10930993923763263</v>
      </c>
      <c r="AJ44" s="32">
        <f>MAX(Trajectory!AN44,Trajectory!AO44)*(Parameters!$L$13+(Parameters!$M$13-Parameters!$L$13)*(2050-2025)/25)</f>
        <v>9.2095000518801221E-2</v>
      </c>
    </row>
    <row r="45" spans="1:36" x14ac:dyDescent="0.3">
      <c r="A45" s="31">
        <v>457</v>
      </c>
      <c r="B45" s="31" t="s">
        <v>148</v>
      </c>
      <c r="C45" s="31" t="s">
        <v>149</v>
      </c>
      <c r="D45" s="31">
        <v>11</v>
      </c>
      <c r="E45" s="31" t="s">
        <v>128</v>
      </c>
      <c r="F45" s="31"/>
      <c r="G45" s="31" t="s">
        <v>129</v>
      </c>
      <c r="H45" s="31">
        <v>0</v>
      </c>
      <c r="I45" s="32">
        <f>Trajectory!AR17</f>
        <v>0.11499999999999999</v>
      </c>
      <c r="J45" s="32">
        <f>Trajectory!AR18</f>
        <v>8.049999999999996E-2</v>
      </c>
      <c r="K45" s="32">
        <f>MAX(Trajectory!AR19,Trajectory!AS19)*(Parameters!$L$14+(Parameters!$M$14-Parameters!$L$14)*(2025-2025)/25)</f>
        <v>0.16545969828613222</v>
      </c>
      <c r="L45" s="32">
        <f>MAX(Trajectory!AR20,Trajectory!AS20)*(Parameters!$L$14+(Parameters!$M$14-Parameters!$L$14)*(2026-2025)/25)</f>
        <v>0.19258718977828859</v>
      </c>
      <c r="M45" s="32">
        <f>MAX(Trajectory!AR21,Trajectory!AS21)*(Parameters!$L$14+(Parameters!$M$14-Parameters!$L$14)*(2027-2025)/25)</f>
        <v>0.22269922457873392</v>
      </c>
      <c r="N45" s="32">
        <f>MAX(Trajectory!AR22,Trajectory!AS22)*(Parameters!$L$14+(Parameters!$M$14-Parameters!$L$14)*(2028-2025)/25)</f>
        <v>0.25559877945219933</v>
      </c>
      <c r="O45" s="32">
        <f>MAX(Trajectory!AR23,Trajectory!AS23)*(Parameters!$L$14+(Parameters!$M$14-Parameters!$L$14)*(2029-2025)/25)</f>
        <v>0.29087621651707146</v>
      </c>
      <c r="P45" s="32">
        <f>MAX(Trajectory!AR24,Trajectory!AS24)*(Parameters!$L$14+(Parameters!$M$14-Parameters!$L$14)*(2030-2025)/25)</f>
        <v>0.32787049880420965</v>
      </c>
      <c r="Q45" s="32">
        <f>MAX(Trajectory!AR25,Trajectory!AS25)*(Parameters!$L$14+(Parameters!$M$14-Parameters!$L$14)*(2031-2025)/25)</f>
        <v>0.36564631315639518</v>
      </c>
      <c r="R45" s="32">
        <f>MAX(Trajectory!AR26,Trajectory!AS26)*(Parameters!$L$14+(Parameters!$M$14-Parameters!$L$14)*(2032-2025)/25)</f>
        <v>0.40299803299681602</v>
      </c>
      <c r="S45" s="32">
        <f>MAX(Trajectory!AR27,Trajectory!AS27)*(Parameters!$L$14+(Parameters!$M$14-Parameters!$L$14)*(2033-2025)/25)</f>
        <v>0.43849065621275113</v>
      </c>
      <c r="T45" s="32">
        <f>MAX(Trajectory!AR28,Trajectory!AS28)*(Parameters!$L$14+(Parameters!$M$14-Parameters!$L$14)*(2034-2025)/25)</f>
        <v>0.47054372836998376</v>
      </c>
      <c r="U45" s="32">
        <f>MAX(Trajectory!AR29,Trajectory!AS29)*(Parameters!$L$14+(Parameters!$M$14-Parameters!$L$14)*(2035-2025)/25)</f>
        <v>0.49755649440598593</v>
      </c>
      <c r="V45" s="32">
        <f>MAX(Trajectory!AR30,Trajectory!AS30)*(Parameters!$L$14+(Parameters!$M$14-Parameters!$L$14)*(2036-2025)/25)</f>
        <v>0.51806220146666249</v>
      </c>
      <c r="W45" s="32">
        <f>MAX(Trajectory!AR31,Trajectory!AS31)*(Parameters!$L$14+(Parameters!$M$14-Parameters!$L$14)*(2037-2025)/25)</f>
        <v>0.5308893162306787</v>
      </c>
      <c r="X45" s="32">
        <f>MAX(Trajectory!AR32,Trajectory!AS32)*(Parameters!$L$14+(Parameters!$M$14-Parameters!$L$14)*(2038-2025)/25)</f>
        <v>0.53530113880323349</v>
      </c>
      <c r="Y45" s="32">
        <f>MAX(Trajectory!AR33,Trajectory!AS33)*(Parameters!$L$14+(Parameters!$M$14-Parameters!$L$14)*(2039-2025)/25)</f>
        <v>0.53108611155939978</v>
      </c>
      <c r="Z45" s="32">
        <f>MAX(Trajectory!AR34,Trajectory!AS34)*(Parameters!$L$14+(Parameters!$M$14-Parameters!$L$14)*(2040-2025)/25)</f>
        <v>0.51858000825412343</v>
      </c>
      <c r="AA45" s="32">
        <f>MAX(Trajectory!AR35,Trajectory!AS35)*(Parameters!$L$14+(Parameters!$M$14-Parameters!$L$14)*(2041-2025)/25)</f>
        <v>0.49861593943751314</v>
      </c>
      <c r="AB45" s="32">
        <f>MAX(Trajectory!AR36,Trajectory!AS36)*(Parameters!$L$14+(Parameters!$M$14-Parameters!$L$14)*(2042-2025)/25)</f>
        <v>0.49412501506090972</v>
      </c>
      <c r="AC45" s="32">
        <f>MAX(Trajectory!AR37,Trajectory!AS37)*(Parameters!$L$14+(Parameters!$M$14-Parameters!$L$14)*(2043-2025)/25)</f>
        <v>0.54787425207152685</v>
      </c>
      <c r="AD45" s="32">
        <f>MAX(Trajectory!AR38,Trajectory!AS38)*(Parameters!$L$14+(Parameters!$M$14-Parameters!$L$14)*(2044-2025)/25)</f>
        <v>0.60743208633365453</v>
      </c>
      <c r="AE45" s="32">
        <f>MAX(Trajectory!AR39,Trajectory!AS39)*(Parameters!$L$14+(Parameters!$M$14-Parameters!$L$14)*(2045-2025)/25)</f>
        <v>0.67342274492749488</v>
      </c>
      <c r="AF45" s="32">
        <f>MAX(Trajectory!AR40,Trajectory!AS40)*(Parameters!$L$14+(Parameters!$M$14-Parameters!$L$14)*(2046-2025)/25)</f>
        <v>0.74653721437676501</v>
      </c>
      <c r="AG45" s="32">
        <f>MAX(Trajectory!AR41,Trajectory!AS41)*(Parameters!$L$14+(Parameters!$M$14-Parameters!$L$14)*(2047-2025)/25)</f>
        <v>0.82754035026661543</v>
      </c>
      <c r="AH45" s="32">
        <f>MAX(Trajectory!AR42,Trajectory!AS42)*(Parameters!$L$14+(Parameters!$M$14-Parameters!$L$14)*(2048-2025)/25)</f>
        <v>0.91727874119066533</v>
      </c>
      <c r="AI45" s="32">
        <f>MAX(Trajectory!AR43,Trajectory!AS43)*(Parameters!$L$14+(Parameters!$M$14-Parameters!$L$14)*(2049-2025)/25)</f>
        <v>1.0166894067968644</v>
      </c>
      <c r="AJ45" s="32">
        <f>MAX(Trajectory!AR44,Trajectory!AS44)*(Parameters!$L$14+(Parameters!$M$14-Parameters!$L$14)*(2050-2025)/25)</f>
        <v>1.1268094181123929</v>
      </c>
    </row>
    <row r="46" spans="1:36" x14ac:dyDescent="0.3">
      <c r="A46" s="31">
        <v>33</v>
      </c>
      <c r="B46" s="31" t="s">
        <v>150</v>
      </c>
      <c r="C46" s="31" t="s">
        <v>151</v>
      </c>
      <c r="D46" s="31">
        <v>11</v>
      </c>
      <c r="E46" s="31" t="s">
        <v>128</v>
      </c>
      <c r="F46" s="31"/>
      <c r="G46" s="31" t="s">
        <v>129</v>
      </c>
      <c r="H46" s="31">
        <v>0</v>
      </c>
      <c r="I46" s="32">
        <f>Trajectory!AV17</f>
        <v>0.47599999999999987</v>
      </c>
      <c r="J46" s="32">
        <f>Trajectory!AV18</f>
        <v>0.13570000000000015</v>
      </c>
      <c r="K46" s="32">
        <f>MAX(Trajectory!AV19,Trajectory!AW19)*(Parameters!$L$15+(Parameters!$M$15-Parameters!$L$15)*(2025-2025)/25)</f>
        <v>0.30875000000000041</v>
      </c>
      <c r="L46" s="32">
        <f>MAX(Trajectory!AV20,Trajectory!AW20)*(Parameters!$L$15+(Parameters!$M$15-Parameters!$L$15)*(2026-2025)/25)</f>
        <v>0.33665112000000014</v>
      </c>
      <c r="M46" s="32">
        <f>MAX(Trajectory!AV21,Trajectory!AW21)*(Parameters!$L$15+(Parameters!$M$15-Parameters!$L$15)*(2027-2025)/25)</f>
        <v>0.36704041920000008</v>
      </c>
      <c r="N46" s="32">
        <f>MAX(Trajectory!AV22,Trajectory!AW22)*(Parameters!$L$15+(Parameters!$M$15-Parameters!$L$15)*(2028-2025)/25)</f>
        <v>0.40013743910400085</v>
      </c>
      <c r="O46" s="32">
        <f>MAX(Trajectory!AV23,Trajectory!AW23)*(Parameters!$L$15+(Parameters!$M$15-Parameters!$L$15)*(2029-2025)/25)</f>
        <v>0.43618092350975962</v>
      </c>
      <c r="P46" s="32">
        <f>MAX(Trajectory!AV24,Trajectory!AW24)*(Parameters!$L$15+(Parameters!$M$15-Parameters!$L$15)*(2030-2025)/25)</f>
        <v>0.47543048581017733</v>
      </c>
      <c r="Q46" s="32">
        <f>MAX(Trajectory!AV25,Trajectory!AW25)*(Parameters!$L$15+(Parameters!$M$15-Parameters!$L$15)*(2031-2025)/25)</f>
        <v>0.51816842016819664</v>
      </c>
      <c r="R46" s="32">
        <f>MAX(Trajectory!AV26,Trajectory!AW26)*(Parameters!$L$15+(Parameters!$M$15-Parameters!$L$15)*(2032-2025)/25)</f>
        <v>0.56470166891431439</v>
      </c>
      <c r="S46" s="32">
        <f>MAX(Trajectory!AV27,Trajectory!AW27)*(Parameters!$L$15+(Parameters!$M$15-Parameters!$L$15)*(2033-2025)/25)</f>
        <v>0.61536395957073553</v>
      </c>
      <c r="T46" s="32">
        <f>MAX(Trajectory!AV28,Trajectory!AW28)*(Parameters!$L$15+(Parameters!$M$15-Parameters!$L$15)*(2034-2025)/25)</f>
        <v>0.67051812605113248</v>
      </c>
      <c r="U46" s="32">
        <f>MAX(Trajectory!AV29,Trajectory!AW29)*(Parameters!$L$15+(Parameters!$M$15-Parameters!$L$15)*(2035-2025)/25)</f>
        <v>0.73055862982713859</v>
      </c>
      <c r="V46" s="32">
        <f>MAX(Trajectory!AV30,Trajectory!AW30)*(Parameters!$L$15+(Parameters!$M$15-Parameters!$L$15)*(2036-2025)/25)</f>
        <v>0.79591429820057891</v>
      </c>
      <c r="W46" s="32">
        <f>MAX(Trajectory!AV31,Trajectory!AW31)*(Parameters!$L$15+(Parameters!$M$15-Parameters!$L$15)*(2037-2025)/25)</f>
        <v>0.3093793182678295</v>
      </c>
      <c r="X46" s="32">
        <f>MAX(Trajectory!AV32,Trajectory!AW32)*(Parameters!$L$15+(Parameters!$M$15-Parameters!$L$15)*(2038-2025)/25)</f>
        <v>0.30809057539298901</v>
      </c>
      <c r="Y46" s="32">
        <f>MAX(Trajectory!AV33,Trajectory!AW33)*(Parameters!$L$15+(Parameters!$M$15-Parameters!$L$15)*(2039-2025)/25)</f>
        <v>0.30294805314910911</v>
      </c>
      <c r="Z46" s="32">
        <f>MAX(Trajectory!AV34,Trajectory!AW34)*(Parameters!$L$15+(Parameters!$M$15-Parameters!$L$15)*(2040-2025)/25)</f>
        <v>0.294236772594135</v>
      </c>
      <c r="AA46" s="32">
        <f>MAX(Trajectory!AV35,Trajectory!AW35)*(Parameters!$L$15+(Parameters!$M$15-Parameters!$L$15)*(2041-2025)/25)</f>
        <v>0.28239748371387829</v>
      </c>
      <c r="AB46" s="32">
        <f>MAX(Trajectory!AV36,Trajectory!AW36)*(Parameters!$L$15+(Parameters!$M$15-Parameters!$L$15)*(2042-2025)/25)</f>
        <v>0.26798254465187293</v>
      </c>
      <c r="AC46" s="32">
        <f>MAX(Trajectory!AV37,Trajectory!AW37)*(Parameters!$L$15+(Parameters!$M$15-Parameters!$L$15)*(2043-2025)/25)</f>
        <v>0.25160587139612589</v>
      </c>
      <c r="AD46" s="32">
        <f>MAX(Trajectory!AV38,Trajectory!AW38)*(Parameters!$L$15+(Parameters!$M$15-Parameters!$L$15)*(2044-2025)/25)</f>
        <v>0.23389402705165466</v>
      </c>
      <c r="AE46" s="32">
        <f>MAX(Trajectory!AV39,Trajectory!AW39)*(Parameters!$L$15+(Parameters!$M$15-Parameters!$L$15)*(2045-2025)/25)</f>
        <v>0.21544413014945327</v>
      </c>
      <c r="AF46" s="32">
        <f>MAX(Trajectory!AV40,Trajectory!AW40)*(Parameters!$L$15+(Parameters!$M$15-Parameters!$L$15)*(2046-2025)/25)</f>
        <v>0.19679210239232128</v>
      </c>
      <c r="AG46" s="32">
        <f>MAX(Trajectory!AV41,Trajectory!AW41)*(Parameters!$L$15+(Parameters!$M$15-Parameters!$L$15)*(2047-2025)/25)</f>
        <v>0.17839249957437736</v>
      </c>
      <c r="AH46" s="32">
        <f>MAX(Trajectory!AV42,Trajectory!AW42)*(Parameters!$L$15+(Parameters!$M$15-Parameters!$L$15)*(2048-2025)/25)</f>
        <v>0.16060927978237871</v>
      </c>
      <c r="AI46" s="32">
        <f>MAX(Trajectory!AV43,Trajectory!AW43)*(Parameters!$L$15+(Parameters!$M$15-Parameters!$L$15)*(2049-2025)/25)</f>
        <v>0.14371562059933202</v>
      </c>
      <c r="AJ46" s="32">
        <f>MAX(Trajectory!AV44,Trajectory!AW44)*(Parameters!$L$15+(Parameters!$M$15-Parameters!$L$15)*(2050-2025)/25)</f>
        <v>0.12790032955084635</v>
      </c>
    </row>
    <row r="48" spans="1:36" x14ac:dyDescent="0.3">
      <c r="A48" s="35" t="s">
        <v>154</v>
      </c>
      <c r="B48" s="35"/>
      <c r="C48" s="35"/>
      <c r="D48" s="35"/>
      <c r="E48" s="35"/>
      <c r="F48" s="35"/>
      <c r="G48" s="35"/>
      <c r="H48" s="35"/>
    </row>
    <row r="49" spans="1:36" x14ac:dyDescent="0.3">
      <c r="A49" s="24" t="s">
        <v>119</v>
      </c>
      <c r="B49" s="24" t="s">
        <v>52</v>
      </c>
      <c r="C49" s="24" t="s">
        <v>120</v>
      </c>
      <c r="D49" s="24" t="s">
        <v>121</v>
      </c>
      <c r="E49" s="24" t="s">
        <v>122</v>
      </c>
      <c r="F49" s="24" t="s">
        <v>123</v>
      </c>
      <c r="G49" s="24" t="s">
        <v>124</v>
      </c>
      <c r="H49" s="24" t="s">
        <v>125</v>
      </c>
      <c r="I49" s="24">
        <v>2023</v>
      </c>
      <c r="J49" s="24">
        <v>2024</v>
      </c>
      <c r="K49" s="24">
        <v>2025</v>
      </c>
      <c r="L49" s="24">
        <v>2026</v>
      </c>
      <c r="M49" s="24">
        <v>2027</v>
      </c>
      <c r="N49" s="24">
        <v>2028</v>
      </c>
      <c r="O49" s="24">
        <v>2029</v>
      </c>
      <c r="P49" s="24">
        <v>2030</v>
      </c>
      <c r="Q49" s="24">
        <v>2031</v>
      </c>
      <c r="R49" s="24">
        <v>2032</v>
      </c>
      <c r="S49" s="24">
        <v>2033</v>
      </c>
      <c r="T49" s="24">
        <v>2034</v>
      </c>
      <c r="U49" s="24">
        <v>2035</v>
      </c>
      <c r="V49" s="24">
        <v>2036</v>
      </c>
      <c r="W49" s="24">
        <v>2037</v>
      </c>
      <c r="X49" s="24">
        <v>2038</v>
      </c>
      <c r="Y49" s="24">
        <v>2039</v>
      </c>
      <c r="Z49" s="24">
        <v>2040</v>
      </c>
      <c r="AA49" s="24">
        <v>2041</v>
      </c>
      <c r="AB49" s="24">
        <v>2042</v>
      </c>
      <c r="AC49" s="24">
        <v>2043</v>
      </c>
      <c r="AD49" s="24">
        <v>2044</v>
      </c>
      <c r="AE49" s="24">
        <v>2045</v>
      </c>
      <c r="AF49" s="24">
        <v>2046</v>
      </c>
      <c r="AG49" s="24">
        <v>2047</v>
      </c>
      <c r="AH49" s="24">
        <v>2048</v>
      </c>
      <c r="AI49" s="24">
        <v>2049</v>
      </c>
      <c r="AJ49" s="24">
        <v>2050</v>
      </c>
    </row>
    <row r="50" spans="1:36" x14ac:dyDescent="0.3">
      <c r="A50" s="31">
        <v>8</v>
      </c>
      <c r="B50" s="31" t="s">
        <v>126</v>
      </c>
      <c r="C50" s="31" t="s">
        <v>127</v>
      </c>
      <c r="D50" s="31">
        <v>11</v>
      </c>
      <c r="E50" s="31" t="s">
        <v>128</v>
      </c>
      <c r="F50" s="31"/>
      <c r="G50" s="31" t="s">
        <v>129</v>
      </c>
      <c r="H50" s="31">
        <v>0</v>
      </c>
      <c r="I50" s="32">
        <f>Trajectory!D17</f>
        <v>3.3</v>
      </c>
      <c r="J50" s="32">
        <f>Trajectory!D18</f>
        <v>5.6000000000000014</v>
      </c>
      <c r="K50" s="32">
        <f>MIN(Trajectory!D19,Trajectory!E19)*(Parameters!$L$4+(Parameters!$M$4-Parameters!$L$4)*(2025-2025)/25)</f>
        <v>2.338578960888904</v>
      </c>
      <c r="L50" s="32">
        <f>MIN(Trajectory!D20,Trajectory!E20)*(Parameters!$L$4+(Parameters!$M$4-Parameters!$L$4)*(2026-2025)/25)</f>
        <v>2.6865505072468987</v>
      </c>
      <c r="M50" s="32">
        <f>MIN(Trajectory!D21,Trajectory!E21)*(Parameters!$L$4+(Parameters!$M$4-Parameters!$L$4)*(2027-2025)/25)</f>
        <v>3.0601295359633056</v>
      </c>
      <c r="N50" s="32">
        <f>MIN(Trajectory!D22,Trajectory!E22)*(Parameters!$L$4+(Parameters!$M$4-Parameters!$L$4)*(2028-2025)/25)</f>
        <v>3.4524069021430788</v>
      </c>
      <c r="O50" s="32">
        <f>MIN(Trajectory!D23,Trajectory!E23)*(Parameters!$L$4+(Parameters!$M$4-Parameters!$L$4)*(2029-2025)/25)</f>
        <v>3.8535566264023178</v>
      </c>
      <c r="P50" s="32">
        <f>MIN(Trajectory!D24,Trajectory!E24)*(Parameters!$L$4+(Parameters!$M$4-Parameters!$L$4)*(2030-2025)/25)</f>
        <v>4.2508663805276425</v>
      </c>
      <c r="Q50" s="32">
        <f>MIN(Trajectory!D25,Trajectory!E25)*(Parameters!$L$4+(Parameters!$M$4-Parameters!$L$4)*(2031-2025)/25)</f>
        <v>4.6291591162414205</v>
      </c>
      <c r="R50" s="32">
        <f>MIN(Trajectory!D26,Trajectory!E26)*(Parameters!$L$4+(Parameters!$M$4-Parameters!$L$4)*(2032-2025)/25)</f>
        <v>4.9716715625366135</v>
      </c>
      <c r="S50" s="32">
        <f>MIN(Trajectory!D27,Trajectory!E27)*(Parameters!$L$4+(Parameters!$M$4-Parameters!$L$4)*(2033-2025)/25)</f>
        <v>5.2613734491138135</v>
      </c>
      <c r="T50" s="32">
        <f>MIN(Trajectory!D28,Trajectory!E28)*(Parameters!$L$4+(Parameters!$M$4-Parameters!$L$4)*(2034-2025)/25)</f>
        <v>5.4826018103659404</v>
      </c>
      <c r="U50" s="32">
        <f>MIN(Trajectory!D29,Trajectory!E29)*(Parameters!$L$4+(Parameters!$M$4-Parameters!$L$4)*(2035-2025)/25)</f>
        <v>5.6227761748850797</v>
      </c>
      <c r="V50" s="32">
        <f>MIN(Trajectory!D30,Trajectory!E30)*(Parameters!$L$4+(Parameters!$M$4-Parameters!$L$4)*(2036-2025)/25)</f>
        <v>5.6738923219295083</v>
      </c>
      <c r="W50" s="32">
        <f>MIN(Trajectory!D31,Trajectory!E31)*(Parameters!$L$4+(Parameters!$M$4-Parameters!$L$4)*(2037-2025)/25)</f>
        <v>5.6334991078989374</v>
      </c>
      <c r="X50" s="32">
        <f>MIN(Trajectory!D32,Trajectory!E32)*(Parameters!$L$4+(Parameters!$M$4-Parameters!$L$4)*(2038-2025)/25)</f>
        <v>5.5049555532394425</v>
      </c>
      <c r="Y50" s="32">
        <f>MIN(Trajectory!D33,Trajectory!E33)*(Parameters!$L$4+(Parameters!$M$4-Parameters!$L$4)*(2039-2025)/25)</f>
        <v>3.6965368657884889</v>
      </c>
      <c r="Z50" s="32">
        <f>MIN(Trajectory!D34,Trajectory!E34)*(Parameters!$L$4+(Parameters!$M$4-Parameters!$L$4)*(2040-2025)/25)</f>
        <v>0</v>
      </c>
      <c r="AA50" s="32">
        <f>MIN(Trajectory!D35,Trajectory!E35)*(Parameters!$L$4+(Parameters!$M$4-Parameters!$L$4)*(2041-2025)/25)</f>
        <v>0</v>
      </c>
      <c r="AB50" s="32">
        <f>MIN(Trajectory!D36,Trajectory!E36)*(Parameters!$L$4+(Parameters!$M$4-Parameters!$L$4)*(2042-2025)/25)</f>
        <v>0</v>
      </c>
      <c r="AC50" s="32">
        <f>MIN(Trajectory!D37,Trajectory!E37)*(Parameters!$L$4+(Parameters!$M$4-Parameters!$L$4)*(2043-2025)/25)</f>
        <v>0</v>
      </c>
      <c r="AD50" s="32">
        <f>MIN(Trajectory!D38,Trajectory!E38)*(Parameters!$L$4+(Parameters!$M$4-Parameters!$L$4)*(2044-2025)/25)</f>
        <v>0</v>
      </c>
      <c r="AE50" s="32">
        <f>MIN(Trajectory!D39,Trajectory!E39)*(Parameters!$L$4+(Parameters!$M$4-Parameters!$L$4)*(2045-2025)/25)</f>
        <v>0</v>
      </c>
      <c r="AF50" s="32">
        <f>MIN(Trajectory!D40,Trajectory!E40)*(Parameters!$L$4+(Parameters!$M$4-Parameters!$L$4)*(2046-2025)/25)</f>
        <v>0</v>
      </c>
      <c r="AG50" s="32">
        <f>MIN(Trajectory!D41,Trajectory!E41)*(Parameters!$L$4+(Parameters!$M$4-Parameters!$L$4)*(2047-2025)/25)</f>
        <v>0</v>
      </c>
      <c r="AH50" s="32">
        <f>MIN(Trajectory!D42,Trajectory!E42)*(Parameters!$L$4+(Parameters!$M$4-Parameters!$L$4)*(2048-2025)/25)</f>
        <v>0</v>
      </c>
      <c r="AI50" s="32">
        <f>MIN(Trajectory!D43,Trajectory!E43)*(Parameters!$L$4+(Parameters!$M$4-Parameters!$L$4)*(2049-2025)/25)</f>
        <v>0</v>
      </c>
      <c r="AJ50" s="32">
        <f>MIN(Trajectory!D44,Trajectory!E44)*(Parameters!$L$4+(Parameters!$M$4-Parameters!$L$4)*(2050-2025)/25)</f>
        <v>0</v>
      </c>
    </row>
    <row r="51" spans="1:36" x14ac:dyDescent="0.3">
      <c r="A51" s="31">
        <v>453</v>
      </c>
      <c r="B51" s="31" t="s">
        <v>130</v>
      </c>
      <c r="C51" s="31" t="s">
        <v>131</v>
      </c>
      <c r="D51" s="31">
        <v>11</v>
      </c>
      <c r="E51" s="31" t="s">
        <v>128</v>
      </c>
      <c r="F51" s="31"/>
      <c r="G51" s="31" t="s">
        <v>129</v>
      </c>
      <c r="H51" s="31">
        <v>0</v>
      </c>
      <c r="I51" s="32">
        <f>Trajectory!H17</f>
        <v>4</v>
      </c>
      <c r="J51" s="32">
        <f>Trajectory!H18</f>
        <v>3</v>
      </c>
      <c r="K51" s="32">
        <f>MIN(Trajectory!H19,Trajectory!I19)*(Parameters!$L$5+(Parameters!$M$5-Parameters!$L$5)*(2025-2025)/25)</f>
        <v>3.3967456266619536</v>
      </c>
      <c r="L51" s="32">
        <f>MIN(Trajectory!H20,Trajectory!I20)*(Parameters!$L$5+(Parameters!$M$5-Parameters!$L$5)*(2026-2025)/25)</f>
        <v>3.7547471675784805</v>
      </c>
      <c r="M51" s="32">
        <f>MIN(Trajectory!H21,Trajectory!I21)*(Parameters!$L$5+(Parameters!$M$5-Parameters!$L$5)*(2027-2025)/25)</f>
        <v>4.1124591795902443</v>
      </c>
      <c r="N51" s="32">
        <f>MIN(Trajectory!H22,Trajectory!I22)*(Parameters!$L$5+(Parameters!$M$5-Parameters!$L$5)*(2028-2025)/25)</f>
        <v>4.4595799282819781</v>
      </c>
      <c r="O51" s="32">
        <f>MIN(Trajectory!H23,Trajectory!I23)*(Parameters!$L$5+(Parameters!$M$5-Parameters!$L$5)*(2029-2025)/25)</f>
        <v>4.7845767859059709</v>
      </c>
      <c r="P51" s="32">
        <f>MIN(Trajectory!H24,Trajectory!I24)*(Parameters!$L$5+(Parameters!$M$5-Parameters!$L$5)*(2030-2025)/25)</f>
        <v>5.0753364462846671</v>
      </c>
      <c r="Q51" s="32">
        <f>MIN(Trajectory!H25,Trajectory!I25)*(Parameters!$L$5+(Parameters!$M$5-Parameters!$L$5)*(2031-2025)/25)</f>
        <v>5.3200097420371391</v>
      </c>
      <c r="R51" s="32">
        <f>MIN(Trajectory!H26,Trajectory!I26)*(Parameters!$L$5+(Parameters!$M$5-Parameters!$L$5)*(2032-2025)/25)</f>
        <v>5.5079691299513582</v>
      </c>
      <c r="S51" s="32">
        <f>MIN(Trajectory!H27,Trajectory!I27)*(Parameters!$L$5+(Parameters!$M$5-Parameters!$L$5)*(2033-2025)/25)</f>
        <v>5.6307583185935295</v>
      </c>
      <c r="T51" s="32">
        <f>MIN(Trajectory!H28,Trajectory!I28)*(Parameters!$L$5+(Parameters!$M$5-Parameters!$L$5)*(2034-2025)/25)</f>
        <v>5.6828949696916178</v>
      </c>
      <c r="U51" s="32">
        <f>MIN(Trajectory!H29,Trajectory!I29)*(Parameters!$L$5+(Parameters!$M$5-Parameters!$L$5)*(2035-2025)/25)</f>
        <v>5.6623981709780509</v>
      </c>
      <c r="V51" s="32">
        <f>MIN(Trajectory!H30,Trajectory!I30)*(Parameters!$L$5+(Parameters!$M$5-Parameters!$L$5)*(2036-2025)/25)</f>
        <v>5.5709535977935989</v>
      </c>
      <c r="W51" s="32">
        <f>MIN(Trajectory!H31,Trajectory!I31)*(Parameters!$L$5+(Parameters!$M$5-Parameters!$L$5)*(2037-2025)/25)</f>
        <v>5.4136922093703017</v>
      </c>
      <c r="X51" s="32">
        <f>MIN(Trajectory!H32,Trajectory!I32)*(Parameters!$L$5+(Parameters!$M$5-Parameters!$L$5)*(2038-2025)/25)</f>
        <v>5.1986267000709487</v>
      </c>
      <c r="Y51" s="32">
        <f>MIN(Trajectory!H33,Trajectory!I33)*(Parameters!$L$5+(Parameters!$M$5-Parameters!$L$5)*(2039-2025)/25)</f>
        <v>4.9358457458654508</v>
      </c>
      <c r="Z51" s="32">
        <f>MIN(Trajectory!H34,Trajectory!I34)*(Parameters!$L$5+(Parameters!$M$5-Parameters!$L$5)*(2040-2025)/25)</f>
        <v>4.6365961338517554</v>
      </c>
      <c r="AA51" s="32">
        <f>MIN(Trajectory!H35,Trajectory!I35)*(Parameters!$L$5+(Parameters!$M$5-Parameters!$L$5)*(2041-2025)/25)</f>
        <v>0</v>
      </c>
      <c r="AB51" s="32">
        <f>MIN(Trajectory!H36,Trajectory!I36)*(Parameters!$L$5+(Parameters!$M$5-Parameters!$L$5)*(2042-2025)/25)</f>
        <v>0</v>
      </c>
      <c r="AC51" s="32">
        <f>MIN(Trajectory!H37,Trajectory!I37)*(Parameters!$L$5+(Parameters!$M$5-Parameters!$L$5)*(2043-2025)/25)</f>
        <v>0</v>
      </c>
      <c r="AD51" s="32">
        <f>MIN(Trajectory!H38,Trajectory!I38)*(Parameters!$L$5+(Parameters!$M$5-Parameters!$L$5)*(2044-2025)/25)</f>
        <v>0</v>
      </c>
      <c r="AE51" s="32">
        <f>MIN(Trajectory!H39,Trajectory!I39)*(Parameters!$L$5+(Parameters!$M$5-Parameters!$L$5)*(2045-2025)/25)</f>
        <v>0</v>
      </c>
      <c r="AF51" s="32">
        <f>MIN(Trajectory!H40,Trajectory!I40)*(Parameters!$L$5+(Parameters!$M$5-Parameters!$L$5)*(2046-2025)/25)</f>
        <v>0</v>
      </c>
      <c r="AG51" s="32">
        <f>MIN(Trajectory!H41,Trajectory!I41)*(Parameters!$L$5+(Parameters!$M$5-Parameters!$L$5)*(2047-2025)/25)</f>
        <v>0</v>
      </c>
      <c r="AH51" s="32">
        <f>MIN(Trajectory!H42,Trajectory!I42)*(Parameters!$L$5+(Parameters!$M$5-Parameters!$L$5)*(2048-2025)/25)</f>
        <v>0</v>
      </c>
      <c r="AI51" s="32">
        <f>MIN(Trajectory!H43,Trajectory!I43)*(Parameters!$L$5+(Parameters!$M$5-Parameters!$L$5)*(2049-2025)/25)</f>
        <v>0</v>
      </c>
      <c r="AJ51" s="32">
        <f>MIN(Trajectory!H44,Trajectory!I44)*(Parameters!$L$5+(Parameters!$M$5-Parameters!$L$5)*(2050-2025)/25)</f>
        <v>0</v>
      </c>
    </row>
    <row r="52" spans="1:36" x14ac:dyDescent="0.3">
      <c r="A52" s="31">
        <v>13</v>
      </c>
      <c r="B52" s="31" t="s">
        <v>132</v>
      </c>
      <c r="C52" s="31" t="s">
        <v>133</v>
      </c>
      <c r="D52" s="31">
        <v>11</v>
      </c>
      <c r="E52" s="31" t="s">
        <v>128</v>
      </c>
      <c r="F52" s="31"/>
      <c r="G52" s="31" t="s">
        <v>129</v>
      </c>
      <c r="H52" s="31">
        <v>0</v>
      </c>
      <c r="I52" s="32">
        <f>Trajectory!L17</f>
        <v>0.8199999999999994</v>
      </c>
      <c r="J52" s="32">
        <f>Trajectory!L18</f>
        <v>0</v>
      </c>
      <c r="K52" s="32">
        <f>MIN(Trajectory!L19,Trajectory!M19)*(Parameters!$L$6+(Parameters!$M$6-Parameters!$L$6)*(2025-2025)/25)</f>
        <v>0.28600000000000086</v>
      </c>
      <c r="L52" s="32">
        <f>MIN(Trajectory!L20,Trajectory!M20)*(Parameters!$L$6+(Parameters!$M$6-Parameters!$L$6)*(2026-2025)/25)</f>
        <v>0.31173119999999949</v>
      </c>
      <c r="M52" s="32">
        <f>MIN(Trajectory!L21,Trajectory!M21)*(Parameters!$L$6+(Parameters!$M$6-Parameters!$L$6)*(2027-2025)/25)</f>
        <v>0.33974899200000114</v>
      </c>
      <c r="N52" s="32">
        <f>MIN(Trajectory!L22,Trajectory!M22)*(Parameters!$L$6+(Parameters!$M$6-Parameters!$L$6)*(2028-2025)/25)</f>
        <v>0.37025455104000021</v>
      </c>
      <c r="O52" s="32">
        <f>MIN(Trajectory!L23,Trajectory!M23)*(Parameters!$L$6+(Parameters!$M$6-Parameters!$L$6)*(2029-2025)/25)</f>
        <v>0.40346660597759998</v>
      </c>
      <c r="P52" s="32">
        <f>MIN(Trajectory!L24,Trajectory!M24)*(Parameters!$L$6+(Parameters!$M$6-Parameters!$L$6)*(2030-2025)/25)</f>
        <v>0.43962296057856026</v>
      </c>
      <c r="Q52" s="32">
        <f>MIN(Trajectory!L25,Trajectory!M25)*(Parameters!$L$6+(Parameters!$M$6-Parameters!$L$6)*(2031-2025)/25)</f>
        <v>0.47898214563741653</v>
      </c>
      <c r="R52" s="32">
        <f>MIN(Trajectory!L26,Trajectory!M26)*(Parameters!$L$6+(Parameters!$M$6-Parameters!$L$6)*(2032-2025)/25)</f>
        <v>0.52182521335798859</v>
      </c>
      <c r="S52" s="32">
        <f>MIN(Trajectory!L27,Trajectory!M27)*(Parameters!$L$6+(Parameters!$M$6-Parameters!$L$6)*(2033-2025)/25)</f>
        <v>0.56845768618177261</v>
      </c>
      <c r="T52" s="32">
        <f>MIN(Trajectory!L28,Trajectory!M28)*(Parameters!$L$6+(Parameters!$M$6-Parameters!$L$6)*(2034-2025)/25)</f>
        <v>0.61921167329186899</v>
      </c>
      <c r="U52" s="32">
        <f>MIN(Trajectory!L29,Trajectory!M29)*(Parameters!$L$6+(Parameters!$M$6-Parameters!$L$6)*(2035-2025)/25)</f>
        <v>0.67444816914801942</v>
      </c>
      <c r="V52" s="32">
        <f>MIN(Trajectory!L30,Trajectory!M30)*(Parameters!$L$6+(Parameters!$M$6-Parameters!$L$6)*(2036-2025)/25)</f>
        <v>0.73455954963208536</v>
      </c>
      <c r="W52" s="32">
        <f>MIN(Trajectory!L31,Trajectory!M31)*(Parameters!$L$6+(Parameters!$M$6-Parameters!$L$6)*(2037-2025)/25)</f>
        <v>0.79997228271105458</v>
      </c>
      <c r="X52" s="32">
        <f>MIN(Trajectory!L32,Trajectory!M32)*(Parameters!$L$6+(Parameters!$M$6-Parameters!$L$6)*(2038-2025)/25)</f>
        <v>0.87114987196501248</v>
      </c>
      <c r="Y52" s="32">
        <f>MIN(Trajectory!L33,Trajectory!M33)*(Parameters!$L$6+(Parameters!$M$6-Parameters!$L$6)*(2039-2025)/25)</f>
        <v>0.94859605289025561</v>
      </c>
      <c r="Z52" s="32">
        <f>MIN(Trajectory!L34,Trajectory!M34)*(Parameters!$L$6+(Parameters!$M$6-Parameters!$L$6)*(2040-2025)/25)</f>
        <v>1.0328582635829568</v>
      </c>
      <c r="AA52" s="32">
        <f>MIN(Trajectory!L35,Trajectory!M35)*(Parameters!$L$6+(Parameters!$M$6-Parameters!$L$6)*(2041-2025)/25)</f>
        <v>1.1245314132479955</v>
      </c>
      <c r="AB52" s="32">
        <f>MIN(Trajectory!L36,Trajectory!M36)*(Parameters!$L$6+(Parameters!$M$6-Parameters!$L$6)*(2042-2025)/25)</f>
        <v>1.224261973972512</v>
      </c>
      <c r="AC52" s="32">
        <f>MIN(Trajectory!L37,Trajectory!M37)*(Parameters!$L$6+(Parameters!$M$6-Parameters!$L$6)*(2043-2025)/25)</f>
        <v>1.3327524233681596</v>
      </c>
      <c r="AD52" s="32">
        <f>MIN(Trajectory!L38,Trajectory!M38)*(Parameters!$L$6+(Parameters!$M$6-Parameters!$L$6)*(2044-2025)/25)</f>
        <v>1.4507660680336913</v>
      </c>
      <c r="AE52" s="32">
        <f>MIN(Trajectory!L39,Trajectory!M39)*(Parameters!$L$6+(Parameters!$M$6-Parameters!$L$6)*(2045-2025)/25)</f>
        <v>1.4256002191912007</v>
      </c>
      <c r="AF52" s="32">
        <f>MIN(Trajectory!L40,Trajectory!M40)*(Parameters!$L$6+(Parameters!$M$6-Parameters!$L$6)*(2046-2025)/25)</f>
        <v>1.2452392332384969</v>
      </c>
      <c r="AG52" s="32">
        <f>MIN(Trajectory!L41,Trajectory!M41)*(Parameters!$L$6+(Parameters!$M$6-Parameters!$L$6)*(2047-2025)/25)</f>
        <v>1.0778024264227282</v>
      </c>
      <c r="AH52" s="32">
        <f>MIN(Trajectory!L42,Trajectory!M42)*(Parameters!$L$6+(Parameters!$M$6-Parameters!$L$6)*(2048-2025)/25)</f>
        <v>0.92557453625439867</v>
      </c>
      <c r="AI52" s="32">
        <f>MIN(Trajectory!L43,Trajectory!M43)*(Parameters!$L$6+(Parameters!$M$6-Parameters!$L$6)*(2049-2025)/25)</f>
        <v>0.78953065724865734</v>
      </c>
      <c r="AJ52" s="32">
        <f>MIN(Trajectory!L44,Trajectory!M44)*(Parameters!$L$6+(Parameters!$M$6-Parameters!$L$6)*(2050-2025)/25)</f>
        <v>0.66966009077473254</v>
      </c>
    </row>
    <row r="53" spans="1:36" x14ac:dyDescent="0.3">
      <c r="A53" s="31">
        <v>77</v>
      </c>
      <c r="B53" s="31" t="s">
        <v>134</v>
      </c>
      <c r="C53" s="31" t="s">
        <v>135</v>
      </c>
      <c r="D53" s="31">
        <v>11</v>
      </c>
      <c r="E53" s="31" t="s">
        <v>128</v>
      </c>
      <c r="F53" s="31"/>
      <c r="G53" s="31" t="s">
        <v>129</v>
      </c>
      <c r="H53" s="31">
        <v>0</v>
      </c>
      <c r="I53" s="32">
        <f>Trajectory!P17</f>
        <v>0</v>
      </c>
      <c r="J53" s="32">
        <f>Trajectory!P18</f>
        <v>0</v>
      </c>
      <c r="K53" s="32">
        <f>MIN(Trajectory!P19,Trajectory!Q19)*(Parameters!$L$7+(Parameters!$M$7-Parameters!$L$7)*(2025-2025)/25)</f>
        <v>0</v>
      </c>
      <c r="L53" s="32">
        <f>MIN(Trajectory!P20,Trajectory!Q20)*(Parameters!$L$7+(Parameters!$M$7-Parameters!$L$7)*(2026-2025)/25)</f>
        <v>0</v>
      </c>
      <c r="M53" s="32">
        <f>MIN(Trajectory!P21,Trajectory!Q21)*(Parameters!$L$7+(Parameters!$M$7-Parameters!$L$7)*(2027-2025)/25)</f>
        <v>0</v>
      </c>
      <c r="N53" s="32">
        <f>MIN(Trajectory!P22,Trajectory!Q22)*(Parameters!$L$7+(Parameters!$M$7-Parameters!$L$7)*(2028-2025)/25)</f>
        <v>0</v>
      </c>
      <c r="O53" s="32">
        <f>MIN(Trajectory!P23,Trajectory!Q23)*(Parameters!$L$7+(Parameters!$M$7-Parameters!$L$7)*(2029-2025)/25)</f>
        <v>0</v>
      </c>
      <c r="P53" s="32">
        <f>MIN(Trajectory!P24,Trajectory!Q24)*(Parameters!$L$7+(Parameters!$M$7-Parameters!$L$7)*(2030-2025)/25)</f>
        <v>0</v>
      </c>
      <c r="Q53" s="32">
        <f>MIN(Trajectory!P25,Trajectory!Q25)*(Parameters!$L$7+(Parameters!$M$7-Parameters!$L$7)*(2031-2025)/25)</f>
        <v>0</v>
      </c>
      <c r="R53" s="32">
        <f>MIN(Trajectory!P26,Trajectory!Q26)*(Parameters!$L$7+(Parameters!$M$7-Parameters!$L$7)*(2032-2025)/25)</f>
        <v>0</v>
      </c>
      <c r="S53" s="32">
        <f>MIN(Trajectory!P27,Trajectory!Q27)*(Parameters!$L$7+(Parameters!$M$7-Parameters!$L$7)*(2033-2025)/25)</f>
        <v>0</v>
      </c>
      <c r="T53" s="32">
        <f>MIN(Trajectory!P28,Trajectory!Q28)*(Parameters!$L$7+(Parameters!$M$7-Parameters!$L$7)*(2034-2025)/25)</f>
        <v>0</v>
      </c>
      <c r="U53" s="32">
        <f>MIN(Trajectory!P29,Trajectory!Q29)*(Parameters!$L$7+(Parameters!$M$7-Parameters!$L$7)*(2035-2025)/25)</f>
        <v>0</v>
      </c>
      <c r="V53" s="32">
        <f>MIN(Trajectory!P30,Trajectory!Q30)*(Parameters!$L$7+(Parameters!$M$7-Parameters!$L$7)*(2036-2025)/25)</f>
        <v>0</v>
      </c>
      <c r="W53" s="32">
        <f>MIN(Trajectory!P31,Trajectory!Q31)*(Parameters!$L$7+(Parameters!$M$7-Parameters!$L$7)*(2037-2025)/25)</f>
        <v>0</v>
      </c>
      <c r="X53" s="32">
        <f>MIN(Trajectory!P32,Trajectory!Q32)*(Parameters!$L$7+(Parameters!$M$7-Parameters!$L$7)*(2038-2025)/25)</f>
        <v>0</v>
      </c>
      <c r="Y53" s="32">
        <f>MIN(Trajectory!P33,Trajectory!Q33)*(Parameters!$L$7+(Parameters!$M$7-Parameters!$L$7)*(2039-2025)/25)</f>
        <v>0</v>
      </c>
      <c r="Z53" s="32">
        <f>MIN(Trajectory!P34,Trajectory!Q34)*(Parameters!$L$7+(Parameters!$M$7-Parameters!$L$7)*(2040-2025)/25)</f>
        <v>0</v>
      </c>
      <c r="AA53" s="32">
        <f>MIN(Trajectory!P35,Trajectory!Q35)*(Parameters!$L$7+(Parameters!$M$7-Parameters!$L$7)*(2041-2025)/25)</f>
        <v>0</v>
      </c>
      <c r="AB53" s="32">
        <f>MIN(Trajectory!P36,Trajectory!Q36)*(Parameters!$L$7+(Parameters!$M$7-Parameters!$L$7)*(2042-2025)/25)</f>
        <v>0</v>
      </c>
      <c r="AC53" s="32">
        <f>MIN(Trajectory!P37,Trajectory!Q37)*(Parameters!$L$7+(Parameters!$M$7-Parameters!$L$7)*(2043-2025)/25)</f>
        <v>0</v>
      </c>
      <c r="AD53" s="32">
        <f>MIN(Trajectory!P38,Trajectory!Q38)*(Parameters!$L$7+(Parameters!$M$7-Parameters!$L$7)*(2044-2025)/25)</f>
        <v>0</v>
      </c>
      <c r="AE53" s="32">
        <f>MIN(Trajectory!P39,Trajectory!Q39)*(Parameters!$L$7+(Parameters!$M$7-Parameters!$L$7)*(2045-2025)/25)</f>
        <v>0</v>
      </c>
      <c r="AF53" s="32">
        <f>MIN(Trajectory!P40,Trajectory!Q40)*(Parameters!$L$7+(Parameters!$M$7-Parameters!$L$7)*(2046-2025)/25)</f>
        <v>0</v>
      </c>
      <c r="AG53" s="32">
        <f>MIN(Trajectory!P41,Trajectory!Q41)*(Parameters!$L$7+(Parameters!$M$7-Parameters!$L$7)*(2047-2025)/25)</f>
        <v>0</v>
      </c>
      <c r="AH53" s="32">
        <f>MIN(Trajectory!P42,Trajectory!Q42)*(Parameters!$L$7+(Parameters!$M$7-Parameters!$L$7)*(2048-2025)/25)</f>
        <v>0</v>
      </c>
      <c r="AI53" s="32">
        <f>MIN(Trajectory!P43,Trajectory!Q43)*(Parameters!$L$7+(Parameters!$M$7-Parameters!$L$7)*(2049-2025)/25)</f>
        <v>0</v>
      </c>
      <c r="AJ53" s="32">
        <f>MIN(Trajectory!P44,Trajectory!Q44)*(Parameters!$L$7+(Parameters!$M$7-Parameters!$L$7)*(2050-2025)/25)</f>
        <v>0</v>
      </c>
    </row>
    <row r="54" spans="1:36" x14ac:dyDescent="0.3">
      <c r="A54" s="31">
        <v>295</v>
      </c>
      <c r="B54" s="31" t="s">
        <v>136</v>
      </c>
      <c r="C54" s="31" t="s">
        <v>137</v>
      </c>
      <c r="D54" s="31">
        <v>11</v>
      </c>
      <c r="E54" s="31" t="s">
        <v>128</v>
      </c>
      <c r="F54" s="31"/>
      <c r="G54" s="31" t="s">
        <v>129</v>
      </c>
      <c r="H54" s="31">
        <v>0</v>
      </c>
      <c r="I54" s="32">
        <f>Trajectory!T17</f>
        <v>1.5</v>
      </c>
      <c r="J54" s="32">
        <f>Trajectory!T18</f>
        <v>0.59999999999999964</v>
      </c>
      <c r="K54" s="32">
        <f>MIN(Trajectory!T19,Trajectory!U19)*(Parameters!$L$8+(Parameters!$M$8-Parameters!$L$8)*(2025-2025)/25)</f>
        <v>1.0487152654345926</v>
      </c>
      <c r="L54" s="32">
        <f>MIN(Trajectory!T20,Trajectory!U20)*(Parameters!$L$8+(Parameters!$M$8-Parameters!$L$8)*(2026-2025)/25)</f>
        <v>1.2047600596047248</v>
      </c>
      <c r="M54" s="32">
        <f>MIN(Trajectory!T21,Trajectory!U21)*(Parameters!$L$8+(Parameters!$M$8-Parameters!$L$8)*(2027-2025)/25)</f>
        <v>1.3722883050962527</v>
      </c>
      <c r="N54" s="32">
        <f>MIN(Trajectory!T22,Trajectory!U22)*(Parameters!$L$8+(Parameters!$M$8-Parameters!$L$8)*(2028-2025)/25)</f>
        <v>1.5482016563567305</v>
      </c>
      <c r="O54" s="32">
        <f>MIN(Trajectory!T23,Trajectory!U23)*(Parameters!$L$8+(Parameters!$M$8-Parameters!$L$8)*(2029-2025)/25)</f>
        <v>1.7280937389382092</v>
      </c>
      <c r="P54" s="32">
        <f>MIN(Trajectory!T24,Trajectory!U24)*(Parameters!$L$8+(Parameters!$M$8-Parameters!$L$8)*(2030-2025)/25)</f>
        <v>1.9062638205243876</v>
      </c>
      <c r="Q54" s="32">
        <f>MIN(Trajectory!T25,Trajectory!U25)*(Parameters!$L$8+(Parameters!$M$8-Parameters!$L$8)*(2031-2025)/25)</f>
        <v>2.0759058866598212</v>
      </c>
      <c r="R54" s="32">
        <f>MIN(Trajectory!T26,Trajectory!U26)*(Parameters!$L$8+(Parameters!$M$8-Parameters!$L$8)*(2032-2025)/25)</f>
        <v>2.2295025951902798</v>
      </c>
      <c r="S54" s="32">
        <f>MIN(Trajectory!T27,Trajectory!U27)*(Parameters!$L$8+(Parameters!$M$8-Parameters!$L$8)*(2033-2025)/25)</f>
        <v>2.3594168704659015</v>
      </c>
      <c r="T54" s="32">
        <f>MIN(Trajectory!T28,Trajectory!U28)*(Parameters!$L$8+(Parameters!$M$8-Parameters!$L$8)*(2034-2025)/25)</f>
        <v>2.4586247926581084</v>
      </c>
      <c r="U54" s="32">
        <f>MIN(Trajectory!T29,Trajectory!U29)*(Parameters!$L$8+(Parameters!$M$8-Parameters!$L$8)*(2035-2025)/25)</f>
        <v>2.5214847594808458</v>
      </c>
      <c r="V54" s="32">
        <f>MIN(Trajectory!T30,Trajectory!U30)*(Parameters!$L$8+(Parameters!$M$8-Parameters!$L$8)*(2036-2025)/25)</f>
        <v>2.5444073482033991</v>
      </c>
      <c r="W54" s="32">
        <f>MIN(Trajectory!T31,Trajectory!U31)*(Parameters!$L$8+(Parameters!$M$8-Parameters!$L$8)*(2037-2025)/25)</f>
        <v>2.5262933649330921</v>
      </c>
      <c r="X54" s="32">
        <f>MIN(Trajectory!T32,Trajectory!U32)*(Parameters!$L$8+(Parameters!$M$8-Parameters!$L$8)*(2038-2025)/25)</f>
        <v>2.4686491329874709</v>
      </c>
      <c r="Y54" s="32">
        <f>MIN(Trajectory!T33,Trajectory!U33)*(Parameters!$L$8+(Parameters!$M$8-Parameters!$L$8)*(2039-2025)/25)</f>
        <v>2.3753579051559988</v>
      </c>
      <c r="Z54" s="32">
        <f>MIN(Trajectory!T34,Trajectory!U34)*(Parameters!$L$8+(Parameters!$M$8-Parameters!$L$8)*(2040-2025)/25)</f>
        <v>2.2521620468479067</v>
      </c>
      <c r="AA54" s="32">
        <f>MIN(Trajectory!T35,Trajectory!U35)*(Parameters!$L$8+(Parameters!$M$8-Parameters!$L$8)*(2041-2025)/25)</f>
        <v>2.1059676493412405</v>
      </c>
      <c r="AB54" s="32">
        <f>MIN(Trajectory!T36,Trajectory!U36)*(Parameters!$L$8+(Parameters!$M$8-Parameters!$L$8)*(2042-2025)/25)</f>
        <v>1.9441054563054851</v>
      </c>
      <c r="AC54" s="32">
        <f>MIN(Trajectory!T37,Trajectory!U37)*(Parameters!$L$8+(Parameters!$M$8-Parameters!$L$8)*(2043-2025)/25)</f>
        <v>0</v>
      </c>
      <c r="AD54" s="32">
        <f>MIN(Trajectory!T38,Trajectory!U38)*(Parameters!$L$8+(Parameters!$M$8-Parameters!$L$8)*(2044-2025)/25)</f>
        <v>0</v>
      </c>
      <c r="AE54" s="32">
        <f>MIN(Trajectory!T39,Trajectory!U39)*(Parameters!$L$8+(Parameters!$M$8-Parameters!$L$8)*(2045-2025)/25)</f>
        <v>0</v>
      </c>
      <c r="AF54" s="32">
        <f>MIN(Trajectory!T40,Trajectory!U40)*(Parameters!$L$8+(Parameters!$M$8-Parameters!$L$8)*(2046-2025)/25)</f>
        <v>0</v>
      </c>
      <c r="AG54" s="32">
        <f>MIN(Trajectory!T41,Trajectory!U41)*(Parameters!$L$8+(Parameters!$M$8-Parameters!$L$8)*(2047-2025)/25)</f>
        <v>0</v>
      </c>
      <c r="AH54" s="32">
        <f>MIN(Trajectory!T42,Trajectory!U42)*(Parameters!$L$8+(Parameters!$M$8-Parameters!$L$8)*(2048-2025)/25)</f>
        <v>0</v>
      </c>
      <c r="AI54" s="32">
        <f>MIN(Trajectory!T43,Trajectory!U43)*(Parameters!$L$8+(Parameters!$M$8-Parameters!$L$8)*(2049-2025)/25)</f>
        <v>0</v>
      </c>
      <c r="AJ54" s="32">
        <f>MIN(Trajectory!T44,Trajectory!U44)*(Parameters!$L$8+(Parameters!$M$8-Parameters!$L$8)*(2050-2025)/25)</f>
        <v>0</v>
      </c>
    </row>
    <row r="55" spans="1:36" x14ac:dyDescent="0.3">
      <c r="A55" s="31">
        <v>327</v>
      </c>
      <c r="B55" s="31" t="s">
        <v>138</v>
      </c>
      <c r="C55" s="31" t="s">
        <v>139</v>
      </c>
      <c r="D55" s="31">
        <v>11</v>
      </c>
      <c r="E55" s="31" t="s">
        <v>128</v>
      </c>
      <c r="F55" s="31"/>
      <c r="G55" s="31" t="s">
        <v>129</v>
      </c>
      <c r="H55" s="31">
        <v>0</v>
      </c>
      <c r="I55" s="32">
        <f>Trajectory!X17</f>
        <v>0.70900000000000052</v>
      </c>
      <c r="J55" s="32">
        <f>Trajectory!X18</f>
        <v>0.18399999999999928</v>
      </c>
      <c r="K55" s="32">
        <f>MIN(Trajectory!X19,Trajectory!Y19)*(Parameters!$L$9+(Parameters!$M$9-Parameters!$L$9)*(2025-2025)/25)</f>
        <v>0.63120000000000076</v>
      </c>
      <c r="L55" s="32">
        <f>MIN(Trajectory!X20,Trajectory!Y20)*(Parameters!$L$9+(Parameters!$M$9-Parameters!$L$9)*(2026-2025)/25)</f>
        <v>0.67576272000000059</v>
      </c>
      <c r="M55" s="32">
        <f>MIN(Trajectory!X21,Trajectory!Y21)*(Parameters!$L$9+(Parameters!$M$9-Parameters!$L$9)*(2027-2025)/25)</f>
        <v>0.72340064640000235</v>
      </c>
      <c r="N55" s="32">
        <f>MIN(Trajectory!X22,Trajectory!Y22)*(Parameters!$L$9+(Parameters!$M$9-Parameters!$L$9)*(2028-2025)/25)</f>
        <v>0.77432237817599969</v>
      </c>
      <c r="O55" s="32">
        <f>MIN(Trajectory!X23,Trajectory!Y23)*(Parameters!$L$9+(Parameters!$M$9-Parameters!$L$9)*(2029-2025)/25)</f>
        <v>0.82875047543808278</v>
      </c>
      <c r="P55" s="32">
        <f>MIN(Trajectory!X24,Trajectory!Y24)*(Parameters!$L$9+(Parameters!$M$9-Parameters!$L$9)*(2030-2025)/25)</f>
        <v>0.88692238381017707</v>
      </c>
      <c r="Q55" s="32">
        <f>MIN(Trajectory!X25,Trajectory!Y25)*(Parameters!$L$9+(Parameters!$M$9-Parameters!$L$9)*(2031-2025)/25)</f>
        <v>0.94909141947534714</v>
      </c>
      <c r="R55" s="32">
        <f>MIN(Trajectory!X26,Trajectory!Y26)*(Parameters!$L$9+(Parameters!$M$9-Parameters!$L$9)*(2032-2025)/25)</f>
        <v>1.0155278188386201</v>
      </c>
      <c r="S55" s="32">
        <f>MIN(Trajectory!X27,Trajectory!Y27)*(Parameters!$L$9+(Parameters!$M$9-Parameters!$L$9)*(2033-2025)/25)</f>
        <v>1.0865198570153791</v>
      </c>
      <c r="T55" s="32">
        <f>MIN(Trajectory!X28,Trajectory!Y28)*(Parameters!$L$9+(Parameters!$M$9-Parameters!$L$9)*(2034-2025)/25)</f>
        <v>1.1623750396255259</v>
      </c>
      <c r="U55" s="32">
        <f>MIN(Trajectory!X29,Trajectory!Y29)*(Parameters!$L$9+(Parameters!$M$9-Parameters!$L$9)*(2035-2025)/25)</f>
        <v>1.2434213726636372</v>
      </c>
      <c r="V55" s="32">
        <f>MIN(Trajectory!X30,Trajectory!Y30)*(Parameters!$L$9+(Parameters!$M$9-Parameters!$L$9)*(2036-2025)/25)</f>
        <v>1.3300087155236677</v>
      </c>
      <c r="W55" s="32">
        <f>MIN(Trajectory!X31,Trajectory!Y31)*(Parameters!$L$9+(Parameters!$M$9-Parameters!$L$9)*(2037-2025)/25)</f>
        <v>1.4225102225853139</v>
      </c>
      <c r="X55" s="32">
        <f>MIN(Trajectory!X32,Trajectory!Y32)*(Parameters!$L$9+(Parameters!$M$9-Parameters!$L$9)*(2038-2025)/25)</f>
        <v>1.521323879118468</v>
      </c>
      <c r="Y55" s="32">
        <f>MIN(Trajectory!X33,Trajectory!Y33)*(Parameters!$L$9+(Parameters!$M$9-Parameters!$L$9)*(2039-2025)/25)</f>
        <v>1.5001207626425157</v>
      </c>
      <c r="Z55" s="32">
        <f>MIN(Trajectory!X34,Trajectory!Y34)*(Parameters!$L$9+(Parameters!$M$9-Parameters!$L$9)*(2040-2025)/25)</f>
        <v>1.4403029907712623</v>
      </c>
      <c r="AA55" s="32">
        <f>MIN(Trajectory!X35,Trajectory!Y35)*(Parameters!$L$9+(Parameters!$M$9-Parameters!$L$9)*(2041-2025)/25)</f>
        <v>1.3672897222498397</v>
      </c>
      <c r="AB55" s="32">
        <f>MIN(Trajectory!X36,Trajectory!Y36)*(Parameters!$L$9+(Parameters!$M$9-Parameters!$L$9)*(2042-2025)/25)</f>
        <v>1.2842013519248452</v>
      </c>
      <c r="AC55" s="32">
        <f>MIN(Trajectory!X37,Trajectory!Y37)*(Parameters!$L$9+(Parameters!$M$9-Parameters!$L$9)*(2043-2025)/25)</f>
        <v>1.1942277663494241</v>
      </c>
      <c r="AD55" s="32">
        <f>MIN(Trajectory!X38,Trajectory!Y38)*(Parameters!$L$9+(Parameters!$M$9-Parameters!$L$9)*(2044-2025)/25)</f>
        <v>1.1004132699841569</v>
      </c>
      <c r="AE55" s="32">
        <f>MIN(Trajectory!X39,Trajectory!Y39)*(Parameters!$L$9+(Parameters!$M$9-Parameters!$L$9)*(2045-2025)/25)</f>
        <v>1.0054938965294207</v>
      </c>
      <c r="AF55" s="32">
        <f>MIN(Trajectory!X40,Trajectory!Y40)*(Parameters!$L$9+(Parameters!$M$9-Parameters!$L$9)*(2046-2025)/25)</f>
        <v>0.91179361313343277</v>
      </c>
      <c r="AG55" s="32">
        <f>MIN(Trajectory!X41,Trajectory!Y41)*(Parameters!$L$9+(Parameters!$M$9-Parameters!$L$9)*(2047-2025)/25)</f>
        <v>0.82117627136115046</v>
      </c>
      <c r="AH55" s="32">
        <f>MIN(Trajectory!X42,Trajectory!Y42)*(Parameters!$L$9+(Parameters!$M$9-Parameters!$L$9)*(2048-2025)/25)</f>
        <v>0.73504378604678444</v>
      </c>
      <c r="AI55" s="32">
        <f>MIN(Trajectory!X43,Trajectory!Y43)*(Parameters!$L$9+(Parameters!$M$9-Parameters!$L$9)*(2049-2025)/25)</f>
        <v>0</v>
      </c>
      <c r="AJ55" s="32">
        <f>MIN(Trajectory!X44,Trajectory!Y44)*(Parameters!$L$9+(Parameters!$M$9-Parameters!$L$9)*(2050-2025)/25)</f>
        <v>0</v>
      </c>
    </row>
    <row r="56" spans="1:36" x14ac:dyDescent="0.3">
      <c r="A56" s="31">
        <v>414</v>
      </c>
      <c r="B56" s="31" t="s">
        <v>140</v>
      </c>
      <c r="C56" s="31" t="s">
        <v>141</v>
      </c>
      <c r="D56" s="31">
        <v>11</v>
      </c>
      <c r="E56" s="31" t="s">
        <v>128</v>
      </c>
      <c r="F56" s="31"/>
      <c r="G56" s="31" t="s">
        <v>129</v>
      </c>
      <c r="H56" s="31">
        <v>0</v>
      </c>
      <c r="I56" s="32">
        <f>Trajectory!AB17</f>
        <v>0.29259999999999997</v>
      </c>
      <c r="J56" s="32">
        <f>Trajectory!AB18</f>
        <v>0.33529999999999993</v>
      </c>
      <c r="K56" s="32">
        <f>MIN(Trajectory!AB19,Trajectory!AC19)*(Parameters!$L$10+(Parameters!$M$10-Parameters!$L$10)*(2025-2025)/25)</f>
        <v>0.22717466223207639</v>
      </c>
      <c r="L56" s="32">
        <f>MIN(Trajectory!AB20,Trajectory!AC20)*(Parameters!$L$10+(Parameters!$M$10-Parameters!$L$10)*(2026-2025)/25)</f>
        <v>0.26442046154616039</v>
      </c>
      <c r="M56" s="32">
        <f>MIN(Trajectory!AB21,Trajectory!AC21)*(Parameters!$L$10+(Parameters!$M$10-Parameters!$L$10)*(2027-2025)/25)</f>
        <v>0.30576401170229517</v>
      </c>
      <c r="N56" s="32">
        <f>MIN(Trajectory!AB22,Trajectory!AC22)*(Parameters!$L$10+(Parameters!$M$10-Parameters!$L$10)*(2028-2025)/25)</f>
        <v>0.35093480158878704</v>
      </c>
      <c r="O56" s="32">
        <f>MIN(Trajectory!AB23,Trajectory!AC23)*(Parameters!$L$10+(Parameters!$M$10-Parameters!$L$10)*(2029-2025)/25)</f>
        <v>0.39049661774708061</v>
      </c>
      <c r="P56" s="32">
        <f>MIN(Trajectory!AB24,Trajectory!AC24)*(Parameters!$L$10+(Parameters!$M$10-Parameters!$L$10)*(2030-2025)/25)</f>
        <v>0.42155094817919125</v>
      </c>
      <c r="Q56" s="32">
        <f>MIN(Trajectory!AB25,Trajectory!AC25)*(Parameters!$L$10+(Parameters!$M$10-Parameters!$L$10)*(2031-2025)/25)</f>
        <v>0.4550394514448397</v>
      </c>
      <c r="R56" s="32">
        <f>MIN(Trajectory!AB26,Trajectory!AC26)*(Parameters!$L$10+(Parameters!$M$10-Parameters!$L$10)*(2032-2025)/25)</f>
        <v>0.49115074552159882</v>
      </c>
      <c r="S56" s="32">
        <f>MIN(Trajectory!AB27,Trajectory!AC27)*(Parameters!$L$10+(Parameters!$M$10-Parameters!$L$10)*(2033-2025)/25)</f>
        <v>0.53008792745702538</v>
      </c>
      <c r="T56" s="32">
        <f>MIN(Trajectory!AB28,Trajectory!AC28)*(Parameters!$L$10+(Parameters!$M$10-Parameters!$L$10)*(2034-2025)/25)</f>
        <v>0.57206967621035432</v>
      </c>
      <c r="U56" s="32">
        <f>MIN(Trajectory!AB29,Trajectory!AC29)*(Parameters!$L$10+(Parameters!$M$10-Parameters!$L$10)*(2035-2025)/25)</f>
        <v>0.61733143894461207</v>
      </c>
      <c r="V56" s="32">
        <f>MIN(Trajectory!AB30,Trajectory!AC30)*(Parameters!$L$10+(Parameters!$M$10-Parameters!$L$10)*(2036-2025)/25)</f>
        <v>0.66612670704823251</v>
      </c>
      <c r="W56" s="32">
        <f>MIN(Trajectory!AB31,Trajectory!AC31)*(Parameters!$L$10+(Parameters!$M$10-Parameters!$L$10)*(2037-2025)/25)</f>
        <v>0.71872838863553401</v>
      </c>
      <c r="X56" s="32">
        <f>MIN(Trajectory!AB32,Trajectory!AC32)*(Parameters!$L$10+(Parameters!$M$10-Parameters!$L$10)*(2038-2025)/25)</f>
        <v>0.73496359935199174</v>
      </c>
      <c r="Y56" s="32">
        <f>MIN(Trajectory!AB33,Trajectory!AC33)*(Parameters!$L$10+(Parameters!$M$10-Parameters!$L$10)*(2039-2025)/25)</f>
        <v>0.72917640524771654</v>
      </c>
      <c r="Z56" s="32">
        <f>MIN(Trajectory!AB34,Trajectory!AC34)*(Parameters!$L$10+(Parameters!$M$10-Parameters!$L$10)*(2040-2025)/25)</f>
        <v>0.7120056390512095</v>
      </c>
      <c r="AA56" s="32">
        <f>MIN(Trajectory!AB35,Trajectory!AC35)*(Parameters!$L$10+(Parameters!$M$10-Parameters!$L$10)*(2041-2025)/25)</f>
        <v>0.68459515397738568</v>
      </c>
      <c r="AB56" s="32">
        <f>MIN(Trajectory!AB36,Trajectory!AC36)*(Parameters!$L$10+(Parameters!$M$10-Parameters!$L$10)*(2042-2025)/25)</f>
        <v>0.64862013211938729</v>
      </c>
      <c r="AC56" s="32">
        <f>MIN(Trajectory!AB37,Trajectory!AC37)*(Parameters!$L$10+(Parameters!$M$10-Parameters!$L$10)*(2043-2025)/25)</f>
        <v>0.60608522987936364</v>
      </c>
      <c r="AD56" s="32">
        <f>MIN(Trajectory!AB38,Trajectory!AC38)*(Parameters!$L$10+(Parameters!$M$10-Parameters!$L$10)*(2044-2025)/25)</f>
        <v>0.55911108738484017</v>
      </c>
      <c r="AE56" s="32">
        <f>MIN(Trajectory!AB39,Trajectory!AC39)*(Parameters!$L$10+(Parameters!$M$10-Parameters!$L$10)*(2045-2025)/25)</f>
        <v>0.50974364111895987</v>
      </c>
      <c r="AF56" s="32">
        <f>MIN(Trajectory!AB40,Trajectory!AC40)*(Parameters!$L$10+(Parameters!$M$10-Parameters!$L$10)*(2046-2025)/25)</f>
        <v>0.45980924635373249</v>
      </c>
      <c r="AG56" s="32">
        <f>MIN(Trajectory!AB41,Trajectory!AC41)*(Parameters!$L$10+(Parameters!$M$10-Parameters!$L$10)*(2047-2025)/25)</f>
        <v>0</v>
      </c>
      <c r="AH56" s="32">
        <f>MIN(Trajectory!AB42,Trajectory!AC42)*(Parameters!$L$10+(Parameters!$M$10-Parameters!$L$10)*(2048-2025)/25)</f>
        <v>0</v>
      </c>
      <c r="AI56" s="32">
        <f>MIN(Trajectory!AB43,Trajectory!AC43)*(Parameters!$L$10+(Parameters!$M$10-Parameters!$L$10)*(2049-2025)/25)</f>
        <v>0</v>
      </c>
      <c r="AJ56" s="32">
        <f>MIN(Trajectory!AB44,Trajectory!AC44)*(Parameters!$L$10+(Parameters!$M$10-Parameters!$L$10)*(2050-2025)/25)</f>
        <v>0</v>
      </c>
    </row>
    <row r="57" spans="1:36" x14ac:dyDescent="0.3">
      <c r="A57" s="31">
        <v>275</v>
      </c>
      <c r="B57" s="31" t="s">
        <v>142</v>
      </c>
      <c r="C57" s="31" t="s">
        <v>143</v>
      </c>
      <c r="D57" s="31">
        <v>11</v>
      </c>
      <c r="E57" s="31" t="s">
        <v>128</v>
      </c>
      <c r="F57" s="31"/>
      <c r="G57" s="31" t="s">
        <v>129</v>
      </c>
      <c r="H57" s="31">
        <v>0</v>
      </c>
      <c r="I57" s="32">
        <f>Trajectory!AF17</f>
        <v>0.39610000000000012</v>
      </c>
      <c r="J57" s="32">
        <f>Trajectory!AF18</f>
        <v>0.61399999999999944</v>
      </c>
      <c r="K57" s="32">
        <f>MIN(Trajectory!AF19,Trajectory!AG19)*(Parameters!$L$11+(Parameters!$M$11-Parameters!$L$11)*(2025-2025)/25)</f>
        <v>0.42874999999999996</v>
      </c>
      <c r="L57" s="32">
        <f>MIN(Trajectory!AF20,Trajectory!AG20)*(Parameters!$L$11+(Parameters!$M$11-Parameters!$L$11)*(2026-2025)/25)</f>
        <v>0.45883796000000088</v>
      </c>
      <c r="M57" s="32">
        <f>MIN(Trajectory!AF21,Trajectory!AG21)*(Parameters!$L$11+(Parameters!$M$11-Parameters!$L$11)*(2027-2025)/25)</f>
        <v>0.49099297520000146</v>
      </c>
      <c r="N57" s="32">
        <f>MIN(Trajectory!AF22,Trajectory!AG22)*(Parameters!$L$11+(Parameters!$M$11-Parameters!$L$11)*(2028-2025)/25)</f>
        <v>0.52535477556800048</v>
      </c>
      <c r="O57" s="32">
        <f>MIN(Trajectory!AF23,Trajectory!AG23)*(Parameters!$L$11+(Parameters!$M$11-Parameters!$L$11)*(2029-2025)/25)</f>
        <v>0.56207241726944124</v>
      </c>
      <c r="P57" s="32">
        <f>MIN(Trajectory!AF24,Trajectory!AG24)*(Parameters!$L$11+(Parameters!$M$11-Parameters!$L$11)*(2030-2025)/25)</f>
        <v>0.60130489878300919</v>
      </c>
      <c r="Q57" s="32">
        <f>MIN(Trajectory!AF25,Trajectory!AG25)*(Parameters!$L$11+(Parameters!$M$11-Parameters!$L$11)*(2031-2025)/25)</f>
        <v>0.64322181737603579</v>
      </c>
      <c r="R57" s="32">
        <f>MIN(Trajectory!AF26,Trajectory!AG26)*(Parameters!$L$11+(Parameters!$M$11-Parameters!$L$11)*(2032-2025)/25)</f>
        <v>0.6880040685646045</v>
      </c>
      <c r="S57" s="32">
        <f>MIN(Trajectory!AF27,Trajectory!AG27)*(Parameters!$L$11+(Parameters!$M$11-Parameters!$L$11)*(2033-2025)/25)</f>
        <v>0.7358445913532492</v>
      </c>
      <c r="T57" s="32">
        <f>MIN(Trajectory!AF28,Trajectory!AG28)*(Parameters!$L$11+(Parameters!$M$11-Parameters!$L$11)*(2034-2025)/25)</f>
        <v>0.78694916222970168</v>
      </c>
      <c r="U57" s="32">
        <f>MIN(Trajectory!AF29,Trajectory!AG29)*(Parameters!$L$11+(Parameters!$M$11-Parameters!$L$11)*(2035-2025)/25)</f>
        <v>0.84153724108245498</v>
      </c>
      <c r="V57" s="32">
        <f>MIN(Trajectory!AF30,Trajectory!AG30)*(Parameters!$L$11+(Parameters!$M$11-Parameters!$L$11)*(2036-2025)/25)</f>
        <v>0.89984287241351013</v>
      </c>
      <c r="W57" s="32">
        <f>MIN(Trajectory!AF31,Trajectory!AG31)*(Parameters!$L$11+(Parameters!$M$11-Parameters!$L$11)*(2037-2025)/25)</f>
        <v>0.96211564543639494</v>
      </c>
      <c r="X57" s="32">
        <f>MIN(Trajectory!AF32,Trajectory!AG32)*(Parameters!$L$11+(Parameters!$M$11-Parameters!$L$11)*(2038-2025)/25)</f>
        <v>1.0286217168813414</v>
      </c>
      <c r="Y57" s="32">
        <f>MIN(Trajectory!AF33,Trajectory!AG33)*(Parameters!$L$11+(Parameters!$M$11-Parameters!$L$11)*(2039-2025)/25)</f>
        <v>1.0996449005761062</v>
      </c>
      <c r="Z57" s="32">
        <f>MIN(Trajectory!AF34,Trajectory!AG34)*(Parameters!$L$11+(Parameters!$M$11-Parameters!$L$11)*(2040-2025)/25)</f>
        <v>1.1754878281334635</v>
      </c>
      <c r="AA57" s="32">
        <f>MIN(Trajectory!AF35,Trajectory!AG35)*(Parameters!$L$11+(Parameters!$M$11-Parameters!$L$11)*(2041-2025)/25)</f>
        <v>1.204275925176393</v>
      </c>
      <c r="AB57" s="32">
        <f>MIN(Trajectory!AF36,Trajectory!AG36)*(Parameters!$L$11+(Parameters!$M$11-Parameters!$L$11)*(2042-2025)/25)</f>
        <v>1.1428038332619843</v>
      </c>
      <c r="AC57" s="32">
        <f>MIN(Trajectory!AF37,Trajectory!AG37)*(Parameters!$L$11+(Parameters!$M$11-Parameters!$L$11)*(2043-2025)/25)</f>
        <v>1.0729659824532303</v>
      </c>
      <c r="AD57" s="32">
        <f>MIN(Trajectory!AF38,Trajectory!AG38)*(Parameters!$L$11+(Parameters!$M$11-Parameters!$L$11)*(2044-2025)/25)</f>
        <v>0.9974343330419061</v>
      </c>
      <c r="AE57" s="32">
        <f>MIN(Trajectory!AF39,Trajectory!AG39)*(Parameters!$L$11+(Parameters!$M$11-Parameters!$L$11)*(2045-2025)/25)</f>
        <v>0.91875527978299021</v>
      </c>
      <c r="AF57" s="32">
        <f>MIN(Trajectory!AF40,Trajectory!AG40)*(Parameters!$L$11+(Parameters!$M$11-Parameters!$L$11)*(2046-2025)/25)</f>
        <v>0.83921424532251931</v>
      </c>
      <c r="AG57" s="32">
        <f>MIN(Trajectory!AF41,Trajectory!AG41)*(Parameters!$L$11+(Parameters!$M$11-Parameters!$L$11)*(2047-2025)/25)</f>
        <v>0.76074966973548031</v>
      </c>
      <c r="AH57" s="32">
        <f>MIN(Trajectory!AF42,Trajectory!AG42)*(Parameters!$L$11+(Parameters!$M$11-Parameters!$L$11)*(2048-2025)/25)</f>
        <v>0.68491364178657999</v>
      </c>
      <c r="AI57" s="32">
        <f>MIN(Trajectory!AF43,Trajectory!AG43)*(Parameters!$L$11+(Parameters!$M$11-Parameters!$L$11)*(2049-2025)/25)</f>
        <v>0.61287111940032823</v>
      </c>
      <c r="AJ57" s="32">
        <f>MIN(Trajectory!AF44,Trajectory!AG44)*(Parameters!$L$11+(Parameters!$M$11-Parameters!$L$11)*(2050-2025)/25)</f>
        <v>0.54542726682461962</v>
      </c>
    </row>
    <row r="58" spans="1:36" x14ac:dyDescent="0.3">
      <c r="A58" s="31">
        <v>500</v>
      </c>
      <c r="B58" s="31" t="s">
        <v>144</v>
      </c>
      <c r="C58" s="31" t="s">
        <v>145</v>
      </c>
      <c r="D58" s="31">
        <v>11</v>
      </c>
      <c r="E58" s="31" t="s">
        <v>128</v>
      </c>
      <c r="F58" s="31"/>
      <c r="G58" s="31" t="s">
        <v>129</v>
      </c>
      <c r="H58" s="31">
        <v>0</v>
      </c>
      <c r="I58" s="32">
        <f>Trajectory!AJ17</f>
        <v>0.23599999999999999</v>
      </c>
      <c r="J58" s="32">
        <f>Trajectory!AJ18</f>
        <v>0.6765000000000001</v>
      </c>
      <c r="K58" s="32">
        <f>MIN(Trajectory!AJ19,Trajectory!AK19)*(Parameters!$L$12+(Parameters!$M$12-Parameters!$L$12)*(2025-2025)/25)</f>
        <v>0.52520000000000044</v>
      </c>
      <c r="L58" s="32">
        <f>MIN(Trajectory!AJ20,Trajectory!AK20)*(Parameters!$L$12+(Parameters!$M$12-Parameters!$L$12)*(2026-2025)/25)</f>
        <v>0.58305280000000048</v>
      </c>
      <c r="M58" s="32">
        <f>MIN(Trajectory!AJ21,Trajectory!AK21)*(Parameters!$L$12+(Parameters!$M$12-Parameters!$L$12)*(2027-2025)/25)</f>
        <v>0.64722416000000138</v>
      </c>
      <c r="N58" s="32">
        <f>MIN(Trajectory!AJ22,Trajectory!AK22)*(Parameters!$L$12+(Parameters!$M$12-Parameters!$L$12)*(2028-2025)/25)</f>
        <v>0.71839926399999987</v>
      </c>
      <c r="O58" s="32">
        <f>MIN(Trajectory!AJ23,Trajectory!AK23)*(Parameters!$L$12+(Parameters!$M$12-Parameters!$L$12)*(2029-2025)/25)</f>
        <v>0.79733714720000071</v>
      </c>
      <c r="P58" s="32">
        <f>MIN(Trajectory!AJ24,Trajectory!AK24)*(Parameters!$L$12+(Parameters!$M$12-Parameters!$L$12)*(2030-2025)/25)</f>
        <v>0.88487861440000282</v>
      </c>
      <c r="Q58" s="32">
        <f>MIN(Trajectory!AJ25,Trajectory!AK25)*(Parameters!$L$12+(Parameters!$M$12-Parameters!$L$12)*(2031-2025)/25)</f>
        <v>0.98195500356800203</v>
      </c>
      <c r="R58" s="32">
        <f>MIN(Trajectory!AJ26,Trajectory!AK26)*(Parameters!$L$12+(Parameters!$M$12-Parameters!$L$12)*(2032-2025)/25)</f>
        <v>1.0895978844255991</v>
      </c>
      <c r="S58" s="32">
        <f>MIN(Trajectory!AJ27,Trajectory!AK27)*(Parameters!$L$12+(Parameters!$M$12-Parameters!$L$12)*(2033-2025)/25)</f>
        <v>1.2089497914190426</v>
      </c>
      <c r="T58" s="32">
        <f>MIN(Trajectory!AJ28,Trajectory!AK28)*(Parameters!$L$12+(Parameters!$M$12-Parameters!$L$12)*(2034-2025)/25)</f>
        <v>1.3412761009669136</v>
      </c>
      <c r="U58" s="32">
        <f>MIN(Trajectory!AJ29,Trajectory!AK29)*(Parameters!$L$12+(Parameters!$M$12-Parameters!$L$12)*(2035-2025)/25)</f>
        <v>1.487978174510171</v>
      </c>
      <c r="V58" s="32">
        <f>MIN(Trajectory!AJ30,Trajectory!AK30)*(Parameters!$L$12+(Parameters!$M$12-Parameters!$L$12)*(2036-2025)/25)</f>
        <v>1.6506079017524078</v>
      </c>
      <c r="W58" s="32">
        <f>MIN(Trajectory!AJ31,Trajectory!AK31)*(Parameters!$L$12+(Parameters!$M$12-Parameters!$L$12)*(2037-2025)/25)</f>
        <v>1.8308837926979922</v>
      </c>
      <c r="X58" s="32">
        <f>MIN(Trajectory!AJ32,Trajectory!AK32)*(Parameters!$L$12+(Parameters!$M$12-Parameters!$L$12)*(2038-2025)/25)</f>
        <v>2.030708782815172</v>
      </c>
      <c r="Y58" s="32">
        <f>MIN(Trajectory!AJ33,Trajectory!AK33)*(Parameters!$L$12+(Parameters!$M$12-Parameters!$L$12)*(2039-2025)/25)</f>
        <v>2.0010163158631027</v>
      </c>
      <c r="Z58" s="32">
        <f>MIN(Trajectory!AJ34,Trajectory!AK34)*(Parameters!$L$12+(Parameters!$M$12-Parameters!$L$12)*(2040-2025)/25)</f>
        <v>1.9035317061372514</v>
      </c>
      <c r="AA58" s="32">
        <f>MIN(Trajectory!AJ35,Trajectory!AK35)*(Parameters!$L$12+(Parameters!$M$12-Parameters!$L$12)*(2041-2025)/25)</f>
        <v>1.7789310148279132</v>
      </c>
      <c r="AB58" s="32">
        <f>MIN(Trajectory!AJ36,Trajectory!AK36)*(Parameters!$L$12+(Parameters!$M$12-Parameters!$L$12)*(2042-2025)/25)</f>
        <v>1.6353249859913872</v>
      </c>
      <c r="AC58" s="32">
        <f>MIN(Trajectory!AJ37,Trajectory!AK37)*(Parameters!$L$12+(Parameters!$M$12-Parameters!$L$12)*(2043-2025)/25)</f>
        <v>1.4808746487178364</v>
      </c>
      <c r="AD58" s="32">
        <f>MIN(Trajectory!AJ38,Trajectory!AK38)*(Parameters!$L$12+(Parameters!$M$12-Parameters!$L$12)*(2044-2025)/25)</f>
        <v>1.3229962121521817</v>
      </c>
      <c r="AE58" s="32">
        <f>MIN(Trajectory!AJ39,Trajectory!AK39)*(Parameters!$L$12+(Parameters!$M$12-Parameters!$L$12)*(2045-2025)/25)</f>
        <v>1.1678466081320675</v>
      </c>
      <c r="AF58" s="32">
        <f>MIN(Trajectory!AJ40,Trajectory!AK40)*(Parameters!$L$12+(Parameters!$M$12-Parameters!$L$12)*(2046-2025)/25)</f>
        <v>1.0200955325860135</v>
      </c>
      <c r="AG58" s="32">
        <f>MIN(Trajectory!AJ41,Trajectory!AK41)*(Parameters!$L$12+(Parameters!$M$12-Parameters!$L$12)*(2047-2025)/25)</f>
        <v>0</v>
      </c>
      <c r="AH58" s="32">
        <f>MIN(Trajectory!AJ42,Trajectory!AK42)*(Parameters!$L$12+(Parameters!$M$12-Parameters!$L$12)*(2048-2025)/25)</f>
        <v>0</v>
      </c>
      <c r="AI58" s="32">
        <f>MIN(Trajectory!AJ43,Trajectory!AK43)*(Parameters!$L$12+(Parameters!$M$12-Parameters!$L$12)*(2049-2025)/25)</f>
        <v>0</v>
      </c>
      <c r="AJ58" s="32">
        <f>MIN(Trajectory!AJ44,Trajectory!AK44)*(Parameters!$L$12+(Parameters!$M$12-Parameters!$L$12)*(2050-2025)/25)</f>
        <v>0</v>
      </c>
    </row>
    <row r="59" spans="1:36" x14ac:dyDescent="0.3">
      <c r="A59" s="31">
        <v>140</v>
      </c>
      <c r="B59" s="31" t="s">
        <v>146</v>
      </c>
      <c r="C59" s="31" t="s">
        <v>147</v>
      </c>
      <c r="D59" s="31">
        <v>11</v>
      </c>
      <c r="E59" s="31" t="s">
        <v>128</v>
      </c>
      <c r="F59" s="31"/>
      <c r="G59" s="31" t="s">
        <v>129</v>
      </c>
      <c r="H59" s="31">
        <v>0</v>
      </c>
      <c r="I59" s="32">
        <f>Trajectory!AN17</f>
        <v>0</v>
      </c>
      <c r="J59" s="32">
        <f>Trajectory!AN18</f>
        <v>0</v>
      </c>
      <c r="K59" s="32">
        <f>MIN(Trajectory!AN19,Trajectory!AO19)*(Parameters!$L$13+(Parameters!$M$13-Parameters!$L$13)*(2025-2025)/25)</f>
        <v>7.0000000000000053E-3</v>
      </c>
      <c r="L59" s="32">
        <f>MIN(Trajectory!AN20,Trajectory!AO20)*(Parameters!$L$13+(Parameters!$M$13-Parameters!$L$13)*(2026-2025)/25)</f>
        <v>7.7660000000000064E-3</v>
      </c>
      <c r="M59" s="32">
        <f>MIN(Trajectory!AN21,Trajectory!AO21)*(Parameters!$L$13+(Parameters!$M$13-Parameters!$L$13)*(2027-2025)/25)</f>
        <v>8.615200000000019E-3</v>
      </c>
      <c r="N59" s="32">
        <f>MIN(Trajectory!AN22,Trajectory!AO22)*(Parameters!$L$13+(Parameters!$M$13-Parameters!$L$13)*(2028-2025)/25)</f>
        <v>9.5565799999999916E-3</v>
      </c>
      <c r="O59" s="32">
        <f>MIN(Trajectory!AN23,Trajectory!AO23)*(Parameters!$L$13+(Parameters!$M$13-Parameters!$L$13)*(2029-2025)/25)</f>
        <v>1.0600084000000011E-2</v>
      </c>
      <c r="P59" s="32">
        <f>MIN(Trajectory!AN24,Trajectory!AO24)*(Parameters!$L$13+(Parameters!$M$13-Parameters!$L$13)*(2030-2025)/25)</f>
        <v>1.1756723000000007E-2</v>
      </c>
      <c r="Q59" s="32">
        <f>MIN(Trajectory!AN25,Trajectory!AO25)*(Parameters!$L$13+(Parameters!$M$13-Parameters!$L$13)*(2031-2025)/25)</f>
        <v>1.3038688960000036E-2</v>
      </c>
      <c r="R59" s="32">
        <f>MIN(Trajectory!AN26,Trajectory!AO26)*(Parameters!$L$13+(Parameters!$M$13-Parameters!$L$13)*(2032-2025)/25)</f>
        <v>1.4459480881999998E-2</v>
      </c>
      <c r="S59" s="32">
        <f>MIN(Trajectory!AN27,Trajectory!AO27)*(Parameters!$L$13+(Parameters!$M$13-Parameters!$L$13)*(2033-2025)/25)</f>
        <v>1.6034044298800017E-2</v>
      </c>
      <c r="T59" s="32">
        <f>MIN(Trajectory!AN28,Trajectory!AO28)*(Parameters!$L$13+(Parameters!$M$13-Parameters!$L$13)*(2034-2025)/25)</f>
        <v>1.7778925590140049E-2</v>
      </c>
      <c r="U59" s="32">
        <f>MIN(Trajectory!AN29,Trajectory!AO29)*(Parameters!$L$13+(Parameters!$M$13-Parameters!$L$13)*(2035-2025)/25)</f>
        <v>1.9712442696760032E-2</v>
      </c>
      <c r="V59" s="32">
        <f>MIN(Trajectory!AN30,Trajectory!AO30)*(Parameters!$L$13+(Parameters!$M$13-Parameters!$L$13)*(2036-2025)/25)</f>
        <v>2.1854873968802587E-2</v>
      </c>
      <c r="W59" s="32">
        <f>MIN(Trajectory!AN31,Trajectory!AO31)*(Parameters!$L$13+(Parameters!$M$13-Parameters!$L$13)*(2037-2025)/25)</f>
        <v>2.4228667068286143E-2</v>
      </c>
      <c r="X59" s="32">
        <f>MIN(Trajectory!AN32,Trajectory!AO32)*(Parameters!$L$13+(Parameters!$M$13-Parameters!$L$13)*(2038-2025)/25)</f>
        <v>2.6858670047978438E-2</v>
      </c>
      <c r="Y59" s="32">
        <f>MIN(Trajectory!AN33,Trajectory!AO33)*(Parameters!$L$13+(Parameters!$M$13-Parameters!$L$13)*(2039-2025)/25)</f>
        <v>2.9772386952926146E-2</v>
      </c>
      <c r="Z59" s="32">
        <f>MIN(Trajectory!AN34,Trajectory!AO34)*(Parameters!$L$13+(Parameters!$M$13-Parameters!$L$13)*(2040-2025)/25)</f>
        <v>3.3000260538383668E-2</v>
      </c>
      <c r="AA59" s="32">
        <f>MIN(Trajectory!AN35,Trajectory!AO35)*(Parameters!$L$13+(Parameters!$M$13-Parameters!$L$13)*(2041-2025)/25)</f>
        <v>3.6575984971403477E-2</v>
      </c>
      <c r="AB59" s="32">
        <f>MIN(Trajectory!AN36,Trajectory!AO36)*(Parameters!$L$13+(Parameters!$M$13-Parameters!$L$13)*(2042-2025)/25)</f>
        <v>4.0536851685643423E-2</v>
      </c>
      <c r="AC59" s="32">
        <f>MIN(Trajectory!AN37,Trajectory!AO37)*(Parameters!$L$13+(Parameters!$M$13-Parameters!$L$13)*(2043-2025)/25)</f>
        <v>4.4924131893017437E-2</v>
      </c>
      <c r="AD59" s="32">
        <f>MIN(Trajectory!AN38,Trajectory!AO38)*(Parameters!$L$13+(Parameters!$M$13-Parameters!$L$13)*(2044-2025)/25)</f>
        <v>4.978349962500949E-2</v>
      </c>
      <c r="AE59" s="32">
        <f>MIN(Trajectory!AN39,Trajectory!AO39)*(Parameters!$L$13+(Parameters!$M$13-Parameters!$L$13)*(2045-2025)/25)</f>
        <v>5.516549958447E-2</v>
      </c>
      <c r="AF59" s="32">
        <f>MIN(Trajectory!AN40,Trajectory!AO40)*(Parameters!$L$13+(Parameters!$M$13-Parameters!$L$13)*(2046-2025)/25)</f>
        <v>6.112606453957261E-2</v>
      </c>
      <c r="AG59" s="32">
        <f>MIN(Trajectory!AN41,Trajectory!AO41)*(Parameters!$L$13+(Parameters!$M$13-Parameters!$L$13)*(2047-2025)/25)</f>
        <v>6.772708748985079E-2</v>
      </c>
      <c r="AH59" s="32">
        <f>MIN(Trajectory!AN42,Trajectory!AO42)*(Parameters!$L$13+(Parameters!$M$13-Parameters!$L$13)*(2048-2025)/25)</f>
        <v>7.5037054384788984E-2</v>
      </c>
      <c r="AI59" s="32">
        <f>MIN(Trajectory!AN43,Trajectory!AO43)*(Parameters!$L$13+(Parameters!$M$13-Parameters!$L$13)*(2049-2025)/25)</f>
        <v>8.3131743783816603E-2</v>
      </c>
      <c r="AJ59" s="32">
        <f>MIN(Trajectory!AN44,Trajectory!AO44)*(Parameters!$L$13+(Parameters!$M$13-Parameters!$L$13)*(2050-2025)/25)</f>
        <v>8.9750694537858236E-2</v>
      </c>
    </row>
    <row r="60" spans="1:36" x14ac:dyDescent="0.3">
      <c r="A60" s="31">
        <v>457</v>
      </c>
      <c r="B60" s="31" t="s">
        <v>148</v>
      </c>
      <c r="C60" s="31" t="s">
        <v>149</v>
      </c>
      <c r="D60" s="31">
        <v>11</v>
      </c>
      <c r="E60" s="31" t="s">
        <v>128</v>
      </c>
      <c r="F60" s="31"/>
      <c r="G60" s="31" t="s">
        <v>129</v>
      </c>
      <c r="H60" s="31">
        <v>0</v>
      </c>
      <c r="I60" s="32">
        <f>Trajectory!AR17</f>
        <v>0.11499999999999999</v>
      </c>
      <c r="J60" s="32">
        <f>Trajectory!AR18</f>
        <v>8.049999999999996E-2</v>
      </c>
      <c r="K60" s="32">
        <f>MIN(Trajectory!AR19,Trajectory!AS19)*(Parameters!$L$14+(Parameters!$M$14-Parameters!$L$14)*(2025-2025)/25)</f>
        <v>8.4500000000000075E-2</v>
      </c>
      <c r="L60" s="32">
        <f>MIN(Trajectory!AR20,Trajectory!AS20)*(Parameters!$L$14+(Parameters!$M$14-Parameters!$L$14)*(2026-2025)/25)</f>
        <v>9.3808000000000155E-2</v>
      </c>
      <c r="M60" s="32">
        <f>MIN(Trajectory!AR21,Trajectory!AS21)*(Parameters!$L$14+(Parameters!$M$14-Parameters!$L$14)*(2027-2025)/25)</f>
        <v>0.10413260000000014</v>
      </c>
      <c r="N60" s="32">
        <f>MIN(Trajectory!AR22,Trajectory!AS22)*(Parameters!$L$14+(Parameters!$M$14-Parameters!$L$14)*(2028-2025)/25)</f>
        <v>0.11558403999999987</v>
      </c>
      <c r="O60" s="32">
        <f>MIN(Trajectory!AR23,Trajectory!AS23)*(Parameters!$L$14+(Parameters!$M$14-Parameters!$L$14)*(2029-2025)/25)</f>
        <v>0.12828444200000022</v>
      </c>
      <c r="P60" s="32">
        <f>MIN(Trajectory!AR24,Trajectory!AS24)*(Parameters!$L$14+(Parameters!$M$14-Parameters!$L$14)*(2030-2025)/25)</f>
        <v>0.1423690840000004</v>
      </c>
      <c r="Q60" s="32">
        <f>MIN(Trajectory!AR25,Trajectory!AS25)*(Parameters!$L$14+(Parameters!$M$14-Parameters!$L$14)*(2031-2025)/25)</f>
        <v>0.15798780998000039</v>
      </c>
      <c r="R60" s="32">
        <f>MIN(Trajectory!AR26,Trajectory!AS26)*(Parameters!$L$14+(Parameters!$M$14-Parameters!$L$14)*(2032-2025)/25)</f>
        <v>0.1753065903159996</v>
      </c>
      <c r="S60" s="32">
        <f>MIN(Trajectory!AR27,Trajectory!AS27)*(Parameters!$L$14+(Parameters!$M$14-Parameters!$L$14)*(2033-2025)/25)</f>
        <v>0.19450924861940042</v>
      </c>
      <c r="T60" s="32">
        <f>MIN(Trajectory!AR28,Trajectory!AS28)*(Parameters!$L$14+(Parameters!$M$14-Parameters!$L$14)*(2034-2025)/25)</f>
        <v>0.21579937268032007</v>
      </c>
      <c r="U60" s="32">
        <f>MIN(Trajectory!AR29,Trajectory!AS29)*(Parameters!$L$14+(Parameters!$M$14-Parameters!$L$14)*(2035-2025)/25)</f>
        <v>0.23940242906723111</v>
      </c>
      <c r="V60" s="32">
        <f>MIN(Trajectory!AR30,Trajectory!AS30)*(Parameters!$L$14+(Parameters!$M$14-Parameters!$L$14)*(2036-2025)/25)</f>
        <v>0.26556810300471895</v>
      </c>
      <c r="W60" s="32">
        <f>MIN(Trajectory!AR31,Trajectory!AS31)*(Parameters!$L$14+(Parameters!$M$14-Parameters!$L$14)*(2037-2025)/25)</f>
        <v>0.29457288743903315</v>
      </c>
      <c r="X60" s="32">
        <f>MIN(Trajectory!AR32,Trajectory!AS32)*(Parameters!$L$14+(Parameters!$M$14-Parameters!$L$14)*(2038-2025)/25)</f>
        <v>0.32672294773016408</v>
      </c>
      <c r="Y60" s="32">
        <f>MIN(Trajectory!AR33,Trajectory!AS33)*(Parameters!$L$14+(Parameters!$M$14-Parameters!$L$14)*(2039-2025)/25)</f>
        <v>0.36235729120512861</v>
      </c>
      <c r="Z60" s="32">
        <f>MIN(Trajectory!AR34,Trajectory!AS34)*(Parameters!$L$14+(Parameters!$M$14-Parameters!$L$14)*(2040-2025)/25)</f>
        <v>0.40185127389778602</v>
      </c>
      <c r="AA60" s="32">
        <f>MIN(Trajectory!AR35,Trajectory!AS35)*(Parameters!$L$14+(Parameters!$M$14-Parameters!$L$14)*(2041-2025)/25)</f>
        <v>0.44562048021692396</v>
      </c>
      <c r="AB60" s="32">
        <f>MIN(Trajectory!AR36,Trajectory!AS36)*(Parameters!$L$14+(Parameters!$M$14-Parameters!$L$14)*(2042-2025)/25)</f>
        <v>0.4724140021088658</v>
      </c>
      <c r="AC60" s="32">
        <f>MIN(Trajectory!AR37,Trajectory!AS37)*(Parameters!$L$14+(Parameters!$M$14-Parameters!$L$14)*(2043-2025)/25)</f>
        <v>0.44143426157743715</v>
      </c>
      <c r="AD60" s="32">
        <f>MIN(Trajectory!AR38,Trajectory!AS38)*(Parameters!$L$14+(Parameters!$M$14-Parameters!$L$14)*(2044-2025)/25)</f>
        <v>0.4072212583840909</v>
      </c>
      <c r="AE60" s="32">
        <f>MIN(Trajectory!AR39,Trajectory!AS39)*(Parameters!$L$14+(Parameters!$M$14-Parameters!$L$14)*(2045-2025)/25)</f>
        <v>0.37126512364594427</v>
      </c>
      <c r="AF60" s="32">
        <f>MIN(Trajectory!AR40,Trajectory!AS40)*(Parameters!$L$14+(Parameters!$M$14-Parameters!$L$14)*(2046-2025)/25)</f>
        <v>0.33489605937277173</v>
      </c>
      <c r="AG60" s="32">
        <f>MIN(Trajectory!AR41,Trajectory!AS41)*(Parameters!$L$14+(Parameters!$M$14-Parameters!$L$14)*(2047-2025)/25)</f>
        <v>0.29921893043655567</v>
      </c>
      <c r="AH60" s="32">
        <f>MIN(Trajectory!AR42,Trajectory!AS42)*(Parameters!$L$14+(Parameters!$M$14-Parameters!$L$14)*(2048-2025)/25)</f>
        <v>0.26508608605444184</v>
      </c>
      <c r="AI60" s="32">
        <f>MIN(Trajectory!AR43,Trajectory!AS43)*(Parameters!$L$14+(Parameters!$M$14-Parameters!$L$14)*(2049-2025)/25)</f>
        <v>0.23310095835969791</v>
      </c>
      <c r="AJ60" s="32">
        <f>MIN(Trajectory!AR44,Trajectory!AS44)*(Parameters!$L$14+(Parameters!$M$14-Parameters!$L$14)*(2050-2025)/25)</f>
        <v>0.20364270558293357</v>
      </c>
    </row>
    <row r="61" spans="1:36" x14ac:dyDescent="0.3">
      <c r="A61" s="31">
        <v>33</v>
      </c>
      <c r="B61" s="31" t="s">
        <v>150</v>
      </c>
      <c r="C61" s="31" t="s">
        <v>151</v>
      </c>
      <c r="D61" s="31">
        <v>11</v>
      </c>
      <c r="E61" s="31" t="s">
        <v>128</v>
      </c>
      <c r="F61" s="31"/>
      <c r="G61" s="31" t="s">
        <v>129</v>
      </c>
      <c r="H61" s="31">
        <v>0</v>
      </c>
      <c r="I61" s="32">
        <f>Trajectory!AV17</f>
        <v>0.47599999999999987</v>
      </c>
      <c r="J61" s="32">
        <f>Trajectory!AV18</f>
        <v>0.13570000000000015</v>
      </c>
      <c r="K61" s="32">
        <f>MIN(Trajectory!AV19,Trajectory!AW19)*(Parameters!$L$15+(Parameters!$M$15-Parameters!$L$15)*(2025-2025)/25)</f>
        <v>0.13156068134205362</v>
      </c>
      <c r="L61" s="32">
        <f>MIN(Trajectory!AV20,Trajectory!AW20)*(Parameters!$L$15+(Parameters!$M$15-Parameters!$L$15)*(2026-2025)/25)</f>
        <v>0.14869969251179965</v>
      </c>
      <c r="M61" s="32">
        <f>MIN(Trajectory!AV21,Trajectory!AW21)*(Parameters!$L$15+(Parameters!$M$15-Parameters!$L$15)*(2027-2025)/25)</f>
        <v>0.16691953292131703</v>
      </c>
      <c r="N61" s="32">
        <f>MIN(Trajectory!AV22,Trajectory!AW22)*(Parameters!$L$15+(Parameters!$M$15-Parameters!$L$15)*(2028-2025)/25)</f>
        <v>0.18594708145784972</v>
      </c>
      <c r="O61" s="32">
        <f>MIN(Trajectory!AV23,Trajectory!AW23)*(Parameters!$L$15+(Parameters!$M$15-Parameters!$L$15)*(2029-2025)/25)</f>
        <v>0.20540896286403831</v>
      </c>
      <c r="P61" s="32">
        <f>MIN(Trajectory!AV24,Trajectory!AW24)*(Parameters!$L$15+(Parameters!$M$15-Parameters!$L$15)*(2030-2025)/25)</f>
        <v>0.22483198603610219</v>
      </c>
      <c r="Q61" s="32">
        <f>MIN(Trajectory!AV25,Trajectory!AW25)*(Parameters!$L$15+(Parameters!$M$15-Parameters!$L$15)*(2031-2025)/25)</f>
        <v>0.2436540055225408</v>
      </c>
      <c r="R61" s="32">
        <f>MIN(Trajectory!AV26,Trajectory!AW26)*(Parameters!$L$15+(Parameters!$M$15-Parameters!$L$15)*(2032-2025)/25)</f>
        <v>0.26124704804043947</v>
      </c>
      <c r="S61" s="32">
        <f>MIN(Trajectory!AV27,Trajectory!AW27)*(Parameters!$L$15+(Parameters!$M$15-Parameters!$L$15)*(2033-2025)/25)</f>
        <v>0.27695293420399059</v>
      </c>
      <c r="T61" s="32">
        <f>MIN(Trajectory!AV28,Trajectory!AW28)*(Parameters!$L$15+(Parameters!$M$15-Parameters!$L$15)*(2034-2025)/25)</f>
        <v>0.29012937671120603</v>
      </c>
      <c r="U61" s="32">
        <f>MIN(Trajectory!AV29,Trajectory!AW29)*(Parameters!$L$15+(Parameters!$M$15-Parameters!$L$15)*(2035-2025)/25)</f>
        <v>0.30020205425917074</v>
      </c>
      <c r="V61" s="32">
        <f>MIN(Trajectory!AV30,Trajectory!AW30)*(Parameters!$L$15+(Parameters!$M$15-Parameters!$L$15)*(2036-2025)/25)</f>
        <v>0.30671608166868031</v>
      </c>
      <c r="W61" s="32">
        <f>MIN(Trajectory!AV31,Trajectory!AW31)*(Parameters!$L$15+(Parameters!$M$15-Parameters!$L$15)*(2037-2025)/25)</f>
        <v>0.22575797146403265</v>
      </c>
      <c r="X61" s="32">
        <f>MIN(Trajectory!AV32,Trajectory!AW32)*(Parameters!$L$15+(Parameters!$M$15-Parameters!$L$15)*(2038-2025)/25)</f>
        <v>0</v>
      </c>
      <c r="Y61" s="32">
        <f>MIN(Trajectory!AV33,Trajectory!AW33)*(Parameters!$L$15+(Parameters!$M$15-Parameters!$L$15)*(2039-2025)/25)</f>
        <v>0</v>
      </c>
      <c r="Z61" s="32">
        <f>MIN(Trajectory!AV34,Trajectory!AW34)*(Parameters!$L$15+(Parameters!$M$15-Parameters!$L$15)*(2040-2025)/25)</f>
        <v>0</v>
      </c>
      <c r="AA61" s="32">
        <f>MIN(Trajectory!AV35,Trajectory!AW35)*(Parameters!$L$15+(Parameters!$M$15-Parameters!$L$15)*(2041-2025)/25)</f>
        <v>0</v>
      </c>
      <c r="AB61" s="32">
        <f>MIN(Trajectory!AV36,Trajectory!AW36)*(Parameters!$L$15+(Parameters!$M$15-Parameters!$L$15)*(2042-2025)/25)</f>
        <v>0</v>
      </c>
      <c r="AC61" s="32">
        <f>MIN(Trajectory!AV37,Trajectory!AW37)*(Parameters!$L$15+(Parameters!$M$15-Parameters!$L$15)*(2043-2025)/25)</f>
        <v>0</v>
      </c>
      <c r="AD61" s="32">
        <f>MIN(Trajectory!AV38,Trajectory!AW38)*(Parameters!$L$15+(Parameters!$M$15-Parameters!$L$15)*(2044-2025)/25)</f>
        <v>0</v>
      </c>
      <c r="AE61" s="32">
        <f>MIN(Trajectory!AV39,Trajectory!AW39)*(Parameters!$L$15+(Parameters!$M$15-Parameters!$L$15)*(2045-2025)/25)</f>
        <v>0</v>
      </c>
      <c r="AF61" s="32">
        <f>MIN(Trajectory!AV40,Trajectory!AW40)*(Parameters!$L$15+(Parameters!$M$15-Parameters!$L$15)*(2046-2025)/25)</f>
        <v>0</v>
      </c>
      <c r="AG61" s="32">
        <f>MIN(Trajectory!AV41,Trajectory!AW41)*(Parameters!$L$15+(Parameters!$M$15-Parameters!$L$15)*(2047-2025)/25)</f>
        <v>0</v>
      </c>
      <c r="AH61" s="32">
        <f>MIN(Trajectory!AV42,Trajectory!AW42)*(Parameters!$L$15+(Parameters!$M$15-Parameters!$L$15)*(2048-2025)/25)</f>
        <v>0</v>
      </c>
      <c r="AI61" s="32">
        <f>MIN(Trajectory!AV43,Trajectory!AW43)*(Parameters!$L$15+(Parameters!$M$15-Parameters!$L$15)*(2049-2025)/25)</f>
        <v>0</v>
      </c>
      <c r="AJ61" s="32">
        <f>MIN(Trajectory!AV44,Trajectory!AW44)*(Parameters!$L$15+(Parameters!$M$15-Parameters!$L$15)*(2050-2025)/25)</f>
        <v>0</v>
      </c>
    </row>
    <row r="63" spans="1:36" x14ac:dyDescent="0.3">
      <c r="A63" s="35" t="s">
        <v>155</v>
      </c>
      <c r="B63" s="35"/>
      <c r="C63" s="35"/>
      <c r="D63" s="35"/>
      <c r="E63" s="35"/>
      <c r="F63" s="35"/>
      <c r="G63" s="35"/>
      <c r="H63" s="35"/>
    </row>
    <row r="64" spans="1:36" x14ac:dyDescent="0.3">
      <c r="A64" s="24" t="s">
        <v>119</v>
      </c>
      <c r="B64" s="24" t="s">
        <v>52</v>
      </c>
      <c r="C64" s="24" t="s">
        <v>120</v>
      </c>
      <c r="D64" s="24" t="s">
        <v>121</v>
      </c>
      <c r="E64" s="24" t="s">
        <v>122</v>
      </c>
      <c r="F64" s="24" t="s">
        <v>123</v>
      </c>
      <c r="G64" s="24" t="s">
        <v>124</v>
      </c>
      <c r="H64" s="24" t="s">
        <v>125</v>
      </c>
      <c r="I64" s="24">
        <v>2023</v>
      </c>
      <c r="J64" s="24">
        <v>2024</v>
      </c>
      <c r="K64" s="24">
        <v>2025</v>
      </c>
      <c r="L64" s="24">
        <v>2026</v>
      </c>
      <c r="M64" s="24">
        <v>2027</v>
      </c>
      <c r="N64" s="24">
        <v>2028</v>
      </c>
      <c r="O64" s="24">
        <v>2029</v>
      </c>
      <c r="P64" s="24">
        <v>2030</v>
      </c>
      <c r="Q64" s="24">
        <v>2031</v>
      </c>
      <c r="R64" s="24">
        <v>2032</v>
      </c>
      <c r="S64" s="24">
        <v>2033</v>
      </c>
      <c r="T64" s="24">
        <v>2034</v>
      </c>
      <c r="U64" s="24">
        <v>2035</v>
      </c>
      <c r="V64" s="24">
        <v>2036</v>
      </c>
      <c r="W64" s="24">
        <v>2037</v>
      </c>
      <c r="X64" s="24">
        <v>2038</v>
      </c>
      <c r="Y64" s="24">
        <v>2039</v>
      </c>
      <c r="Z64" s="24">
        <v>2040</v>
      </c>
      <c r="AA64" s="24">
        <v>2041</v>
      </c>
      <c r="AB64" s="24">
        <v>2042</v>
      </c>
      <c r="AC64" s="24">
        <v>2043</v>
      </c>
      <c r="AD64" s="24">
        <v>2044</v>
      </c>
      <c r="AE64" s="24">
        <v>2045</v>
      </c>
      <c r="AF64" s="24">
        <v>2046</v>
      </c>
      <c r="AG64" s="24">
        <v>2047</v>
      </c>
      <c r="AH64" s="24">
        <v>2048</v>
      </c>
      <c r="AI64" s="24">
        <v>2049</v>
      </c>
      <c r="AJ64" s="24">
        <v>2050</v>
      </c>
    </row>
    <row r="65" spans="1:36" x14ac:dyDescent="0.3">
      <c r="A65" s="31">
        <v>8</v>
      </c>
      <c r="B65" s="31" t="s">
        <v>126</v>
      </c>
      <c r="C65" s="31" t="s">
        <v>127</v>
      </c>
      <c r="D65" s="31">
        <v>11</v>
      </c>
      <c r="E65" s="31" t="s">
        <v>128</v>
      </c>
      <c r="F65" s="31"/>
      <c r="G65" s="31" t="s">
        <v>129</v>
      </c>
      <c r="H65" s="31">
        <v>0</v>
      </c>
      <c r="I65" s="32">
        <f>Trajectory!D17</f>
        <v>3.3</v>
      </c>
      <c r="J65" s="32">
        <f>Trajectory!D18</f>
        <v>5.6000000000000014</v>
      </c>
      <c r="K65" s="32">
        <f>Trajectory!D19</f>
        <v>1.9488158007407534</v>
      </c>
      <c r="L65" s="32">
        <f>Trajectory!D20</f>
        <v>2.2166258310617977</v>
      </c>
      <c r="M65" s="32">
        <f>Trajectory!D21</f>
        <v>2.5001058300353804</v>
      </c>
      <c r="N65" s="32">
        <f>Trajectory!D22</f>
        <v>2.7932094677533001</v>
      </c>
      <c r="O65" s="32">
        <f>Trajectory!D23</f>
        <v>3.0877857583351904</v>
      </c>
      <c r="P65" s="32">
        <f>Trajectory!D24</f>
        <v>3.37370347660924</v>
      </c>
      <c r="Q65" s="32">
        <f>Trajectory!D25</f>
        <v>3.6392760347809912</v>
      </c>
      <c r="R65" s="32">
        <f>Trajectory!D26</f>
        <v>3.8720183508852131</v>
      </c>
      <c r="S65" s="32">
        <f>Trajectory!D27</f>
        <v>4.0597017354273248</v>
      </c>
      <c r="T65" s="32">
        <f>Trajectory!D28</f>
        <v>4.1915915981390981</v>
      </c>
      <c r="U65" s="32">
        <f>Trajectory!D29</f>
        <v>4.2596789203674845</v>
      </c>
      <c r="V65" s="32">
        <f>Trajectory!D30</f>
        <v>4.2596789203674987</v>
      </c>
      <c r="W65" s="32">
        <f>Trajectory!D31</f>
        <v>4.191591598139091</v>
      </c>
      <c r="X65" s="32">
        <f>Trajectory!D32</f>
        <v>4.0597017354273177</v>
      </c>
      <c r="Y65" s="32">
        <f>Trajectory!D33</f>
        <v>3.8720183508852131</v>
      </c>
      <c r="Z65" s="32">
        <f>Trajectory!D34</f>
        <v>3.6392760347809769</v>
      </c>
      <c r="AA65" s="32">
        <f>Trajectory!D35</f>
        <v>3.3737034766092648</v>
      </c>
      <c r="AB65" s="32">
        <f>Trajectory!D36</f>
        <v>3.0877857583351727</v>
      </c>
      <c r="AC65" s="32">
        <f>Trajectory!D37</f>
        <v>2.7932094677533144</v>
      </c>
      <c r="AD65" s="32">
        <f>Trajectory!D38</f>
        <v>2.5001058300353804</v>
      </c>
      <c r="AE65" s="32">
        <f>Trajectory!D39</f>
        <v>2.2166258310618048</v>
      </c>
      <c r="AF65" s="32">
        <f>Trajectory!D40</f>
        <v>1.9488158007407321</v>
      </c>
      <c r="AG65" s="32">
        <f>Trajectory!D41</f>
        <v>1.700723189475525</v>
      </c>
      <c r="AH65" s="32">
        <f>Trajectory!D42</f>
        <v>1.4746499762728149</v>
      </c>
      <c r="AI65" s="32">
        <f>Trajectory!D43</f>
        <v>1.2714781175419603</v>
      </c>
      <c r="AJ65" s="32">
        <f>Trajectory!D44</f>
        <v>1.0910086309271492</v>
      </c>
    </row>
    <row r="66" spans="1:36" x14ac:dyDescent="0.3">
      <c r="A66" s="31">
        <v>453</v>
      </c>
      <c r="B66" s="31" t="s">
        <v>130</v>
      </c>
      <c r="C66" s="31" t="s">
        <v>131</v>
      </c>
      <c r="D66" s="31">
        <v>11</v>
      </c>
      <c r="E66" s="31" t="s">
        <v>128</v>
      </c>
      <c r="F66" s="31"/>
      <c r="G66" s="31" t="s">
        <v>129</v>
      </c>
      <c r="H66" s="31">
        <v>0</v>
      </c>
      <c r="I66" s="32">
        <f>Trajectory!H17</f>
        <v>4</v>
      </c>
      <c r="J66" s="32">
        <f>Trajectory!H18</f>
        <v>3</v>
      </c>
      <c r="K66" s="32">
        <f>Trajectory!H19</f>
        <v>2.830621355551628</v>
      </c>
      <c r="L66" s="32">
        <f>Trajectory!H20</f>
        <v>3.097976210873334</v>
      </c>
      <c r="M66" s="32">
        <f>Trajectory!H21</f>
        <v>3.3598522709070622</v>
      </c>
      <c r="N66" s="32">
        <f>Trajectory!H22</f>
        <v>3.6080743756326683</v>
      </c>
      <c r="O66" s="32">
        <f>Trajectory!H23</f>
        <v>3.83379550152722</v>
      </c>
      <c r="P66" s="32">
        <f>Trajectory!H24</f>
        <v>4.028044798638625</v>
      </c>
      <c r="Q66" s="32">
        <f>Trajectory!H25</f>
        <v>4.182397595941147</v>
      </c>
      <c r="R66" s="32">
        <f>Trajectory!H26</f>
        <v>4.2896955840742663</v>
      </c>
      <c r="S66" s="32">
        <f>Trajectory!H27</f>
        <v>4.3447209248406864</v>
      </c>
      <c r="T66" s="32">
        <f>Trajectory!H28</f>
        <v>4.3447209248406864</v>
      </c>
      <c r="U66" s="32">
        <f>Trajectory!H29</f>
        <v>4.2896955840742805</v>
      </c>
      <c r="V66" s="32">
        <f>Trajectory!H30</f>
        <v>4.1823975959411399</v>
      </c>
      <c r="W66" s="32">
        <f>Trajectory!H31</f>
        <v>4.0280447986386179</v>
      </c>
      <c r="X66" s="32">
        <f>Trajectory!H32</f>
        <v>3.8337955015272485</v>
      </c>
      <c r="Y66" s="32">
        <f>Trajectory!H33</f>
        <v>3.6080743756326399</v>
      </c>
      <c r="Z66" s="32">
        <f>Trajectory!H34</f>
        <v>3.3598522709070693</v>
      </c>
      <c r="AA66" s="32">
        <f>Trajectory!H35</f>
        <v>3.0979762108733269</v>
      </c>
      <c r="AB66" s="32">
        <f>Trajectory!H36</f>
        <v>2.8306213555516422</v>
      </c>
      <c r="AC66" s="32">
        <f>Trajectory!H37</f>
        <v>2.5649039949300629</v>
      </c>
      <c r="AD66" s="32">
        <f>Trajectory!H38</f>
        <v>2.3066627205060826</v>
      </c>
      <c r="AE66" s="32">
        <f>Trajectory!H39</f>
        <v>2.0603902315096576</v>
      </c>
      <c r="AF66" s="32">
        <f>Trajectory!H40</f>
        <v>1.8292835137305445</v>
      </c>
      <c r="AG66" s="32">
        <f>Trajectory!H41</f>
        <v>1.6153749597941385</v>
      </c>
      <c r="AH66" s="32">
        <f>Trajectory!H42</f>
        <v>1.4197090424719647</v>
      </c>
      <c r="AI66" s="32">
        <f>Trajectory!H43</f>
        <v>1.2425354600503624</v>
      </c>
      <c r="AJ66" s="32">
        <f>Trajectory!H44</f>
        <v>1.0834976166637063</v>
      </c>
    </row>
    <row r="67" spans="1:36" x14ac:dyDescent="0.3">
      <c r="A67" s="31">
        <v>13</v>
      </c>
      <c r="B67" s="31" t="s">
        <v>132</v>
      </c>
      <c r="C67" s="31" t="s">
        <v>133</v>
      </c>
      <c r="D67" s="31">
        <v>11</v>
      </c>
      <c r="E67" s="31" t="s">
        <v>128</v>
      </c>
      <c r="F67" s="31"/>
      <c r="G67" s="31" t="s">
        <v>129</v>
      </c>
      <c r="H67" s="31">
        <v>0</v>
      </c>
      <c r="I67" s="32">
        <f>Trajectory!L17</f>
        <v>0.8199999999999994</v>
      </c>
      <c r="J67" s="32">
        <f>Trajectory!L18</f>
        <v>0</v>
      </c>
      <c r="K67" s="32">
        <f>Trajectory!L19</f>
        <v>0.58729348747106336</v>
      </c>
      <c r="L67" s="32">
        <f>Trajectory!L20</f>
        <v>0.68913198620378679</v>
      </c>
      <c r="M67" s="32">
        <f>Trajectory!L21</f>
        <v>0.80234486677739802</v>
      </c>
      <c r="N67" s="32">
        <f>Trajectory!L22</f>
        <v>0.9257144280462235</v>
      </c>
      <c r="O67" s="32">
        <f>Trajectory!L23</f>
        <v>1.0569323634466858</v>
      </c>
      <c r="P67" s="32">
        <f>Trajectory!L24</f>
        <v>1.1924249290503308</v>
      </c>
      <c r="Q67" s="32">
        <f>Trajectory!L25</f>
        <v>1.3272972232523301</v>
      </c>
      <c r="R67" s="32">
        <f>Trajectory!L26</f>
        <v>1.4554665658131327</v>
      </c>
      <c r="S67" s="32">
        <f>Trajectory!L27</f>
        <v>1.5700386706485929</v>
      </c>
      <c r="T67" s="32">
        <f>Trajectory!L28</f>
        <v>1.6639356397082743</v>
      </c>
      <c r="U67" s="32">
        <f>Trajectory!L29</f>
        <v>1.7307152194040683</v>
      </c>
      <c r="V67" s="32">
        <f>Trajectory!L30</f>
        <v>1.7654450587580541</v>
      </c>
      <c r="W67" s="32">
        <f>Trajectory!L31</f>
        <v>1.7654450587580648</v>
      </c>
      <c r="X67" s="32">
        <f>Trajectory!L32</f>
        <v>1.7307152194040647</v>
      </c>
      <c r="Y67" s="32">
        <f>Trajectory!L33</f>
        <v>1.6639356397082707</v>
      </c>
      <c r="Z67" s="32">
        <f>Trajectory!L34</f>
        <v>1.5700386706485965</v>
      </c>
      <c r="AA67" s="32">
        <f>Trajectory!L35</f>
        <v>1.4554665658131327</v>
      </c>
      <c r="AB67" s="32">
        <f>Trajectory!L36</f>
        <v>1.3272972232523301</v>
      </c>
      <c r="AC67" s="32">
        <f>Trajectory!L37</f>
        <v>1.192424929050329</v>
      </c>
      <c r="AD67" s="32">
        <f>Trajectory!L38</f>
        <v>1.0569323634466841</v>
      </c>
      <c r="AE67" s="32">
        <f>Trajectory!L39</f>
        <v>0.92571442804623416</v>
      </c>
      <c r="AF67" s="32">
        <f>Trajectory!L40</f>
        <v>0.80234486677738204</v>
      </c>
      <c r="AG67" s="32">
        <f>Trajectory!L41</f>
        <v>0.68913198620379035</v>
      </c>
      <c r="AH67" s="32">
        <f>Trajectory!L42</f>
        <v>0.58729348747106513</v>
      </c>
      <c r="AI67" s="32">
        <f>Trajectory!L43</f>
        <v>0.49718555242358775</v>
      </c>
      <c r="AJ67" s="32">
        <f>Trajectory!L44</f>
        <v>0.41853755673420778</v>
      </c>
    </row>
    <row r="68" spans="1:36" x14ac:dyDescent="0.3">
      <c r="A68" s="31">
        <v>77</v>
      </c>
      <c r="B68" s="31" t="s">
        <v>134</v>
      </c>
      <c r="C68" s="31" t="s">
        <v>135</v>
      </c>
      <c r="D68" s="31">
        <v>11</v>
      </c>
      <c r="E68" s="31" t="s">
        <v>128</v>
      </c>
      <c r="F68" s="31"/>
      <c r="G68" s="31" t="s">
        <v>129</v>
      </c>
      <c r="H68" s="31">
        <v>0</v>
      </c>
      <c r="I68" s="32">
        <f>Trajectory!P17</f>
        <v>0</v>
      </c>
      <c r="J68" s="32">
        <f>Trajectory!P18</f>
        <v>0</v>
      </c>
      <c r="K68" s="32">
        <f>Trajectory!P19</f>
        <v>0.56811840284680049</v>
      </c>
      <c r="L68" s="32">
        <f>Trajectory!P20</f>
        <v>0.67108192600924266</v>
      </c>
      <c r="M68" s="32">
        <f>Trajectory!P21</f>
        <v>0.78744959793036706</v>
      </c>
      <c r="N68" s="32">
        <f>Trajectory!P22</f>
        <v>0.91681442074076358</v>
      </c>
      <c r="O68" s="32">
        <f>Trajectory!P23</f>
        <v>1.0577849653720435</v>
      </c>
      <c r="P68" s="32">
        <f>Trajectory!P24</f>
        <v>1.2077236020061459</v>
      </c>
      <c r="Q68" s="32">
        <f>Trajectory!P25</f>
        <v>1.3625467250698229</v>
      </c>
      <c r="R68" s="32">
        <f>Trajectory!P26</f>
        <v>1.5166610833749079</v>
      </c>
      <c r="S68" s="32">
        <f>Trajectory!P27</f>
        <v>1.6631161881836185</v>
      </c>
      <c r="T68" s="32">
        <f>Trajectory!P28</f>
        <v>1.7940341541072513</v>
      </c>
      <c r="U68" s="32">
        <f>Trajectory!P29</f>
        <v>1.9013272880977894</v>
      </c>
      <c r="V68" s="32">
        <f>Trajectory!P30</f>
        <v>1.9776342281820689</v>
      </c>
      <c r="W68" s="32">
        <f>Trajectory!P31</f>
        <v>2.0173189309429134</v>
      </c>
      <c r="X68" s="32">
        <f>Trajectory!P32</f>
        <v>2.0173189309429205</v>
      </c>
      <c r="Y68" s="32">
        <f>Trajectory!P33</f>
        <v>1.9776342281820618</v>
      </c>
      <c r="Z68" s="32">
        <f>Trajectory!P34</f>
        <v>1.9013272880977823</v>
      </c>
      <c r="AA68" s="32">
        <f>Trajectory!P35</f>
        <v>1.7940341541072655</v>
      </c>
      <c r="AB68" s="32">
        <f>Trajectory!P36</f>
        <v>1.663116188183615</v>
      </c>
      <c r="AC68" s="32">
        <f>Trajectory!P37</f>
        <v>1.5166610833749132</v>
      </c>
      <c r="AD68" s="32">
        <f>Trajectory!P38</f>
        <v>1.3625467250698193</v>
      </c>
      <c r="AE68" s="32">
        <f>Trajectory!P39</f>
        <v>1.2077236020061406</v>
      </c>
      <c r="AF68" s="32">
        <f>Trajectory!P40</f>
        <v>1.0577849653720435</v>
      </c>
      <c r="AG68" s="32">
        <f>Trajectory!P41</f>
        <v>0.91681442074075647</v>
      </c>
      <c r="AH68" s="32">
        <f>Trajectory!P42</f>
        <v>0.78744959793037594</v>
      </c>
      <c r="AI68" s="32">
        <f>Trajectory!P43</f>
        <v>0.67108192600924355</v>
      </c>
      <c r="AJ68" s="32">
        <f>Trajectory!P44</f>
        <v>0.5681184028468067</v>
      </c>
    </row>
    <row r="69" spans="1:36" x14ac:dyDescent="0.3">
      <c r="A69" s="31">
        <v>295</v>
      </c>
      <c r="B69" s="31" t="s">
        <v>136</v>
      </c>
      <c r="C69" s="31" t="s">
        <v>137</v>
      </c>
      <c r="D69" s="31">
        <v>11</v>
      </c>
      <c r="E69" s="31" t="s">
        <v>128</v>
      </c>
      <c r="F69" s="31"/>
      <c r="G69" s="31" t="s">
        <v>129</v>
      </c>
      <c r="H69" s="31">
        <v>0</v>
      </c>
      <c r="I69" s="32">
        <f>Trajectory!T17</f>
        <v>1.5</v>
      </c>
      <c r="J69" s="32">
        <f>Trajectory!T18</f>
        <v>0.59999999999999964</v>
      </c>
      <c r="K69" s="32">
        <f>Trajectory!T19</f>
        <v>0.87392938786216057</v>
      </c>
      <c r="L69" s="32">
        <f>Trajectory!T20</f>
        <v>0.99402645181907978</v>
      </c>
      <c r="M69" s="32">
        <f>Trajectory!T21</f>
        <v>1.1211505760590299</v>
      </c>
      <c r="N69" s="32">
        <f>Trajectory!T22</f>
        <v>1.2525903368581961</v>
      </c>
      <c r="O69" s="32">
        <f>Trajectory!T23</f>
        <v>1.3846904959440778</v>
      </c>
      <c r="P69" s="32">
        <f>Trajectory!T24</f>
        <v>1.5129077940669742</v>
      </c>
      <c r="Q69" s="32">
        <f>Trajectory!T25</f>
        <v>1.6320014832231298</v>
      </c>
      <c r="R69" s="32">
        <f>Trajectory!T26</f>
        <v>1.7363727376871338</v>
      </c>
      <c r="S69" s="32">
        <f>Trajectory!T27</f>
        <v>1.8205377086928252</v>
      </c>
      <c r="T69" s="32">
        <f>Trajectory!T28</f>
        <v>1.8796825631942724</v>
      </c>
      <c r="U69" s="32">
        <f>Trajectory!T29</f>
        <v>1.9102157268794286</v>
      </c>
      <c r="V69" s="32">
        <f>Trajectory!T30</f>
        <v>1.9102157268794286</v>
      </c>
      <c r="W69" s="32">
        <f>Trajectory!T31</f>
        <v>1.8796825631942653</v>
      </c>
      <c r="X69" s="32">
        <f>Trajectory!T32</f>
        <v>1.8205377086928252</v>
      </c>
      <c r="Y69" s="32">
        <f>Trajectory!T33</f>
        <v>1.7363727376871338</v>
      </c>
      <c r="Z69" s="32">
        <f>Trajectory!T34</f>
        <v>1.6320014832231209</v>
      </c>
      <c r="AA69" s="32">
        <f>Trajectory!T35</f>
        <v>1.5129077940669831</v>
      </c>
      <c r="AB69" s="32">
        <f>Trajectory!T36</f>
        <v>1.3846904959440778</v>
      </c>
      <c r="AC69" s="32">
        <f>Trajectory!T37</f>
        <v>1.252590336858205</v>
      </c>
      <c r="AD69" s="32">
        <f>Trajectory!T38</f>
        <v>1.1211505760590228</v>
      </c>
      <c r="AE69" s="32">
        <f>Trajectory!T39</f>
        <v>0.99402645181908156</v>
      </c>
      <c r="AF69" s="32">
        <f>Trajectory!T40</f>
        <v>0.87392938786215524</v>
      </c>
      <c r="AG69" s="32">
        <f>Trajectory!T41</f>
        <v>0.76267442789431072</v>
      </c>
      <c r="AH69" s="32">
        <f>Trajectory!T42</f>
        <v>0.66129387425181818</v>
      </c>
      <c r="AI69" s="32">
        <f>Trajectory!T43</f>
        <v>0.57018323256678372</v>
      </c>
      <c r="AJ69" s="32">
        <f>Trajectory!T44</f>
        <v>0.48925327094335103</v>
      </c>
    </row>
    <row r="70" spans="1:36" x14ac:dyDescent="0.3">
      <c r="A70" s="31">
        <v>327</v>
      </c>
      <c r="B70" s="31" t="s">
        <v>138</v>
      </c>
      <c r="C70" s="31" t="s">
        <v>139</v>
      </c>
      <c r="D70" s="31">
        <v>11</v>
      </c>
      <c r="E70" s="31" t="s">
        <v>128</v>
      </c>
      <c r="F70" s="31"/>
      <c r="G70" s="31" t="s">
        <v>129</v>
      </c>
      <c r="H70" s="31">
        <v>0</v>
      </c>
      <c r="I70" s="32">
        <f>Trajectory!X17</f>
        <v>0.70900000000000052</v>
      </c>
      <c r="J70" s="32">
        <f>Trajectory!X18</f>
        <v>0.18399999999999928</v>
      </c>
      <c r="K70" s="32">
        <f>Trajectory!X19</f>
        <v>0.62795703383845147</v>
      </c>
      <c r="L70" s="32">
        <f>Trajectory!X20</f>
        <v>0.69825965036765858</v>
      </c>
      <c r="M70" s="32">
        <f>Trajectory!X21</f>
        <v>0.7705975280001045</v>
      </c>
      <c r="N70" s="32">
        <f>Trajectory!X22</f>
        <v>0.84338119092473463</v>
      </c>
      <c r="O70" s="32">
        <f>Trajectory!X23</f>
        <v>0.91467332758180042</v>
      </c>
      <c r="P70" s="32">
        <f>Trajectory!X24</f>
        <v>0.98224836368522972</v>
      </c>
      <c r="Q70" s="32">
        <f>Trajectory!X25</f>
        <v>1.0436978193994655</v>
      </c>
      <c r="R70" s="32">
        <f>Trajectory!X26</f>
        <v>1.0965795048556384</v>
      </c>
      <c r="S70" s="32">
        <f>Trajectory!X27</f>
        <v>1.1385999198461292</v>
      </c>
      <c r="T70" s="32">
        <f>Trajectory!X28</f>
        <v>1.1678103136180091</v>
      </c>
      <c r="U70" s="32">
        <f>Trajectory!X29</f>
        <v>1.1827902018636856</v>
      </c>
      <c r="V70" s="32">
        <f>Trajectory!X30</f>
        <v>1.182790201863682</v>
      </c>
      <c r="W70" s="32">
        <f>Trajectory!X31</f>
        <v>1.1678103136180162</v>
      </c>
      <c r="X70" s="32">
        <f>Trajectory!X32</f>
        <v>1.1385999198461256</v>
      </c>
      <c r="Y70" s="32">
        <f>Trajectory!X33</f>
        <v>1.0965795048556402</v>
      </c>
      <c r="Z70" s="32">
        <f>Trajectory!X34</f>
        <v>1.0436978193994655</v>
      </c>
      <c r="AA70" s="32">
        <f>Trajectory!X35</f>
        <v>0.98224836368522972</v>
      </c>
      <c r="AB70" s="32">
        <f>Trajectory!X36</f>
        <v>0.91467332758179865</v>
      </c>
      <c r="AC70" s="32">
        <f>Trajectory!X37</f>
        <v>0.84338119092473463</v>
      </c>
      <c r="AD70" s="32">
        <f>Trajectory!X38</f>
        <v>0.77059752800010983</v>
      </c>
      <c r="AE70" s="32">
        <f>Trajectory!X39</f>
        <v>0.69825965036765325</v>
      </c>
      <c r="AF70" s="32">
        <f>Trajectory!X40</f>
        <v>0.62795703383845236</v>
      </c>
      <c r="AG70" s="32">
        <f>Trajectory!X41</f>
        <v>0.56091275366198801</v>
      </c>
      <c r="AH70" s="32">
        <f>Trajectory!X42</f>
        <v>0.49799714501814663</v>
      </c>
      <c r="AI70" s="32">
        <f>Trajectory!X43</f>
        <v>0.43976349869940279</v>
      </c>
      <c r="AJ70" s="32">
        <f>Trajectory!X44</f>
        <v>0.38649615797697834</v>
      </c>
    </row>
    <row r="71" spans="1:36" x14ac:dyDescent="0.3">
      <c r="A71" s="31">
        <v>414</v>
      </c>
      <c r="B71" s="31" t="s">
        <v>140</v>
      </c>
      <c r="C71" s="31" t="s">
        <v>141</v>
      </c>
      <c r="D71" s="31">
        <v>11</v>
      </c>
      <c r="E71" s="31" t="s">
        <v>128</v>
      </c>
      <c r="F71" s="31"/>
      <c r="G71" s="31" t="s">
        <v>129</v>
      </c>
      <c r="H71" s="31">
        <v>0</v>
      </c>
      <c r="I71" s="32">
        <f>Trajectory!AB17</f>
        <v>0.29259999999999997</v>
      </c>
      <c r="J71" s="32">
        <f>Trajectory!AB18</f>
        <v>0.33529999999999993</v>
      </c>
      <c r="K71" s="32">
        <f>Trajectory!AB19</f>
        <v>0.1747497401785203</v>
      </c>
      <c r="L71" s="32">
        <f>Trajectory!AB20</f>
        <v>0.20153998593457345</v>
      </c>
      <c r="M71" s="32">
        <f>Trajectory!AB21</f>
        <v>0.23093958587786645</v>
      </c>
      <c r="N71" s="32">
        <f>Trajectory!AB22</f>
        <v>0.26267574969220586</v>
      </c>
      <c r="O71" s="32">
        <f>Trajectory!AB23</f>
        <v>0.29626884430008626</v>
      </c>
      <c r="P71" s="32">
        <f>Trajectory!AB24</f>
        <v>0.3310023643629596</v>
      </c>
      <c r="Q71" s="32">
        <f>Trajectory!AB25</f>
        <v>0.36591039750316723</v>
      </c>
      <c r="R71" s="32">
        <f>Trajectory!AB26</f>
        <v>0.39979236799430229</v>
      </c>
      <c r="S71" s="32">
        <f>Trajectory!AB27</f>
        <v>0.43126338571767864</v>
      </c>
      <c r="T71" s="32">
        <f>Trajectory!AB28</f>
        <v>0.45884393698216108</v>
      </c>
      <c r="U71" s="32">
        <f>Trajectory!AB29</f>
        <v>0.48108489125081899</v>
      </c>
      <c r="V71" s="32">
        <f>Trajectory!AB30</f>
        <v>0.49671417251206762</v>
      </c>
      <c r="W71" s="32">
        <f>Trajectory!AB31</f>
        <v>0.50478269186263169</v>
      </c>
      <c r="X71" s="32">
        <f>Trajectory!AB32</f>
        <v>0.50478269186263169</v>
      </c>
      <c r="Y71" s="32">
        <f>Trajectory!AB33</f>
        <v>0.49671417251206851</v>
      </c>
      <c r="Z71" s="32">
        <f>Trajectory!AB34</f>
        <v>0.48108489125081721</v>
      </c>
      <c r="AA71" s="32">
        <f>Trajectory!AB35</f>
        <v>0.45884393698216197</v>
      </c>
      <c r="AB71" s="32">
        <f>Trajectory!AB36</f>
        <v>0.43126338571767775</v>
      </c>
      <c r="AC71" s="32">
        <f>Trajectory!AB37</f>
        <v>0.39979236799430318</v>
      </c>
      <c r="AD71" s="32">
        <f>Trajectory!AB38</f>
        <v>0.36591039750316767</v>
      </c>
      <c r="AE71" s="32">
        <f>Trajectory!AB39</f>
        <v>0.33100236436296093</v>
      </c>
      <c r="AF71" s="32">
        <f>Trajectory!AB40</f>
        <v>0.29626884430008538</v>
      </c>
      <c r="AG71" s="32">
        <f>Trajectory!AB41</f>
        <v>0.26267574969220675</v>
      </c>
      <c r="AH71" s="32">
        <f>Trajectory!AB42</f>
        <v>0.23093958587786467</v>
      </c>
      <c r="AI71" s="32">
        <f>Trajectory!AB43</f>
        <v>0.20153998593457345</v>
      </c>
      <c r="AJ71" s="32">
        <f>Trajectory!AB44</f>
        <v>0.17474974017852141</v>
      </c>
    </row>
    <row r="72" spans="1:36" x14ac:dyDescent="0.3">
      <c r="A72" s="31">
        <v>275</v>
      </c>
      <c r="B72" s="31" t="s">
        <v>142</v>
      </c>
      <c r="C72" s="31" t="s">
        <v>143</v>
      </c>
      <c r="D72" s="31">
        <v>11</v>
      </c>
      <c r="E72" s="31" t="s">
        <v>128</v>
      </c>
      <c r="F72" s="31"/>
      <c r="G72" s="31" t="s">
        <v>129</v>
      </c>
      <c r="H72" s="31">
        <v>0</v>
      </c>
      <c r="I72" s="32">
        <f>Trajectory!AF17</f>
        <v>0.39610000000000012</v>
      </c>
      <c r="J72" s="32">
        <f>Trajectory!AF18</f>
        <v>0.61399999999999944</v>
      </c>
      <c r="K72" s="32">
        <f>Trajectory!AF19</f>
        <v>0.44882938518124504</v>
      </c>
      <c r="L72" s="32">
        <f>Trajectory!AF20</f>
        <v>0.50247666429027671</v>
      </c>
      <c r="M72" s="32">
        <f>Trajectory!AF21</f>
        <v>0.55873118863017446</v>
      </c>
      <c r="N72" s="32">
        <f>Trajectory!AF22</f>
        <v>0.61661428173354693</v>
      </c>
      <c r="O72" s="32">
        <f>Trajectory!AF23</f>
        <v>0.67485408189574247</v>
      </c>
      <c r="P72" s="32">
        <f>Trajectory!AF24</f>
        <v>0.73190039730780132</v>
      </c>
      <c r="Q72" s="32">
        <f>Trajectory!AF25</f>
        <v>0.78597237500823969</v>
      </c>
      <c r="R72" s="32">
        <f>Trajectory!AF26</f>
        <v>0.8351428052540868</v>
      </c>
      <c r="S72" s="32">
        <f>Trajectory!AF27</f>
        <v>0.87745750431501079</v>
      </c>
      <c r="T72" s="32">
        <f>Trajectory!AF28</f>
        <v>0.91108126648143184</v>
      </c>
      <c r="U72" s="32">
        <f>Trajectory!AF29</f>
        <v>0.93445474656713401</v>
      </c>
      <c r="V72" s="32">
        <f>Trajectory!AF30</f>
        <v>0.94644130595180975</v>
      </c>
      <c r="W72" s="32">
        <f>Trajectory!AF31</f>
        <v>0.9464413059518062</v>
      </c>
      <c r="X72" s="32">
        <f>Trajectory!AF32</f>
        <v>0.93445474656713756</v>
      </c>
      <c r="Y72" s="32">
        <f>Trajectory!AF33</f>
        <v>0.91108126648143184</v>
      </c>
      <c r="Z72" s="32">
        <f>Trajectory!AF34</f>
        <v>0.87745750431501079</v>
      </c>
      <c r="AA72" s="32">
        <f>Trajectory!AF35</f>
        <v>0.8351428052540868</v>
      </c>
      <c r="AB72" s="32">
        <f>Trajectory!AF36</f>
        <v>0.78597237500824235</v>
      </c>
      <c r="AC72" s="32">
        <f>Trajectory!AF37</f>
        <v>0.73190039730779688</v>
      </c>
      <c r="AD72" s="32">
        <f>Trajectory!AF38</f>
        <v>0.67485408189574159</v>
      </c>
      <c r="AE72" s="32">
        <f>Trajectory!AF39</f>
        <v>0.61661428173355048</v>
      </c>
      <c r="AF72" s="32">
        <f>Trajectory!AF40</f>
        <v>0.55873118863017268</v>
      </c>
      <c r="AG72" s="32">
        <f>Trajectory!AF41</f>
        <v>0.5024766642902776</v>
      </c>
      <c r="AH72" s="32">
        <f>Trajectory!AF42</f>
        <v>0.44882938518124504</v>
      </c>
      <c r="AI72" s="32">
        <f>Trajectory!AF43</f>
        <v>0.39848577334221602</v>
      </c>
      <c r="AJ72" s="32">
        <f>Trajectory!AF44</f>
        <v>0.35188855924169005</v>
      </c>
    </row>
    <row r="73" spans="1:36" x14ac:dyDescent="0.3">
      <c r="A73" s="31">
        <v>500</v>
      </c>
      <c r="B73" s="31" t="s">
        <v>144</v>
      </c>
      <c r="C73" s="31" t="s">
        <v>145</v>
      </c>
      <c r="D73" s="31">
        <v>11</v>
      </c>
      <c r="E73" s="31" t="s">
        <v>128</v>
      </c>
      <c r="F73" s="31"/>
      <c r="G73" s="31" t="s">
        <v>129</v>
      </c>
      <c r="H73" s="31">
        <v>0</v>
      </c>
      <c r="I73" s="32">
        <f>Trajectory!AJ17</f>
        <v>0.23599999999999999</v>
      </c>
      <c r="J73" s="32">
        <f>Trajectory!AJ18</f>
        <v>0.6765000000000001</v>
      </c>
      <c r="K73" s="32">
        <f>Trajectory!AJ19</f>
        <v>0.4811087274595538</v>
      </c>
      <c r="L73" s="32">
        <f>Trajectory!AJ20</f>
        <v>0.5645344619124768</v>
      </c>
      <c r="M73" s="32">
        <f>Trajectory!AJ21</f>
        <v>0.65727804934666301</v>
      </c>
      <c r="N73" s="32">
        <f>Trajectory!AJ22</f>
        <v>0.75834195333250864</v>
      </c>
      <c r="O73" s="32">
        <f>Trajectory!AJ23</f>
        <v>0.86583521737708491</v>
      </c>
      <c r="P73" s="32">
        <f>Trajectory!AJ24</f>
        <v>0.97683024321757106</v>
      </c>
      <c r="Q73" s="32">
        <f>Trajectory!AJ25</f>
        <v>1.087317144941081</v>
      </c>
      <c r="R73" s="32">
        <f>Trajectory!AJ26</f>
        <v>1.1923130126192421</v>
      </c>
      <c r="S73" s="32">
        <f>Trajectory!AJ27</f>
        <v>1.2861700717143609</v>
      </c>
      <c r="T73" s="32">
        <f>Trajectory!AJ28</f>
        <v>1.3630901334217302</v>
      </c>
      <c r="U73" s="32">
        <f>Trajectory!AJ29</f>
        <v>1.417795726610029</v>
      </c>
      <c r="V73" s="32">
        <f>Trajectory!AJ30</f>
        <v>1.446246286973679</v>
      </c>
      <c r="W73" s="32">
        <f>Trajectory!AJ31</f>
        <v>1.4462462869736807</v>
      </c>
      <c r="X73" s="32">
        <f>Trajectory!AJ32</f>
        <v>1.4177957266100254</v>
      </c>
      <c r="Y73" s="32">
        <f>Trajectory!AJ33</f>
        <v>1.363090133421732</v>
      </c>
      <c r="Z73" s="32">
        <f>Trajectory!AJ34</f>
        <v>1.2861700717143592</v>
      </c>
      <c r="AA73" s="32">
        <f>Trajectory!AJ35</f>
        <v>1.1923130126192447</v>
      </c>
      <c r="AB73" s="32">
        <f>Trajectory!AJ36</f>
        <v>1.0873171449410819</v>
      </c>
      <c r="AC73" s="32">
        <f>Trajectory!AJ37</f>
        <v>0.97683024321757017</v>
      </c>
      <c r="AD73" s="32">
        <f>Trajectory!AJ38</f>
        <v>0.86583521737708224</v>
      </c>
      <c r="AE73" s="32">
        <f>Trajectory!AJ39</f>
        <v>0.75834195333251131</v>
      </c>
      <c r="AF73" s="32">
        <f>Trajectory!AJ40</f>
        <v>0.65727804934665812</v>
      </c>
      <c r="AG73" s="32">
        <f>Trajectory!AJ41</f>
        <v>0.56453446191247281</v>
      </c>
      <c r="AH73" s="32">
        <f>Trajectory!AJ42</f>
        <v>0.48110872745956357</v>
      </c>
      <c r="AI73" s="32">
        <f>Trajectory!AJ43</f>
        <v>0.40729262888270767</v>
      </c>
      <c r="AJ73" s="32">
        <f>Trajectory!AJ44</f>
        <v>0.34286447169967715</v>
      </c>
    </row>
    <row r="74" spans="1:36" x14ac:dyDescent="0.3">
      <c r="A74" s="31">
        <v>140</v>
      </c>
      <c r="B74" s="31" t="s">
        <v>146</v>
      </c>
      <c r="C74" s="31" t="s">
        <v>147</v>
      </c>
      <c r="D74" s="31">
        <v>11</v>
      </c>
      <c r="E74" s="31" t="s">
        <v>128</v>
      </c>
      <c r="F74" s="31"/>
      <c r="G74" s="31" t="s">
        <v>129</v>
      </c>
      <c r="H74" s="31">
        <v>0</v>
      </c>
      <c r="I74" s="32">
        <f>Trajectory!AN17</f>
        <v>0</v>
      </c>
      <c r="J74" s="32">
        <f>Trajectory!AN18</f>
        <v>0</v>
      </c>
      <c r="K74" s="32">
        <f>Trajectory!AN19</f>
        <v>0.16689754273672902</v>
      </c>
      <c r="L74" s="32">
        <f>Trajectory!AN20</f>
        <v>0.19710044210905714</v>
      </c>
      <c r="M74" s="32">
        <f>Trajectory!AN21</f>
        <v>0.23016859608095991</v>
      </c>
      <c r="N74" s="32">
        <f>Trajectory!AN22</f>
        <v>0.26528463717227169</v>
      </c>
      <c r="O74" s="32">
        <f>Trajectory!AN23</f>
        <v>0.30117834345000372</v>
      </c>
      <c r="P74" s="32">
        <f>Trajectory!AN24</f>
        <v>0.33612569333006515</v>
      </c>
      <c r="Q74" s="32">
        <f>Trajectory!AN25</f>
        <v>0.36803712142868106</v>
      </c>
      <c r="R74" s="32">
        <f>Trajectory!AN26</f>
        <v>0.39465243107575154</v>
      </c>
      <c r="S74" s="32">
        <f>Trajectory!AN27</f>
        <v>0.41383077455736395</v>
      </c>
      <c r="T74" s="32">
        <f>Trajectory!AN28</f>
        <v>0.42388593716727119</v>
      </c>
      <c r="U74" s="32">
        <f>Trajectory!AN29</f>
        <v>0.42388593716727119</v>
      </c>
      <c r="V74" s="32">
        <f>Trajectory!AN30</f>
        <v>0.41383077455736395</v>
      </c>
      <c r="W74" s="32">
        <f>Trajectory!AN31</f>
        <v>0.3946524310757531</v>
      </c>
      <c r="X74" s="32">
        <f>Trajectory!AN32</f>
        <v>0.36803712142868061</v>
      </c>
      <c r="Y74" s="32">
        <f>Trajectory!AN33</f>
        <v>0.33612569333006537</v>
      </c>
      <c r="Z74" s="32">
        <f>Trajectory!AN34</f>
        <v>0.3011783434500046</v>
      </c>
      <c r="AA74" s="32">
        <f>Trajectory!AN35</f>
        <v>0.2652846371722708</v>
      </c>
      <c r="AB74" s="32">
        <f>Trajectory!AN36</f>
        <v>0.23016859608096052</v>
      </c>
      <c r="AC74" s="32">
        <f>Trajectory!AN37</f>
        <v>0.19710044210905586</v>
      </c>
      <c r="AD74" s="32">
        <f>Trajectory!AN38</f>
        <v>0.16689754273672897</v>
      </c>
      <c r="AE74" s="32">
        <f>Trajectory!AN39</f>
        <v>0.13998362030295475</v>
      </c>
      <c r="AF74" s="32">
        <f>Trajectory!AN40</f>
        <v>0.11647523592745834</v>
      </c>
      <c r="AG74" s="32">
        <f>Trajectory!AN41</f>
        <v>9.6272008463587078E-2</v>
      </c>
      <c r="AH74" s="32">
        <f>Trajectory!AN42</f>
        <v>7.9136423867781858E-2</v>
      </c>
      <c r="AI74" s="32">
        <f>Trajectory!AN43</f>
        <v>6.4757073008076205E-2</v>
      </c>
      <c r="AJ74" s="32">
        <f>Trajectory!AN44</f>
        <v>5.2794526198740144E-2</v>
      </c>
    </row>
    <row r="75" spans="1:36" x14ac:dyDescent="0.3">
      <c r="A75" s="31">
        <v>457</v>
      </c>
      <c r="B75" s="31" t="s">
        <v>148</v>
      </c>
      <c r="C75" s="31" t="s">
        <v>149</v>
      </c>
      <c r="D75" s="31">
        <v>11</v>
      </c>
      <c r="E75" s="31" t="s">
        <v>128</v>
      </c>
      <c r="F75" s="31"/>
      <c r="G75" s="31" t="s">
        <v>129</v>
      </c>
      <c r="H75" s="31">
        <v>0</v>
      </c>
      <c r="I75" s="32">
        <f>Trajectory!AR17</f>
        <v>0.11499999999999999</v>
      </c>
      <c r="J75" s="32">
        <f>Trajectory!AR18</f>
        <v>8.049999999999996E-2</v>
      </c>
      <c r="K75" s="32">
        <f>Trajectory!AR19</f>
        <v>0.12727669098933247</v>
      </c>
      <c r="L75" s="32">
        <f>Trajectory!AR20</f>
        <v>0.14678901659930532</v>
      </c>
      <c r="M75" s="32">
        <f>Trajectory!AR21</f>
        <v>0.16820183125282018</v>
      </c>
      <c r="N75" s="32">
        <f>Trajectory!AR22</f>
        <v>0.19131645168577793</v>
      </c>
      <c r="O75" s="32">
        <f>Trajectory!AR23</f>
        <v>0.21578354341029038</v>
      </c>
      <c r="P75" s="32">
        <f>Trajectory!AR24</f>
        <v>0.24108124912074236</v>
      </c>
      <c r="Q75" s="32">
        <f>Trajectory!AR25</f>
        <v>0.26650605915189152</v>
      </c>
      <c r="R75" s="32">
        <f>Trajectory!AR26</f>
        <v>0.29118354985319073</v>
      </c>
      <c r="S75" s="32">
        <f>Trajectory!AR27</f>
        <v>0.31410505459366123</v>
      </c>
      <c r="T75" s="32">
        <f>Trajectory!AR28</f>
        <v>0.33419298889913618</v>
      </c>
      <c r="U75" s="32">
        <f>Trajectory!AR29</f>
        <v>0.35039189746900412</v>
      </c>
      <c r="V75" s="32">
        <f>Trajectory!AR30</f>
        <v>0.36177528035381457</v>
      </c>
      <c r="W75" s="32">
        <f>Trajectory!AR31</f>
        <v>0.36765188104617641</v>
      </c>
      <c r="X75" s="32">
        <f>Trajectory!AR32</f>
        <v>0.36765188104617685</v>
      </c>
      <c r="Y75" s="32">
        <f>Trajectory!AR33</f>
        <v>0.36177528035381457</v>
      </c>
      <c r="Z75" s="32">
        <f>Trajectory!AR34</f>
        <v>0.35039189746900234</v>
      </c>
      <c r="AA75" s="32">
        <f>Trajectory!AR35</f>
        <v>0.33419298889913751</v>
      </c>
      <c r="AB75" s="32">
        <f>Trajectory!AR36</f>
        <v>0.31410505459366078</v>
      </c>
      <c r="AC75" s="32">
        <f>Trajectory!AR37</f>
        <v>0.29118354985319073</v>
      </c>
      <c r="AD75" s="32">
        <f>Trajectory!AR38</f>
        <v>0.26650605915189196</v>
      </c>
      <c r="AE75" s="32">
        <f>Trajectory!AR39</f>
        <v>0.24108124912074302</v>
      </c>
      <c r="AF75" s="32">
        <f>Trajectory!AR40</f>
        <v>0.21578354341029105</v>
      </c>
      <c r="AG75" s="32">
        <f>Trajectory!AR41</f>
        <v>0.19131645168577727</v>
      </c>
      <c r="AH75" s="32">
        <f>Trajectory!AR42</f>
        <v>0.1682018312528184</v>
      </c>
      <c r="AI75" s="32">
        <f>Trajectory!AR43</f>
        <v>0.14678901659930599</v>
      </c>
      <c r="AJ75" s="32">
        <f>Trajectory!AR44</f>
        <v>0.12727669098933347</v>
      </c>
    </row>
    <row r="76" spans="1:36" x14ac:dyDescent="0.3">
      <c r="A76" s="31">
        <v>33</v>
      </c>
      <c r="B76" s="31" t="s">
        <v>150</v>
      </c>
      <c r="C76" s="31" t="s">
        <v>151</v>
      </c>
      <c r="D76" s="31">
        <v>11</v>
      </c>
      <c r="E76" s="31" t="s">
        <v>128</v>
      </c>
      <c r="F76" s="31"/>
      <c r="G76" s="31" t="s">
        <v>129</v>
      </c>
      <c r="H76" s="31">
        <v>0</v>
      </c>
      <c r="I76" s="32">
        <f>Trajectory!AV17</f>
        <v>0.47599999999999987</v>
      </c>
      <c r="J76" s="32">
        <f>Trajectory!AV18</f>
        <v>0.13570000000000015</v>
      </c>
      <c r="K76" s="32">
        <f>Trajectory!AV19</f>
        <v>0.1052485450736429</v>
      </c>
      <c r="L76" s="32">
        <f>Trajectory!AV20</f>
        <v>0.11782859945467483</v>
      </c>
      <c r="M76" s="32">
        <f>Trajectory!AV21</f>
        <v>0.13102004153949531</v>
      </c>
      <c r="N76" s="32">
        <f>Trajectory!AV22</f>
        <v>0.14459337593922994</v>
      </c>
      <c r="O76" s="32">
        <f>Trajectory!AV23</f>
        <v>0.15825035659787234</v>
      </c>
      <c r="P76" s="32">
        <f>Trajectory!AV24</f>
        <v>0.17162747025656655</v>
      </c>
      <c r="Q76" s="32">
        <f>Trajectory!AV25</f>
        <v>0.1843071146161428</v>
      </c>
      <c r="R76" s="32">
        <f>Trajectory!AV26</f>
        <v>0.19583736734665624</v>
      </c>
      <c r="S76" s="32">
        <f>Trajectory!AV27</f>
        <v>0.20575998083505986</v>
      </c>
      <c r="T76" s="32">
        <f>Trajectory!AV28</f>
        <v>0.21364460729838441</v>
      </c>
      <c r="U76" s="32">
        <f>Trajectory!AV29</f>
        <v>0.21912558705048957</v>
      </c>
      <c r="V76" s="32">
        <f>Trajectory!AV30</f>
        <v>0.22193638326243148</v>
      </c>
      <c r="W76" s="32">
        <f>Trajectory!AV31</f>
        <v>0.22193638326243148</v>
      </c>
      <c r="X76" s="32">
        <f>Trajectory!AV32</f>
        <v>0.21912558705049001</v>
      </c>
      <c r="Y76" s="32">
        <f>Trajectory!AV33</f>
        <v>0.21364460729838441</v>
      </c>
      <c r="Z76" s="32">
        <f>Trajectory!AV34</f>
        <v>0.20575998083505942</v>
      </c>
      <c r="AA76" s="32">
        <f>Trajectory!AV35</f>
        <v>0.19583736734665624</v>
      </c>
      <c r="AB76" s="32">
        <f>Trajectory!AV36</f>
        <v>0.18430711461614369</v>
      </c>
      <c r="AC76" s="32">
        <f>Trajectory!AV37</f>
        <v>0.17162747025656611</v>
      </c>
      <c r="AD76" s="32">
        <f>Trajectory!AV38</f>
        <v>0.1582503565978719</v>
      </c>
      <c r="AE76" s="32">
        <f>Trajectory!AV39</f>
        <v>0.14459337593923038</v>
      </c>
      <c r="AF76" s="32">
        <f>Trajectory!AV40</f>
        <v>0.13102004153949487</v>
      </c>
      <c r="AG76" s="32">
        <f>Trajectory!AV41</f>
        <v>0.11782859945467461</v>
      </c>
      <c r="AH76" s="32">
        <f>Trajectory!AV42</f>
        <v>0.10524854507364267</v>
      </c>
      <c r="AI76" s="32">
        <f>Trajectory!AV43</f>
        <v>9.3443186345469442E-2</v>
      </c>
      <c r="AJ76" s="32">
        <f>Trajectory!AV44</f>
        <v>8.2516341645707314E-2</v>
      </c>
    </row>
    <row r="78" spans="1:36" x14ac:dyDescent="0.3">
      <c r="A78" s="35" t="s">
        <v>156</v>
      </c>
      <c r="B78" s="35"/>
      <c r="C78" s="35"/>
      <c r="D78" s="35"/>
      <c r="E78" s="35"/>
      <c r="F78" s="35"/>
      <c r="G78" s="35"/>
      <c r="H78" s="35"/>
    </row>
    <row r="79" spans="1:36" x14ac:dyDescent="0.3">
      <c r="A79" s="24" t="s">
        <v>119</v>
      </c>
      <c r="B79" s="24" t="s">
        <v>52</v>
      </c>
      <c r="C79" s="24" t="s">
        <v>120</v>
      </c>
      <c r="D79" s="24" t="s">
        <v>121</v>
      </c>
      <c r="E79" s="24" t="s">
        <v>122</v>
      </c>
      <c r="F79" s="24" t="s">
        <v>123</v>
      </c>
      <c r="G79" s="24" t="s">
        <v>124</v>
      </c>
      <c r="H79" s="24" t="s">
        <v>125</v>
      </c>
      <c r="I79" s="24">
        <v>2023</v>
      </c>
      <c r="J79" s="24">
        <v>2024</v>
      </c>
      <c r="K79" s="24">
        <v>2025</v>
      </c>
      <c r="L79" s="24">
        <v>2026</v>
      </c>
      <c r="M79" s="24">
        <v>2027</v>
      </c>
      <c r="N79" s="24">
        <v>2028</v>
      </c>
      <c r="O79" s="24">
        <v>2029</v>
      </c>
      <c r="P79" s="24">
        <v>2030</v>
      </c>
      <c r="Q79" s="24">
        <v>2031</v>
      </c>
      <c r="R79" s="24">
        <v>2032</v>
      </c>
      <c r="S79" s="24">
        <v>2033</v>
      </c>
      <c r="T79" s="24">
        <v>2034</v>
      </c>
      <c r="U79" s="24">
        <v>2035</v>
      </c>
      <c r="V79" s="24">
        <v>2036</v>
      </c>
      <c r="W79" s="24">
        <v>2037</v>
      </c>
      <c r="X79" s="24">
        <v>2038</v>
      </c>
      <c r="Y79" s="24">
        <v>2039</v>
      </c>
      <c r="Z79" s="24">
        <v>2040</v>
      </c>
      <c r="AA79" s="24">
        <v>2041</v>
      </c>
      <c r="AB79" s="24">
        <v>2042</v>
      </c>
      <c r="AC79" s="24">
        <v>2043</v>
      </c>
      <c r="AD79" s="24">
        <v>2044</v>
      </c>
      <c r="AE79" s="24">
        <v>2045</v>
      </c>
      <c r="AF79" s="24">
        <v>2046</v>
      </c>
      <c r="AG79" s="24">
        <v>2047</v>
      </c>
      <c r="AH79" s="24">
        <v>2048</v>
      </c>
      <c r="AI79" s="24">
        <v>2049</v>
      </c>
      <c r="AJ79" s="24">
        <v>2050</v>
      </c>
    </row>
    <row r="80" spans="1:36" x14ac:dyDescent="0.3">
      <c r="A80" s="31">
        <v>8</v>
      </c>
      <c r="B80" s="31" t="s">
        <v>126</v>
      </c>
      <c r="C80" s="31" t="s">
        <v>127</v>
      </c>
      <c r="D80" s="31">
        <v>11</v>
      </c>
      <c r="E80" s="31" t="s">
        <v>128</v>
      </c>
      <c r="F80" s="31"/>
      <c r="G80" s="31" t="s">
        <v>129</v>
      </c>
      <c r="H80" s="31">
        <v>0</v>
      </c>
      <c r="I80" s="32">
        <f>Trajectory!D17</f>
        <v>3.3</v>
      </c>
      <c r="J80" s="32">
        <f>Trajectory!D18</f>
        <v>5.6000000000000014</v>
      </c>
      <c r="K80" s="32">
        <f>Trajectory!E19</f>
        <v>3.8400000000000034</v>
      </c>
      <c r="L80" s="32">
        <f>Trajectory!E20</f>
        <v>4.0704000000000065</v>
      </c>
      <c r="M80" s="32">
        <f>Trajectory!E21</f>
        <v>4.3146240000000091</v>
      </c>
      <c r="N80" s="32">
        <f>Trajectory!E22</f>
        <v>4.5735014400000011</v>
      </c>
      <c r="O80" s="32">
        <f>Trajectory!E23</f>
        <v>4.8479115264000185</v>
      </c>
      <c r="P80" s="32">
        <f>Trajectory!E24</f>
        <v>5.1387862179839985</v>
      </c>
      <c r="Q80" s="32">
        <f>Trajectory!E25</f>
        <v>5.4471133910630556</v>
      </c>
      <c r="R80" s="32">
        <f>Trajectory!E26</f>
        <v>5.7739401945268156</v>
      </c>
      <c r="S80" s="32">
        <f>Trajectory!E27</f>
        <v>6.1203766061984339</v>
      </c>
      <c r="T80" s="32">
        <f>Trajectory!E28</f>
        <v>6.4875992025703582</v>
      </c>
      <c r="U80" s="32">
        <f>Trajectory!E29</f>
        <v>6.8768551547245806</v>
      </c>
      <c r="V80" s="32">
        <f>Trajectory!E30</f>
        <v>7.2894664640080293</v>
      </c>
      <c r="W80" s="32">
        <f>Trajectory!E31</f>
        <v>7.7268344518485321</v>
      </c>
      <c r="X80" s="32">
        <f>Trajectory!E32</f>
        <v>8.1904445189594242</v>
      </c>
      <c r="Y80" s="32">
        <f>Trajectory!E33</f>
        <v>2.7021468317167319</v>
      </c>
      <c r="Z80" s="32">
        <f>Trajectory!E34</f>
        <v>0</v>
      </c>
      <c r="AA80" s="32">
        <f>Trajectory!E35</f>
        <v>0</v>
      </c>
      <c r="AB80" s="32">
        <f>Trajectory!E36</f>
        <v>0</v>
      </c>
      <c r="AC80" s="32">
        <f>Trajectory!E37</f>
        <v>0</v>
      </c>
      <c r="AD80" s="32">
        <f>Trajectory!E38</f>
        <v>0</v>
      </c>
      <c r="AE80" s="32">
        <f>Trajectory!E39</f>
        <v>0</v>
      </c>
      <c r="AF80" s="32">
        <f>Trajectory!E40</f>
        <v>0</v>
      </c>
      <c r="AG80" s="32">
        <f>Trajectory!E41</f>
        <v>0</v>
      </c>
      <c r="AH80" s="32">
        <f>Trajectory!E42</f>
        <v>0</v>
      </c>
      <c r="AI80" s="32">
        <f>Trajectory!E43</f>
        <v>0</v>
      </c>
      <c r="AJ80" s="32">
        <f>Trajectory!E44</f>
        <v>0</v>
      </c>
    </row>
    <row r="81" spans="1:36" x14ac:dyDescent="0.3">
      <c r="A81" s="31">
        <v>453</v>
      </c>
      <c r="B81" s="31" t="s">
        <v>130</v>
      </c>
      <c r="C81" s="31" t="s">
        <v>131</v>
      </c>
      <c r="D81" s="31">
        <v>11</v>
      </c>
      <c r="E81" s="31" t="s">
        <v>128</v>
      </c>
      <c r="F81" s="31"/>
      <c r="G81" s="31" t="s">
        <v>129</v>
      </c>
      <c r="H81" s="31">
        <v>0</v>
      </c>
      <c r="I81" s="32">
        <f>Trajectory!H17</f>
        <v>4</v>
      </c>
      <c r="J81" s="32">
        <f>Trajectory!H18</f>
        <v>3</v>
      </c>
      <c r="K81" s="32">
        <f>Trajectory!I19</f>
        <v>3.9200000000000017</v>
      </c>
      <c r="L81" s="32">
        <f>Trajectory!I20</f>
        <v>4.1159999999999997</v>
      </c>
      <c r="M81" s="32">
        <f>Trajectory!I21</f>
        <v>4.3218000000000103</v>
      </c>
      <c r="N81" s="32">
        <f>Trajectory!I22</f>
        <v>4.5378899999999902</v>
      </c>
      <c r="O81" s="32">
        <f>Trajectory!I23</f>
        <v>4.7647845000000046</v>
      </c>
      <c r="P81" s="32">
        <f>Trajectory!I24</f>
        <v>5.0030237249999914</v>
      </c>
      <c r="Q81" s="32">
        <f>Trajectory!I25</f>
        <v>5.2531749112500137</v>
      </c>
      <c r="R81" s="32">
        <f>Trajectory!I26</f>
        <v>5.5158336568124895</v>
      </c>
      <c r="S81" s="32">
        <f>Trajectory!I27</f>
        <v>5.7916253396531374</v>
      </c>
      <c r="T81" s="32">
        <f>Trajectory!I28</f>
        <v>6.0812066066357744</v>
      </c>
      <c r="U81" s="32">
        <f>Trajectory!I29</f>
        <v>6.3852669369675823</v>
      </c>
      <c r="V81" s="32">
        <f>Trajectory!I30</f>
        <v>6.7045302838159273</v>
      </c>
      <c r="W81" s="32">
        <f>Trajectory!I31</f>
        <v>7.0397567980067777</v>
      </c>
      <c r="X81" s="32">
        <f>Trajectory!I32</f>
        <v>7.3917446379070384</v>
      </c>
      <c r="Y81" s="32">
        <f>Trajectory!I33</f>
        <v>7.761331869802504</v>
      </c>
      <c r="Z81" s="32">
        <f>Trajectory!I34</f>
        <v>3.4120307341487575</v>
      </c>
      <c r="AA81" s="32">
        <f>Trajectory!I35</f>
        <v>0</v>
      </c>
      <c r="AB81" s="32">
        <f>Trajectory!I36</f>
        <v>0</v>
      </c>
      <c r="AC81" s="32">
        <f>Trajectory!I37</f>
        <v>0</v>
      </c>
      <c r="AD81" s="32">
        <f>Trajectory!I38</f>
        <v>0</v>
      </c>
      <c r="AE81" s="32">
        <f>Trajectory!I39</f>
        <v>0</v>
      </c>
      <c r="AF81" s="32">
        <f>Trajectory!I40</f>
        <v>0</v>
      </c>
      <c r="AG81" s="32">
        <f>Trajectory!I41</f>
        <v>0</v>
      </c>
      <c r="AH81" s="32">
        <f>Trajectory!I42</f>
        <v>0</v>
      </c>
      <c r="AI81" s="32">
        <f>Trajectory!I43</f>
        <v>0</v>
      </c>
      <c r="AJ81" s="32">
        <f>Trajectory!I44</f>
        <v>0</v>
      </c>
    </row>
    <row r="82" spans="1:36" x14ac:dyDescent="0.3">
      <c r="A82" s="31">
        <v>13</v>
      </c>
      <c r="B82" s="31" t="s">
        <v>132</v>
      </c>
      <c r="C82" s="31" t="s">
        <v>133</v>
      </c>
      <c r="D82" s="31">
        <v>11</v>
      </c>
      <c r="E82" s="31" t="s">
        <v>128</v>
      </c>
      <c r="F82" s="31"/>
      <c r="G82" s="31" t="s">
        <v>129</v>
      </c>
      <c r="H82" s="31">
        <v>0</v>
      </c>
      <c r="I82" s="32">
        <f>Trajectory!L17</f>
        <v>0.8199999999999994</v>
      </c>
      <c r="J82" s="32">
        <f>Trajectory!L18</f>
        <v>0</v>
      </c>
      <c r="K82" s="32">
        <f>Trajectory!M19</f>
        <v>0.22000000000000064</v>
      </c>
      <c r="L82" s="32">
        <f>Trajectory!M20</f>
        <v>0.23759999999999959</v>
      </c>
      <c r="M82" s="32">
        <f>Trajectory!M21</f>
        <v>0.25660800000000084</v>
      </c>
      <c r="N82" s="32">
        <f>Trajectory!M22</f>
        <v>0.27713664000000016</v>
      </c>
      <c r="O82" s="32">
        <f>Trajectory!M23</f>
        <v>0.29930757119999996</v>
      </c>
      <c r="P82" s="32">
        <f>Trajectory!M24</f>
        <v>0.32325217689600017</v>
      </c>
      <c r="Q82" s="32">
        <f>Trajectory!M25</f>
        <v>0.34911235104767968</v>
      </c>
      <c r="R82" s="32">
        <f>Trajectory!M26</f>
        <v>0.37704133913149462</v>
      </c>
      <c r="S82" s="32">
        <f>Trajectory!M27</f>
        <v>0.40720464626201469</v>
      </c>
      <c r="T82" s="32">
        <f>Trajectory!M28</f>
        <v>0.43978101796297508</v>
      </c>
      <c r="U82" s="32">
        <f>Trajectory!M29</f>
        <v>0.47496349940001359</v>
      </c>
      <c r="V82" s="32">
        <f>Trajectory!M30</f>
        <v>0.51296057935201489</v>
      </c>
      <c r="W82" s="32">
        <f>Trajectory!M31</f>
        <v>0.55399742570017629</v>
      </c>
      <c r="X82" s="32">
        <f>Trajectory!M32</f>
        <v>0.5983172197561899</v>
      </c>
      <c r="Y82" s="32">
        <f>Trajectory!M33</f>
        <v>0.64618259733668637</v>
      </c>
      <c r="Z82" s="32">
        <f>Trajectory!M34</f>
        <v>0.6978772051236195</v>
      </c>
      <c r="AA82" s="32">
        <f>Trajectory!M35</f>
        <v>0.75370738153350914</v>
      </c>
      <c r="AB82" s="32">
        <f>Trajectory!M36</f>
        <v>0.81400397205619157</v>
      </c>
      <c r="AC82" s="32">
        <f>Trajectory!M37</f>
        <v>0.87912428982068569</v>
      </c>
      <c r="AD82" s="32">
        <f>Trajectory!M38</f>
        <v>0.94945423300634246</v>
      </c>
      <c r="AE82" s="32">
        <f>Trajectory!M39</f>
        <v>1.0254105716468445</v>
      </c>
      <c r="AF82" s="32">
        <f>Trajectory!M40</f>
        <v>1.1074434173785974</v>
      </c>
      <c r="AG82" s="32">
        <f>Trajectory!M41</f>
        <v>1.1960388907688824</v>
      </c>
      <c r="AH82" s="32">
        <f>Trajectory!M42</f>
        <v>1.2917220020303972</v>
      </c>
      <c r="AI82" s="32">
        <f>Trajectory!M43</f>
        <v>1.395059762192826</v>
      </c>
      <c r="AJ82" s="32">
        <f>Trajectory!M44</f>
        <v>1.5066645431682488</v>
      </c>
    </row>
    <row r="83" spans="1:36" x14ac:dyDescent="0.3">
      <c r="A83" s="31">
        <v>77</v>
      </c>
      <c r="B83" s="31" t="s">
        <v>134</v>
      </c>
      <c r="C83" s="31" t="s">
        <v>135</v>
      </c>
      <c r="D83" s="31">
        <v>11</v>
      </c>
      <c r="E83" s="31" t="s">
        <v>128</v>
      </c>
      <c r="F83" s="31"/>
      <c r="G83" s="31" t="s">
        <v>129</v>
      </c>
      <c r="H83" s="31">
        <v>0</v>
      </c>
      <c r="I83" s="32">
        <f>Trajectory!P17</f>
        <v>0</v>
      </c>
      <c r="J83" s="32">
        <f>Trajectory!P18</f>
        <v>0</v>
      </c>
      <c r="K83" s="32">
        <f>Trajectory!Q19</f>
        <v>0</v>
      </c>
      <c r="L83" s="32">
        <f>Trajectory!Q20</f>
        <v>0</v>
      </c>
      <c r="M83" s="32">
        <f>Trajectory!Q21</f>
        <v>0</v>
      </c>
      <c r="N83" s="32">
        <f>Trajectory!Q22</f>
        <v>0</v>
      </c>
      <c r="O83" s="32">
        <f>Trajectory!Q23</f>
        <v>0</v>
      </c>
      <c r="P83" s="32">
        <f>Trajectory!Q24</f>
        <v>0</v>
      </c>
      <c r="Q83" s="32">
        <f>Trajectory!Q25</f>
        <v>0</v>
      </c>
      <c r="R83" s="32">
        <f>Trajectory!Q26</f>
        <v>0</v>
      </c>
      <c r="S83" s="32">
        <f>Trajectory!Q27</f>
        <v>0</v>
      </c>
      <c r="T83" s="32">
        <f>Trajectory!Q28</f>
        <v>0</v>
      </c>
      <c r="U83" s="32">
        <f>Trajectory!Q29</f>
        <v>0</v>
      </c>
      <c r="V83" s="32">
        <f>Trajectory!Q30</f>
        <v>0</v>
      </c>
      <c r="W83" s="32">
        <f>Trajectory!Q31</f>
        <v>0</v>
      </c>
      <c r="X83" s="32">
        <f>Trajectory!Q32</f>
        <v>0</v>
      </c>
      <c r="Y83" s="32">
        <f>Trajectory!Q33</f>
        <v>0</v>
      </c>
      <c r="Z83" s="32">
        <f>Trajectory!Q34</f>
        <v>0</v>
      </c>
      <c r="AA83" s="32">
        <f>Trajectory!Q35</f>
        <v>0</v>
      </c>
      <c r="AB83" s="32">
        <f>Trajectory!Q36</f>
        <v>0</v>
      </c>
      <c r="AC83" s="32">
        <f>Trajectory!Q37</f>
        <v>0</v>
      </c>
      <c r="AD83" s="32">
        <f>Trajectory!Q38</f>
        <v>0</v>
      </c>
      <c r="AE83" s="32">
        <f>Trajectory!Q39</f>
        <v>0</v>
      </c>
      <c r="AF83" s="32">
        <f>Trajectory!Q40</f>
        <v>0</v>
      </c>
      <c r="AG83" s="32">
        <f>Trajectory!Q41</f>
        <v>0</v>
      </c>
      <c r="AH83" s="32">
        <f>Trajectory!Q42</f>
        <v>0</v>
      </c>
      <c r="AI83" s="32">
        <f>Trajectory!Q43</f>
        <v>0</v>
      </c>
      <c r="AJ83" s="32">
        <f>Trajectory!Q44</f>
        <v>0</v>
      </c>
    </row>
    <row r="84" spans="1:36" x14ac:dyDescent="0.3">
      <c r="A84" s="31">
        <v>295</v>
      </c>
      <c r="B84" s="31" t="s">
        <v>136</v>
      </c>
      <c r="C84" s="31" t="s">
        <v>137</v>
      </c>
      <c r="D84" s="31">
        <v>11</v>
      </c>
      <c r="E84" s="31" t="s">
        <v>128</v>
      </c>
      <c r="F84" s="31"/>
      <c r="G84" s="31" t="s">
        <v>129</v>
      </c>
      <c r="H84" s="31">
        <v>0</v>
      </c>
      <c r="I84" s="32">
        <f>Trajectory!T17</f>
        <v>1.5</v>
      </c>
      <c r="J84" s="32">
        <f>Trajectory!T18</f>
        <v>0.59999999999999964</v>
      </c>
      <c r="K84" s="32">
        <f>Trajectory!U19</f>
        <v>1.2300000000000004</v>
      </c>
      <c r="L84" s="32">
        <f>Trajectory!U20</f>
        <v>1.3038000000000025</v>
      </c>
      <c r="M84" s="32">
        <f>Trajectory!U21</f>
        <v>1.3820280000000036</v>
      </c>
      <c r="N84" s="32">
        <f>Trajectory!U22</f>
        <v>1.4649496800000001</v>
      </c>
      <c r="O84" s="32">
        <f>Trajectory!U23</f>
        <v>1.5528466608000038</v>
      </c>
      <c r="P84" s="32">
        <f>Trajectory!U24</f>
        <v>1.6460174604480002</v>
      </c>
      <c r="Q84" s="32">
        <f>Trajectory!U25</f>
        <v>1.7447785080748872</v>
      </c>
      <c r="R84" s="32">
        <f>Trajectory!U26</f>
        <v>1.8494652185593701</v>
      </c>
      <c r="S84" s="32">
        <f>Trajectory!U27</f>
        <v>1.9604331316729358</v>
      </c>
      <c r="T84" s="32">
        <f>Trajectory!U28</f>
        <v>2.0780591195733145</v>
      </c>
      <c r="U84" s="32">
        <f>Trajectory!U29</f>
        <v>2.2027426667477172</v>
      </c>
      <c r="V84" s="32">
        <f>Trajectory!U30</f>
        <v>2.334907226752577</v>
      </c>
      <c r="W84" s="32">
        <f>Trajectory!U31</f>
        <v>2.4750016603577336</v>
      </c>
      <c r="X84" s="32">
        <f>Trajectory!U32</f>
        <v>2.6235017599791917</v>
      </c>
      <c r="Y84" s="32">
        <f>Trajectory!U33</f>
        <v>2.7809118655779557</v>
      </c>
      <c r="Z84" s="32">
        <f>Trajectory!U34</f>
        <v>2.9477665775126098</v>
      </c>
      <c r="AA84" s="32">
        <f>Trajectory!U35</f>
        <v>3.1246325721633852</v>
      </c>
      <c r="AB84" s="32">
        <f>Trajectory!U36</f>
        <v>2.698157891780312</v>
      </c>
      <c r="AC84" s="32">
        <f>Trajectory!U37</f>
        <v>0</v>
      </c>
      <c r="AD84" s="32">
        <f>Trajectory!U38</f>
        <v>0</v>
      </c>
      <c r="AE84" s="32">
        <f>Trajectory!U39</f>
        <v>0</v>
      </c>
      <c r="AF84" s="32">
        <f>Trajectory!U40</f>
        <v>0</v>
      </c>
      <c r="AG84" s="32">
        <f>Trajectory!U41</f>
        <v>0</v>
      </c>
      <c r="AH84" s="32">
        <f>Trajectory!U42</f>
        <v>0</v>
      </c>
      <c r="AI84" s="32">
        <f>Trajectory!U43</f>
        <v>0</v>
      </c>
      <c r="AJ84" s="32">
        <f>Trajectory!U44</f>
        <v>0</v>
      </c>
    </row>
    <row r="85" spans="1:36" x14ac:dyDescent="0.3">
      <c r="A85" s="31">
        <v>327</v>
      </c>
      <c r="B85" s="31" t="s">
        <v>138</v>
      </c>
      <c r="C85" s="31" t="s">
        <v>139</v>
      </c>
      <c r="D85" s="31">
        <v>11</v>
      </c>
      <c r="E85" s="31" t="s">
        <v>128</v>
      </c>
      <c r="F85" s="31"/>
      <c r="G85" s="31" t="s">
        <v>129</v>
      </c>
      <c r="H85" s="31">
        <v>0</v>
      </c>
      <c r="I85" s="32">
        <f>Trajectory!X17</f>
        <v>0.70900000000000052</v>
      </c>
      <c r="J85" s="32">
        <f>Trajectory!X18</f>
        <v>0.18399999999999928</v>
      </c>
      <c r="K85" s="32">
        <f>Trajectory!Y19</f>
        <v>0.52600000000000069</v>
      </c>
      <c r="L85" s="32">
        <f>Trajectory!Y20</f>
        <v>0.5575600000000005</v>
      </c>
      <c r="M85" s="32">
        <f>Trajectory!Y21</f>
        <v>0.59101360000000192</v>
      </c>
      <c r="N85" s="32">
        <f>Trajectory!Y22</f>
        <v>0.62647441599999976</v>
      </c>
      <c r="O85" s="32">
        <f>Trajectory!Y23</f>
        <v>0.66406288096000221</v>
      </c>
      <c r="P85" s="32">
        <f>Trajectory!Y24</f>
        <v>0.70390665381760087</v>
      </c>
      <c r="Q85" s="32">
        <f>Trajectory!Y25</f>
        <v>0.74614105304665657</v>
      </c>
      <c r="R85" s="32">
        <f>Trajectory!Y26</f>
        <v>0.79090951622945482</v>
      </c>
      <c r="S85" s="32">
        <f>Trajectory!Y27</f>
        <v>0.83836408720322453</v>
      </c>
      <c r="T85" s="32">
        <f>Trajectory!Y28</f>
        <v>0.88866593243541736</v>
      </c>
      <c r="U85" s="32">
        <f>Trajectory!Y29</f>
        <v>0.94198588838154329</v>
      </c>
      <c r="V85" s="32">
        <f>Trajectory!Y30</f>
        <v>0.99850504168443521</v>
      </c>
      <c r="W85" s="32">
        <f>Trajectory!Y31</f>
        <v>1.0584153441855015</v>
      </c>
      <c r="X85" s="32">
        <f>Trajectory!Y32</f>
        <v>1.1219202648366284</v>
      </c>
      <c r="Y85" s="32">
        <f>Trajectory!Y33</f>
        <v>1.1892354807268362</v>
      </c>
      <c r="Z85" s="32">
        <f>Trajectory!Y34</f>
        <v>1.2605896095704345</v>
      </c>
      <c r="AA85" s="32">
        <f>Trajectory!Y35</f>
        <v>1.3362249861446642</v>
      </c>
      <c r="AB85" s="32">
        <f>Trajectory!Y36</f>
        <v>1.4163984853133442</v>
      </c>
      <c r="AC85" s="32">
        <f>Trajectory!Y37</f>
        <v>1.5013823944321487</v>
      </c>
      <c r="AD85" s="32">
        <f>Trajectory!Y38</f>
        <v>1.5914653380980717</v>
      </c>
      <c r="AE85" s="32">
        <f>Trajectory!Y39</f>
        <v>1.6869532583839657</v>
      </c>
      <c r="AF85" s="32">
        <f>Trajectory!Y40</f>
        <v>1.7881704538869982</v>
      </c>
      <c r="AG85" s="32">
        <f>Trajectory!Y41</f>
        <v>1.8954606811202197</v>
      </c>
      <c r="AH85" s="32">
        <f>Trajectory!Y42</f>
        <v>0.56319463354284949</v>
      </c>
      <c r="AI85" s="32">
        <f>Trajectory!Y43</f>
        <v>0</v>
      </c>
      <c r="AJ85" s="32">
        <f>Trajectory!Y44</f>
        <v>0</v>
      </c>
    </row>
    <row r="86" spans="1:36" x14ac:dyDescent="0.3">
      <c r="A86" s="31">
        <v>414</v>
      </c>
      <c r="B86" s="31" t="s">
        <v>140</v>
      </c>
      <c r="C86" s="31" t="s">
        <v>141</v>
      </c>
      <c r="D86" s="31">
        <v>11</v>
      </c>
      <c r="E86" s="31" t="s">
        <v>128</v>
      </c>
      <c r="F86" s="31"/>
      <c r="G86" s="31" t="s">
        <v>129</v>
      </c>
      <c r="H86" s="31">
        <v>0</v>
      </c>
      <c r="I86" s="32">
        <f>Trajectory!AB17</f>
        <v>0.29259999999999997</v>
      </c>
      <c r="J86" s="32">
        <f>Trajectory!AB18</f>
        <v>0.33529999999999993</v>
      </c>
      <c r="K86" s="32">
        <f>Trajectory!AC19</f>
        <v>0.22100000000000009</v>
      </c>
      <c r="L86" s="32">
        <f>Trajectory!AC20</f>
        <v>0.23646999999999996</v>
      </c>
      <c r="M86" s="32">
        <f>Trajectory!AC21</f>
        <v>0.25302289999999994</v>
      </c>
      <c r="N86" s="32">
        <f>Trajectory!AC22</f>
        <v>0.2707345029999999</v>
      </c>
      <c r="O86" s="32">
        <f>Trajectory!AC23</f>
        <v>0.28968591821000045</v>
      </c>
      <c r="P86" s="32">
        <f>Trajectory!AC24</f>
        <v>0.30996393248469944</v>
      </c>
      <c r="Q86" s="32">
        <f>Trajectory!AC25</f>
        <v>0.33166140775862951</v>
      </c>
      <c r="R86" s="32">
        <f>Trajectory!AC26</f>
        <v>0.35487770630173321</v>
      </c>
      <c r="S86" s="32">
        <f>Trajectory!AC27</f>
        <v>0.37971914574285481</v>
      </c>
      <c r="T86" s="32">
        <f>Trajectory!AC28</f>
        <v>0.40629948594485388</v>
      </c>
      <c r="U86" s="32">
        <f>Trajectory!AC29</f>
        <v>0.43474044996099437</v>
      </c>
      <c r="V86" s="32">
        <f>Trajectory!AC30</f>
        <v>0.46517228145826284</v>
      </c>
      <c r="W86" s="32">
        <f>Trajectory!AC31</f>
        <v>0.4977343411603421</v>
      </c>
      <c r="X86" s="32">
        <f>Trajectory!AC32</f>
        <v>0.53257574504156491</v>
      </c>
      <c r="Y86" s="32">
        <f>Trajectory!AC33</f>
        <v>0.56985604719447736</v>
      </c>
      <c r="Z86" s="32">
        <f>Trajectory!AC34</f>
        <v>0.60974597049808743</v>
      </c>
      <c r="AA86" s="32">
        <f>Trajectory!AC35</f>
        <v>0.65242818843295591</v>
      </c>
      <c r="AB86" s="32">
        <f>Trajectory!AC36</f>
        <v>0.69809816162326044</v>
      </c>
      <c r="AC86" s="32">
        <f>Trajectory!AC37</f>
        <v>0.74696503293689354</v>
      </c>
      <c r="AD86" s="32">
        <f>Trajectory!AC38</f>
        <v>0.79925258524247056</v>
      </c>
      <c r="AE86" s="32">
        <f>Trajectory!AC39</f>
        <v>0.85520026620944556</v>
      </c>
      <c r="AF86" s="32">
        <f>Trajectory!AC40</f>
        <v>0.34419593079847388</v>
      </c>
      <c r="AG86" s="32">
        <f>Trajectory!AC41</f>
        <v>0</v>
      </c>
      <c r="AH86" s="32">
        <f>Trajectory!AC42</f>
        <v>0</v>
      </c>
      <c r="AI86" s="32">
        <f>Trajectory!AC43</f>
        <v>0</v>
      </c>
      <c r="AJ86" s="32">
        <f>Trajectory!AC44</f>
        <v>0</v>
      </c>
    </row>
    <row r="87" spans="1:36" x14ac:dyDescent="0.3">
      <c r="A87" s="31">
        <v>275</v>
      </c>
      <c r="B87" s="31" t="s">
        <v>142</v>
      </c>
      <c r="C87" s="31" t="s">
        <v>143</v>
      </c>
      <c r="D87" s="31">
        <v>11</v>
      </c>
      <c r="E87" s="31" t="s">
        <v>128</v>
      </c>
      <c r="F87" s="31"/>
      <c r="G87" s="31" t="s">
        <v>129</v>
      </c>
      <c r="H87" s="31">
        <v>0</v>
      </c>
      <c r="I87" s="32">
        <f>Trajectory!AF17</f>
        <v>0.39610000000000012</v>
      </c>
      <c r="J87" s="32">
        <f>Trajectory!AF18</f>
        <v>0.61399999999999944</v>
      </c>
      <c r="K87" s="32">
        <f>Trajectory!AG19</f>
        <v>0.34299999999999997</v>
      </c>
      <c r="L87" s="32">
        <f>Trajectory!AG20</f>
        <v>0.36358000000000068</v>
      </c>
      <c r="M87" s="32">
        <f>Trajectory!AG21</f>
        <v>0.38539480000000115</v>
      </c>
      <c r="N87" s="32">
        <f>Trajectory!AG22</f>
        <v>0.40851848800000035</v>
      </c>
      <c r="O87" s="32">
        <f>Trajectory!AG23</f>
        <v>0.4330295972800009</v>
      </c>
      <c r="P87" s="32">
        <f>Trajectory!AG24</f>
        <v>0.45901137311680085</v>
      </c>
      <c r="Q87" s="32">
        <f>Trajectory!AG25</f>
        <v>0.4865520555038092</v>
      </c>
      <c r="R87" s="32">
        <f>Trajectory!AG26</f>
        <v>0.51574517883403637</v>
      </c>
      <c r="S87" s="32">
        <f>Trajectory!AG27</f>
        <v>0.54668988956407816</v>
      </c>
      <c r="T87" s="32">
        <f>Trajectory!AG28</f>
        <v>0.57949128293792462</v>
      </c>
      <c r="U87" s="32">
        <f>Trajectory!AG29</f>
        <v>0.6142607599142007</v>
      </c>
      <c r="V87" s="32">
        <f>Trajectory!AG30</f>
        <v>0.65111640550905214</v>
      </c>
      <c r="W87" s="32">
        <f>Trajectory!AG31</f>
        <v>0.6901833898395946</v>
      </c>
      <c r="X87" s="32">
        <f>Trajectory!AG32</f>
        <v>0.73159439322997244</v>
      </c>
      <c r="Y87" s="32">
        <f>Trajectory!AG33</f>
        <v>0.77549005682377015</v>
      </c>
      <c r="Z87" s="32">
        <f>Trajectory!AG34</f>
        <v>0.82201946023319117</v>
      </c>
      <c r="AA87" s="32">
        <f>Trajectory!AG35</f>
        <v>0.87134062784718758</v>
      </c>
      <c r="AB87" s="32">
        <f>Trajectory!AG36</f>
        <v>0.92362106551801837</v>
      </c>
      <c r="AC87" s="32">
        <f>Trajectory!AG37</f>
        <v>0.97903832944910008</v>
      </c>
      <c r="AD87" s="32">
        <f>Trajectory!AG38</f>
        <v>1.0377806292160425</v>
      </c>
      <c r="AE87" s="32">
        <f>Trajectory!AG39</f>
        <v>1.1000474669690092</v>
      </c>
      <c r="AF87" s="32">
        <f>Trajectory!AG40</f>
        <v>1.1660503149871531</v>
      </c>
      <c r="AG87" s="32">
        <f>Trajectory!AG41</f>
        <v>1.2360133338863797</v>
      </c>
      <c r="AH87" s="32">
        <f>Trajectory!AG42</f>
        <v>1.3101741339195563</v>
      </c>
      <c r="AI87" s="32">
        <f>Trajectory!AG43</f>
        <v>1.3887845819547309</v>
      </c>
      <c r="AJ87" s="32">
        <f>Trajectory!AG44</f>
        <v>1.4721116568720163</v>
      </c>
    </row>
    <row r="88" spans="1:36" x14ac:dyDescent="0.3">
      <c r="A88" s="31">
        <v>500</v>
      </c>
      <c r="B88" s="31" t="s">
        <v>144</v>
      </c>
      <c r="C88" s="31" t="s">
        <v>145</v>
      </c>
      <c r="D88" s="31">
        <v>11</v>
      </c>
      <c r="E88" s="31" t="s">
        <v>128</v>
      </c>
      <c r="F88" s="31"/>
      <c r="G88" s="31" t="s">
        <v>129</v>
      </c>
      <c r="H88" s="31">
        <v>0</v>
      </c>
      <c r="I88" s="32">
        <f>Trajectory!AJ17</f>
        <v>0.23599999999999999</v>
      </c>
      <c r="J88" s="32">
        <f>Trajectory!AJ18</f>
        <v>0.6765000000000001</v>
      </c>
      <c r="K88" s="32">
        <f>Trajectory!AK19</f>
        <v>0.40400000000000036</v>
      </c>
      <c r="L88" s="32">
        <f>Trajectory!AK20</f>
        <v>0.44440000000000035</v>
      </c>
      <c r="M88" s="32">
        <f>Trajectory!AK21</f>
        <v>0.48884000000000105</v>
      </c>
      <c r="N88" s="32">
        <f>Trajectory!AK22</f>
        <v>0.53772399999999987</v>
      </c>
      <c r="O88" s="32">
        <f>Trajectory!AK23</f>
        <v>0.59149640000000048</v>
      </c>
      <c r="P88" s="32">
        <f>Trajectory!AK24</f>
        <v>0.65064604000000203</v>
      </c>
      <c r="Q88" s="32">
        <f>Trajectory!AK25</f>
        <v>0.71571064400000139</v>
      </c>
      <c r="R88" s="32">
        <f>Trajectory!AK26</f>
        <v>0.78728170839999922</v>
      </c>
      <c r="S88" s="32">
        <f>Trajectory!AK27</f>
        <v>0.86600987924000172</v>
      </c>
      <c r="T88" s="32">
        <f>Trajectory!AK28</f>
        <v>0.95261086716400101</v>
      </c>
      <c r="U88" s="32">
        <f>Trajectory!AK29</f>
        <v>1.047871953880402</v>
      </c>
      <c r="V88" s="32">
        <f>Trajectory!AK30</f>
        <v>1.152659149268441</v>
      </c>
      <c r="W88" s="32">
        <f>Trajectory!AK31</f>
        <v>1.2679250641952855</v>
      </c>
      <c r="X88" s="32">
        <f>Trajectory!AK32</f>
        <v>1.3947175706148158</v>
      </c>
      <c r="Y88" s="32">
        <f>Trajectory!AK33</f>
        <v>1.5341893276762963</v>
      </c>
      <c r="Z88" s="32">
        <f>Trajectory!AK34</f>
        <v>1.6876082604439251</v>
      </c>
      <c r="AA88" s="32">
        <f>Trajectory!AK35</f>
        <v>1.8563690864883178</v>
      </c>
      <c r="AB88" s="32">
        <f>Trajectory!AK36</f>
        <v>2.0420059951371528</v>
      </c>
      <c r="AC88" s="32">
        <f>Trajectory!AK37</f>
        <v>2.2462065946508716</v>
      </c>
      <c r="AD88" s="32">
        <f>Trajectory!AK38</f>
        <v>2.4708272541159459</v>
      </c>
      <c r="AE88" s="32">
        <f>Trajectory!AK39</f>
        <v>2.7179099795275476</v>
      </c>
      <c r="AF88" s="32">
        <f>Trajectory!AK40</f>
        <v>0.75049022519699093</v>
      </c>
      <c r="AG88" s="32">
        <f>Trajectory!AK41</f>
        <v>0</v>
      </c>
      <c r="AH88" s="32">
        <f>Trajectory!AK42</f>
        <v>0</v>
      </c>
      <c r="AI88" s="32">
        <f>Trajectory!AK43</f>
        <v>0</v>
      </c>
      <c r="AJ88" s="32">
        <f>Trajectory!AK44</f>
        <v>0</v>
      </c>
    </row>
    <row r="89" spans="1:36" x14ac:dyDescent="0.3">
      <c r="A89" s="31">
        <v>140</v>
      </c>
      <c r="B89" s="31" t="s">
        <v>146</v>
      </c>
      <c r="C89" s="31" t="s">
        <v>147</v>
      </c>
      <c r="D89" s="31">
        <v>11</v>
      </c>
      <c r="E89" s="31" t="s">
        <v>128</v>
      </c>
      <c r="F89" s="31"/>
      <c r="G89" s="31" t="s">
        <v>129</v>
      </c>
      <c r="H89" s="31">
        <v>0</v>
      </c>
      <c r="I89" s="32">
        <f>Trajectory!AN17</f>
        <v>0</v>
      </c>
      <c r="J89" s="32">
        <f>Trajectory!AN18</f>
        <v>0</v>
      </c>
      <c r="K89" s="32">
        <f>Trajectory!AO19</f>
        <v>5.0000000000000044E-3</v>
      </c>
      <c r="L89" s="32">
        <f>Trajectory!AO20</f>
        <v>5.5000000000000049E-3</v>
      </c>
      <c r="M89" s="32">
        <f>Trajectory!AO21</f>
        <v>6.0500000000000137E-3</v>
      </c>
      <c r="N89" s="32">
        <f>Trajectory!AO22</f>
        <v>6.6549999999999943E-3</v>
      </c>
      <c r="O89" s="32">
        <f>Trajectory!AO23</f>
        <v>7.3205000000000076E-3</v>
      </c>
      <c r="P89" s="32">
        <f>Trajectory!AO24</f>
        <v>8.0525500000000055E-3</v>
      </c>
      <c r="Q89" s="32">
        <f>Trajectory!AO25</f>
        <v>8.8578050000000241E-3</v>
      </c>
      <c r="R89" s="32">
        <f>Trajectory!AO26</f>
        <v>9.7435854999999988E-3</v>
      </c>
      <c r="S89" s="32">
        <f>Trajectory!AO27</f>
        <v>1.0717944050000011E-2</v>
      </c>
      <c r="T89" s="32">
        <f>Trajectory!AO28</f>
        <v>1.1789738455000032E-2</v>
      </c>
      <c r="U89" s="32">
        <f>Trajectory!AO29</f>
        <v>1.2968712300500021E-2</v>
      </c>
      <c r="V89" s="32">
        <f>Trajectory!AO30</f>
        <v>1.4265583530549991E-2</v>
      </c>
      <c r="W89" s="32">
        <f>Trajectory!AO31</f>
        <v>1.5692141883605015E-2</v>
      </c>
      <c r="X89" s="32">
        <f>Trajectory!AO32</f>
        <v>1.7261356071965578E-2</v>
      </c>
      <c r="Y89" s="32">
        <f>Trajectory!AO33</f>
        <v>1.8987491679162083E-2</v>
      </c>
      <c r="Z89" s="32">
        <f>Trajectory!AO34</f>
        <v>2.0886240847078269E-2</v>
      </c>
      <c r="AA89" s="32">
        <f>Trajectory!AO35</f>
        <v>2.2974864931786104E-2</v>
      </c>
      <c r="AB89" s="32">
        <f>Trajectory!AO36</f>
        <v>2.5272351424964729E-2</v>
      </c>
      <c r="AC89" s="32">
        <f>Trajectory!AO37</f>
        <v>2.7799586567461287E-2</v>
      </c>
      <c r="AD89" s="32">
        <f>Trajectory!AO38</f>
        <v>3.0579545224207305E-2</v>
      </c>
      <c r="AE89" s="32">
        <f>Trajectory!AO39</f>
        <v>3.3637499746628052E-2</v>
      </c>
      <c r="AF89" s="32">
        <f>Trajectory!AO40</f>
        <v>3.700124972129093E-2</v>
      </c>
      <c r="AG89" s="32">
        <f>Trajectory!AO41</f>
        <v>4.0701374693419945E-2</v>
      </c>
      <c r="AH89" s="32">
        <f>Trajectory!AO42</f>
        <v>4.4771512162761928E-2</v>
      </c>
      <c r="AI89" s="32">
        <f>Trajectory!AO43</f>
        <v>4.9248663379038271E-2</v>
      </c>
      <c r="AJ89" s="32">
        <f>Trajectory!AO44</f>
        <v>5.4173529716941893E-2</v>
      </c>
    </row>
    <row r="90" spans="1:36" x14ac:dyDescent="0.3">
      <c r="A90" s="31">
        <v>457</v>
      </c>
      <c r="B90" s="31" t="s">
        <v>148</v>
      </c>
      <c r="C90" s="31" t="s">
        <v>149</v>
      </c>
      <c r="D90" s="31">
        <v>11</v>
      </c>
      <c r="E90" s="31" t="s">
        <v>128</v>
      </c>
      <c r="F90" s="31"/>
      <c r="G90" s="31" t="s">
        <v>129</v>
      </c>
      <c r="H90" s="31">
        <v>0</v>
      </c>
      <c r="I90" s="32">
        <f>Trajectory!AR17</f>
        <v>0.11499999999999999</v>
      </c>
      <c r="J90" s="32">
        <f>Trajectory!AR18</f>
        <v>8.049999999999996E-2</v>
      </c>
      <c r="K90" s="32">
        <f>Trajectory!AS19</f>
        <v>6.5000000000000058E-2</v>
      </c>
      <c r="L90" s="32">
        <f>Trajectory!AS20</f>
        <v>7.1500000000000119E-2</v>
      </c>
      <c r="M90" s="32">
        <f>Trajectory!AS21</f>
        <v>7.8650000000000109E-2</v>
      </c>
      <c r="N90" s="32">
        <f>Trajectory!AS22</f>
        <v>8.6514999999999898E-2</v>
      </c>
      <c r="O90" s="32">
        <f>Trajectory!AS23</f>
        <v>9.5166500000000154E-2</v>
      </c>
      <c r="P90" s="32">
        <f>Trajectory!AS24</f>
        <v>0.10468315000000028</v>
      </c>
      <c r="Q90" s="32">
        <f>Trajectory!AS25</f>
        <v>0.11515146500000029</v>
      </c>
      <c r="R90" s="32">
        <f>Trajectory!AS26</f>
        <v>0.12666661149999969</v>
      </c>
      <c r="S90" s="32">
        <f>Trajectory!AS27</f>
        <v>0.13933327265000028</v>
      </c>
      <c r="T90" s="32">
        <f>Trajectory!AS28</f>
        <v>0.15326659991500002</v>
      </c>
      <c r="U90" s="32">
        <f>Trajectory!AS29</f>
        <v>0.16859325990650076</v>
      </c>
      <c r="V90" s="32">
        <f>Trajectory!AS30</f>
        <v>0.18545258589715008</v>
      </c>
      <c r="W90" s="32">
        <f>Trajectory!AS31</f>
        <v>0.20399784448686509</v>
      </c>
      <c r="X90" s="32">
        <f>Trajectory!AS32</f>
        <v>0.22439762893555226</v>
      </c>
      <c r="Y90" s="32">
        <f>Trajectory!AS33</f>
        <v>0.24683739182910669</v>
      </c>
      <c r="Z90" s="32">
        <f>Trajectory!AS34</f>
        <v>0.27152113101201758</v>
      </c>
      <c r="AA90" s="32">
        <f>Trajectory!AS35</f>
        <v>0.29867324411321983</v>
      </c>
      <c r="AB90" s="32">
        <f>Trajectory!AS36</f>
        <v>0.32854056852454105</v>
      </c>
      <c r="AC90" s="32">
        <f>Trajectory!AS37</f>
        <v>0.36139462537699663</v>
      </c>
      <c r="AD90" s="32">
        <f>Trajectory!AS38</f>
        <v>0.39753408791469536</v>
      </c>
      <c r="AE90" s="32">
        <f>Trajectory!AS39</f>
        <v>0.43728749670616551</v>
      </c>
      <c r="AF90" s="32">
        <f>Trajectory!AS40</f>
        <v>0.48101624637678153</v>
      </c>
      <c r="AG90" s="32">
        <f>Trajectory!AS41</f>
        <v>0.52911787101445995</v>
      </c>
      <c r="AH90" s="32">
        <f>Trajectory!AS42</f>
        <v>0.58202965811590435</v>
      </c>
      <c r="AI90" s="32">
        <f>Trajectory!AS43</f>
        <v>0.64023262392749647</v>
      </c>
      <c r="AJ90" s="32">
        <f>Trajectory!AS44</f>
        <v>0.70425588632024549</v>
      </c>
    </row>
    <row r="91" spans="1:36" x14ac:dyDescent="0.3">
      <c r="A91" s="31">
        <v>33</v>
      </c>
      <c r="B91" s="31" t="s">
        <v>150</v>
      </c>
      <c r="C91" s="31" t="s">
        <v>151</v>
      </c>
      <c r="D91" s="31">
        <v>11</v>
      </c>
      <c r="E91" s="31" t="s">
        <v>128</v>
      </c>
      <c r="F91" s="31"/>
      <c r="G91" s="31" t="s">
        <v>129</v>
      </c>
      <c r="H91" s="31">
        <v>0</v>
      </c>
      <c r="I91" s="32">
        <f>Trajectory!AV17</f>
        <v>0.47599999999999987</v>
      </c>
      <c r="J91" s="32">
        <f>Trajectory!AV18</f>
        <v>0.13570000000000015</v>
      </c>
      <c r="K91" s="32">
        <f>Trajectory!AW19</f>
        <v>0.24700000000000033</v>
      </c>
      <c r="L91" s="32">
        <f>Trajectory!AW20</f>
        <v>0.26676000000000011</v>
      </c>
      <c r="M91" s="32">
        <f>Trajectory!AW21</f>
        <v>0.28810080000000005</v>
      </c>
      <c r="N91" s="32">
        <f>Trajectory!AW22</f>
        <v>0.31114886400000064</v>
      </c>
      <c r="O91" s="32">
        <f>Trajectory!AW23</f>
        <v>0.33604077311999969</v>
      </c>
      <c r="P91" s="32">
        <f>Trajectory!AW24</f>
        <v>0.36292403496960102</v>
      </c>
      <c r="Q91" s="32">
        <f>Trajectory!AW25</f>
        <v>0.39195795776716835</v>
      </c>
      <c r="R91" s="32">
        <f>Trajectory!AW26</f>
        <v>0.42331459438854147</v>
      </c>
      <c r="S91" s="32">
        <f>Trajectory!AW27</f>
        <v>0.45717976193962517</v>
      </c>
      <c r="T91" s="32">
        <f>Trajectory!AW28</f>
        <v>0.49375414289479558</v>
      </c>
      <c r="U91" s="32">
        <f>Trajectory!AW29</f>
        <v>0.53325447432637851</v>
      </c>
      <c r="V91" s="32">
        <f>Trajectory!AW30</f>
        <v>0.5759148322724883</v>
      </c>
      <c r="W91" s="32">
        <f>Trajectory!AW31</f>
        <v>0.16194976432140074</v>
      </c>
      <c r="X91" s="32">
        <f>Trajectory!AW32</f>
        <v>0</v>
      </c>
      <c r="Y91" s="32">
        <f>Trajectory!AW33</f>
        <v>0</v>
      </c>
      <c r="Z91" s="32">
        <f>Trajectory!AW34</f>
        <v>0</v>
      </c>
      <c r="AA91" s="32">
        <f>Trajectory!AW35</f>
        <v>0</v>
      </c>
      <c r="AB91" s="32">
        <f>Trajectory!AW36</f>
        <v>0</v>
      </c>
      <c r="AC91" s="32">
        <f>Trajectory!AW37</f>
        <v>0</v>
      </c>
      <c r="AD91" s="32">
        <f>Trajectory!AW38</f>
        <v>0</v>
      </c>
      <c r="AE91" s="32">
        <f>Trajectory!AW39</f>
        <v>0</v>
      </c>
      <c r="AF91" s="32">
        <f>Trajectory!AW40</f>
        <v>0</v>
      </c>
      <c r="AG91" s="32">
        <f>Trajectory!AW41</f>
        <v>0</v>
      </c>
      <c r="AH91" s="32">
        <f>Trajectory!AW42</f>
        <v>0</v>
      </c>
      <c r="AI91" s="32">
        <f>Trajectory!AW43</f>
        <v>0</v>
      </c>
      <c r="AJ91" s="32">
        <f>Trajectory!AW44</f>
        <v>0</v>
      </c>
    </row>
    <row r="93" spans="1:36" x14ac:dyDescent="0.3">
      <c r="A93" s="35" t="s">
        <v>157</v>
      </c>
      <c r="B93" s="35"/>
      <c r="C93" s="35"/>
      <c r="D93" s="35"/>
      <c r="E93" s="35"/>
      <c r="F93" s="35"/>
      <c r="G93" s="35"/>
      <c r="H93" s="35"/>
    </row>
    <row r="94" spans="1:36" x14ac:dyDescent="0.3">
      <c r="A94" s="24" t="s">
        <v>119</v>
      </c>
      <c r="B94" s="24" t="s">
        <v>52</v>
      </c>
      <c r="C94" s="24" t="s">
        <v>120</v>
      </c>
      <c r="D94" s="24" t="s">
        <v>121</v>
      </c>
      <c r="E94" s="24" t="s">
        <v>122</v>
      </c>
      <c r="F94" s="24" t="s">
        <v>123</v>
      </c>
      <c r="G94" s="24" t="s">
        <v>124</v>
      </c>
      <c r="H94" s="24" t="s">
        <v>125</v>
      </c>
      <c r="I94" s="24">
        <v>2023</v>
      </c>
      <c r="J94" s="24">
        <v>2024</v>
      </c>
      <c r="K94" s="24">
        <v>2025</v>
      </c>
      <c r="L94" s="24">
        <v>2026</v>
      </c>
      <c r="M94" s="24">
        <v>2027</v>
      </c>
      <c r="N94" s="24">
        <v>2028</v>
      </c>
      <c r="O94" s="24">
        <v>2029</v>
      </c>
      <c r="P94" s="24">
        <v>2030</v>
      </c>
      <c r="Q94" s="24">
        <v>2031</v>
      </c>
      <c r="R94" s="24">
        <v>2032</v>
      </c>
      <c r="S94" s="24">
        <v>2033</v>
      </c>
      <c r="T94" s="24">
        <v>2034</v>
      </c>
      <c r="U94" s="24">
        <v>2035</v>
      </c>
      <c r="V94" s="24">
        <v>2036</v>
      </c>
      <c r="W94" s="24">
        <v>2037</v>
      </c>
      <c r="X94" s="24">
        <v>2038</v>
      </c>
      <c r="Y94" s="24">
        <v>2039</v>
      </c>
      <c r="Z94" s="24">
        <v>2040</v>
      </c>
      <c r="AA94" s="24">
        <v>2041</v>
      </c>
      <c r="AB94" s="24">
        <v>2042</v>
      </c>
      <c r="AC94" s="24">
        <v>2043</v>
      </c>
      <c r="AD94" s="24">
        <v>2044</v>
      </c>
      <c r="AE94" s="24">
        <v>2045</v>
      </c>
      <c r="AF94" s="24">
        <v>2046</v>
      </c>
      <c r="AG94" s="24">
        <v>2047</v>
      </c>
      <c r="AH94" s="24">
        <v>2048</v>
      </c>
      <c r="AI94" s="24">
        <v>2049</v>
      </c>
      <c r="AJ94" s="24">
        <v>2050</v>
      </c>
    </row>
    <row r="95" spans="1:36" x14ac:dyDescent="0.3">
      <c r="A95" s="31">
        <v>8</v>
      </c>
      <c r="B95" s="31" t="s">
        <v>126</v>
      </c>
      <c r="C95" s="31" t="s">
        <v>127</v>
      </c>
      <c r="D95" s="31">
        <v>11</v>
      </c>
      <c r="E95" s="31" t="s">
        <v>128</v>
      </c>
      <c r="F95" s="31"/>
      <c r="G95" s="31" t="s">
        <v>129</v>
      </c>
      <c r="H95" s="31">
        <v>0</v>
      </c>
      <c r="I95" s="32">
        <f>Trajectory!D17</f>
        <v>3.3</v>
      </c>
      <c r="J95" s="32">
        <f>Trajectory!D18</f>
        <v>5.6000000000000014</v>
      </c>
      <c r="K95" s="32">
        <f>MAX(Trajectory!D19,Trajectory!E19)</f>
        <v>3.8400000000000034</v>
      </c>
      <c r="L95" s="32">
        <f>MAX(Trajectory!D20,Trajectory!E20)</f>
        <v>4.0704000000000065</v>
      </c>
      <c r="M95" s="32">
        <f>MAX(Trajectory!D21,Trajectory!E21)</f>
        <v>4.3146240000000091</v>
      </c>
      <c r="N95" s="32">
        <f>MAX(Trajectory!D22,Trajectory!E22)</f>
        <v>4.5735014400000011</v>
      </c>
      <c r="O95" s="32">
        <f>MAX(Trajectory!D23,Trajectory!E23)</f>
        <v>4.8479115264000185</v>
      </c>
      <c r="P95" s="32">
        <f>MAX(Trajectory!D24,Trajectory!E24)</f>
        <v>5.1387862179839985</v>
      </c>
      <c r="Q95" s="32">
        <f>MAX(Trajectory!D25,Trajectory!E25)</f>
        <v>5.4471133910630556</v>
      </c>
      <c r="R95" s="32">
        <f>MAX(Trajectory!D26,Trajectory!E26)</f>
        <v>5.7739401945268156</v>
      </c>
      <c r="S95" s="32">
        <f>MAX(Trajectory!D27,Trajectory!E27)</f>
        <v>6.1203766061984339</v>
      </c>
      <c r="T95" s="32">
        <f>MAX(Trajectory!D28,Trajectory!E28)</f>
        <v>6.4875992025703582</v>
      </c>
      <c r="U95" s="32">
        <f>MAX(Trajectory!D29,Trajectory!E29)</f>
        <v>6.8768551547245806</v>
      </c>
      <c r="V95" s="32">
        <f>MAX(Trajectory!D30,Trajectory!E30)</f>
        <v>7.2894664640080293</v>
      </c>
      <c r="W95" s="32">
        <f>MAX(Trajectory!D31,Trajectory!E31)</f>
        <v>7.7268344518485321</v>
      </c>
      <c r="X95" s="32">
        <f>MAX(Trajectory!D32,Trajectory!E32)</f>
        <v>8.1904445189594242</v>
      </c>
      <c r="Y95" s="32">
        <f>MAX(Trajectory!D33,Trajectory!E33)</f>
        <v>3.8720183508852131</v>
      </c>
      <c r="Z95" s="32">
        <f>MAX(Trajectory!D34,Trajectory!E34)</f>
        <v>3.6392760347809769</v>
      </c>
      <c r="AA95" s="32">
        <f>MAX(Trajectory!D35,Trajectory!E35)</f>
        <v>3.3737034766092648</v>
      </c>
      <c r="AB95" s="32">
        <f>MAX(Trajectory!D36,Trajectory!E36)</f>
        <v>3.0877857583351727</v>
      </c>
      <c r="AC95" s="32">
        <f>MAX(Trajectory!D37,Trajectory!E37)</f>
        <v>2.7932094677533144</v>
      </c>
      <c r="AD95" s="32">
        <f>MAX(Trajectory!D38,Trajectory!E38)</f>
        <v>2.5001058300353804</v>
      </c>
      <c r="AE95" s="32">
        <f>MAX(Trajectory!D39,Trajectory!E39)</f>
        <v>2.2166258310618048</v>
      </c>
      <c r="AF95" s="32">
        <f>MAX(Trajectory!D40,Trajectory!E40)</f>
        <v>1.9488158007407321</v>
      </c>
      <c r="AG95" s="32">
        <f>MAX(Trajectory!D41,Trajectory!E41)</f>
        <v>1.700723189475525</v>
      </c>
      <c r="AH95" s="32">
        <f>MAX(Trajectory!D42,Trajectory!E42)</f>
        <v>1.4746499762728149</v>
      </c>
      <c r="AI95" s="32">
        <f>MAX(Trajectory!D43,Trajectory!E43)</f>
        <v>1.2714781175419603</v>
      </c>
      <c r="AJ95" s="32">
        <f>MAX(Trajectory!D44,Trajectory!E44)</f>
        <v>1.0910086309271492</v>
      </c>
    </row>
    <row r="96" spans="1:36" x14ac:dyDescent="0.3">
      <c r="A96" s="31">
        <v>453</v>
      </c>
      <c r="B96" s="31" t="s">
        <v>130</v>
      </c>
      <c r="C96" s="31" t="s">
        <v>131</v>
      </c>
      <c r="D96" s="31">
        <v>11</v>
      </c>
      <c r="E96" s="31" t="s">
        <v>128</v>
      </c>
      <c r="F96" s="31"/>
      <c r="G96" s="31" t="s">
        <v>129</v>
      </c>
      <c r="H96" s="31">
        <v>0</v>
      </c>
      <c r="I96" s="32">
        <f>Trajectory!H17</f>
        <v>4</v>
      </c>
      <c r="J96" s="32">
        <f>Trajectory!H18</f>
        <v>3</v>
      </c>
      <c r="K96" s="32">
        <f>MAX(Trajectory!H19,Trajectory!I19)</f>
        <v>3.9200000000000017</v>
      </c>
      <c r="L96" s="32">
        <f>MAX(Trajectory!H20,Trajectory!I20)</f>
        <v>4.1159999999999997</v>
      </c>
      <c r="M96" s="32">
        <f>MAX(Trajectory!H21,Trajectory!I21)</f>
        <v>4.3218000000000103</v>
      </c>
      <c r="N96" s="32">
        <f>MAX(Trajectory!H22,Trajectory!I22)</f>
        <v>4.5378899999999902</v>
      </c>
      <c r="O96" s="32">
        <f>MAX(Trajectory!H23,Trajectory!I23)</f>
        <v>4.7647845000000046</v>
      </c>
      <c r="P96" s="32">
        <f>MAX(Trajectory!H24,Trajectory!I24)</f>
        <v>5.0030237249999914</v>
      </c>
      <c r="Q96" s="32">
        <f>MAX(Trajectory!H25,Trajectory!I25)</f>
        <v>5.2531749112500137</v>
      </c>
      <c r="R96" s="32">
        <f>MAX(Trajectory!H26,Trajectory!I26)</f>
        <v>5.5158336568124895</v>
      </c>
      <c r="S96" s="32">
        <f>MAX(Trajectory!H27,Trajectory!I27)</f>
        <v>5.7916253396531374</v>
      </c>
      <c r="T96" s="32">
        <f>MAX(Trajectory!H28,Trajectory!I28)</f>
        <v>6.0812066066357744</v>
      </c>
      <c r="U96" s="32">
        <f>MAX(Trajectory!H29,Trajectory!I29)</f>
        <v>6.3852669369675823</v>
      </c>
      <c r="V96" s="32">
        <f>MAX(Trajectory!H30,Trajectory!I30)</f>
        <v>6.7045302838159273</v>
      </c>
      <c r="W96" s="32">
        <f>MAX(Trajectory!H31,Trajectory!I31)</f>
        <v>7.0397567980067777</v>
      </c>
      <c r="X96" s="32">
        <f>MAX(Trajectory!H32,Trajectory!I32)</f>
        <v>7.3917446379070384</v>
      </c>
      <c r="Y96" s="32">
        <f>MAX(Trajectory!H33,Trajectory!I33)</f>
        <v>7.761331869802504</v>
      </c>
      <c r="Z96" s="32">
        <f>MAX(Trajectory!H34,Trajectory!I34)</f>
        <v>3.4120307341487575</v>
      </c>
      <c r="AA96" s="32">
        <f>MAX(Trajectory!H35,Trajectory!I35)</f>
        <v>3.0979762108733269</v>
      </c>
      <c r="AB96" s="32">
        <f>MAX(Trajectory!H36,Trajectory!I36)</f>
        <v>2.8306213555516422</v>
      </c>
      <c r="AC96" s="32">
        <f>MAX(Trajectory!H37,Trajectory!I37)</f>
        <v>2.5649039949300629</v>
      </c>
      <c r="AD96" s="32">
        <f>MAX(Trajectory!H38,Trajectory!I38)</f>
        <v>2.3066627205060826</v>
      </c>
      <c r="AE96" s="32">
        <f>MAX(Trajectory!H39,Trajectory!I39)</f>
        <v>2.0603902315096576</v>
      </c>
      <c r="AF96" s="32">
        <f>MAX(Trajectory!H40,Trajectory!I40)</f>
        <v>1.8292835137305445</v>
      </c>
      <c r="AG96" s="32">
        <f>MAX(Trajectory!H41,Trajectory!I41)</f>
        <v>1.6153749597941385</v>
      </c>
      <c r="AH96" s="32">
        <f>MAX(Trajectory!H42,Trajectory!I42)</f>
        <v>1.4197090424719647</v>
      </c>
      <c r="AI96" s="32">
        <f>MAX(Trajectory!H43,Trajectory!I43)</f>
        <v>1.2425354600503624</v>
      </c>
      <c r="AJ96" s="32">
        <f>MAX(Trajectory!H44,Trajectory!I44)</f>
        <v>1.0834976166637063</v>
      </c>
    </row>
    <row r="97" spans="1:36" x14ac:dyDescent="0.3">
      <c r="A97" s="31">
        <v>13</v>
      </c>
      <c r="B97" s="31" t="s">
        <v>132</v>
      </c>
      <c r="C97" s="31" t="s">
        <v>133</v>
      </c>
      <c r="D97" s="31">
        <v>11</v>
      </c>
      <c r="E97" s="31" t="s">
        <v>128</v>
      </c>
      <c r="F97" s="31"/>
      <c r="G97" s="31" t="s">
        <v>129</v>
      </c>
      <c r="H97" s="31">
        <v>0</v>
      </c>
      <c r="I97" s="32">
        <f>Trajectory!L17</f>
        <v>0.8199999999999994</v>
      </c>
      <c r="J97" s="32">
        <f>Trajectory!L18</f>
        <v>0</v>
      </c>
      <c r="K97" s="32">
        <f>MAX(Trajectory!L19,Trajectory!M19)</f>
        <v>0.58729348747106336</v>
      </c>
      <c r="L97" s="32">
        <f>MAX(Trajectory!L20,Trajectory!M20)</f>
        <v>0.68913198620378679</v>
      </c>
      <c r="M97" s="32">
        <f>MAX(Trajectory!L21,Trajectory!M21)</f>
        <v>0.80234486677739802</v>
      </c>
      <c r="N97" s="32">
        <f>MAX(Trajectory!L22,Trajectory!M22)</f>
        <v>0.9257144280462235</v>
      </c>
      <c r="O97" s="32">
        <f>MAX(Trajectory!L23,Trajectory!M23)</f>
        <v>1.0569323634466858</v>
      </c>
      <c r="P97" s="32">
        <f>MAX(Trajectory!L24,Trajectory!M24)</f>
        <v>1.1924249290503308</v>
      </c>
      <c r="Q97" s="32">
        <f>MAX(Trajectory!L25,Trajectory!M25)</f>
        <v>1.3272972232523301</v>
      </c>
      <c r="R97" s="32">
        <f>MAX(Trajectory!L26,Trajectory!M26)</f>
        <v>1.4554665658131327</v>
      </c>
      <c r="S97" s="32">
        <f>MAX(Trajectory!L27,Trajectory!M27)</f>
        <v>1.5700386706485929</v>
      </c>
      <c r="T97" s="32">
        <f>MAX(Trajectory!L28,Trajectory!M28)</f>
        <v>1.6639356397082743</v>
      </c>
      <c r="U97" s="32">
        <f>MAX(Trajectory!L29,Trajectory!M29)</f>
        <v>1.7307152194040683</v>
      </c>
      <c r="V97" s="32">
        <f>MAX(Trajectory!L30,Trajectory!M30)</f>
        <v>1.7654450587580541</v>
      </c>
      <c r="W97" s="32">
        <f>MAX(Trajectory!L31,Trajectory!M31)</f>
        <v>1.7654450587580648</v>
      </c>
      <c r="X97" s="32">
        <f>MAX(Trajectory!L32,Trajectory!M32)</f>
        <v>1.7307152194040647</v>
      </c>
      <c r="Y97" s="32">
        <f>MAX(Trajectory!L33,Trajectory!M33)</f>
        <v>1.6639356397082707</v>
      </c>
      <c r="Z97" s="32">
        <f>MAX(Trajectory!L34,Trajectory!M34)</f>
        <v>1.5700386706485965</v>
      </c>
      <c r="AA97" s="32">
        <f>MAX(Trajectory!L35,Trajectory!M35)</f>
        <v>1.4554665658131327</v>
      </c>
      <c r="AB97" s="32">
        <f>MAX(Trajectory!L36,Trajectory!M36)</f>
        <v>1.3272972232523301</v>
      </c>
      <c r="AC97" s="32">
        <f>MAX(Trajectory!L37,Trajectory!M37)</f>
        <v>1.192424929050329</v>
      </c>
      <c r="AD97" s="32">
        <f>MAX(Trajectory!L38,Trajectory!M38)</f>
        <v>1.0569323634466841</v>
      </c>
      <c r="AE97" s="32">
        <f>MAX(Trajectory!L39,Trajectory!M39)</f>
        <v>1.0254105716468445</v>
      </c>
      <c r="AF97" s="32">
        <f>MAX(Trajectory!L40,Trajectory!M40)</f>
        <v>1.1074434173785974</v>
      </c>
      <c r="AG97" s="32">
        <f>MAX(Trajectory!L41,Trajectory!M41)</f>
        <v>1.1960388907688824</v>
      </c>
      <c r="AH97" s="32">
        <f>MAX(Trajectory!L42,Trajectory!M42)</f>
        <v>1.2917220020303972</v>
      </c>
      <c r="AI97" s="32">
        <f>MAX(Trajectory!L43,Trajectory!M43)</f>
        <v>1.395059762192826</v>
      </c>
      <c r="AJ97" s="32">
        <f>MAX(Trajectory!L44,Trajectory!M44)</f>
        <v>1.5066645431682488</v>
      </c>
    </row>
    <row r="98" spans="1:36" x14ac:dyDescent="0.3">
      <c r="A98" s="31">
        <v>77</v>
      </c>
      <c r="B98" s="31" t="s">
        <v>134</v>
      </c>
      <c r="C98" s="31" t="s">
        <v>135</v>
      </c>
      <c r="D98" s="31">
        <v>11</v>
      </c>
      <c r="E98" s="31" t="s">
        <v>128</v>
      </c>
      <c r="F98" s="31"/>
      <c r="G98" s="31" t="s">
        <v>129</v>
      </c>
      <c r="H98" s="31">
        <v>0</v>
      </c>
      <c r="I98" s="32">
        <f>Trajectory!P17</f>
        <v>0</v>
      </c>
      <c r="J98" s="32">
        <f>Trajectory!P18</f>
        <v>0</v>
      </c>
      <c r="K98" s="32">
        <f>MAX(Trajectory!P19,Trajectory!Q19)</f>
        <v>0.56811840284680049</v>
      </c>
      <c r="L98" s="32">
        <f>MAX(Trajectory!P20,Trajectory!Q20)</f>
        <v>0.67108192600924266</v>
      </c>
      <c r="M98" s="32">
        <f>MAX(Trajectory!P21,Trajectory!Q21)</f>
        <v>0.78744959793036706</v>
      </c>
      <c r="N98" s="32">
        <f>MAX(Trajectory!P22,Trajectory!Q22)</f>
        <v>0.91681442074076358</v>
      </c>
      <c r="O98" s="32">
        <f>MAX(Trajectory!P23,Trajectory!Q23)</f>
        <v>1.0577849653720435</v>
      </c>
      <c r="P98" s="32">
        <f>MAX(Trajectory!P24,Trajectory!Q24)</f>
        <v>1.2077236020061459</v>
      </c>
      <c r="Q98" s="32">
        <f>MAX(Trajectory!P25,Trajectory!Q25)</f>
        <v>1.3625467250698229</v>
      </c>
      <c r="R98" s="32">
        <f>MAX(Trajectory!P26,Trajectory!Q26)</f>
        <v>1.5166610833749079</v>
      </c>
      <c r="S98" s="32">
        <f>MAX(Trajectory!P27,Trajectory!Q27)</f>
        <v>1.6631161881836185</v>
      </c>
      <c r="T98" s="32">
        <f>MAX(Trajectory!P28,Trajectory!Q28)</f>
        <v>1.7940341541072513</v>
      </c>
      <c r="U98" s="32">
        <f>MAX(Trajectory!P29,Trajectory!Q29)</f>
        <v>1.9013272880977894</v>
      </c>
      <c r="V98" s="32">
        <f>MAX(Trajectory!P30,Trajectory!Q30)</f>
        <v>1.9776342281820689</v>
      </c>
      <c r="W98" s="32">
        <f>MAX(Trajectory!P31,Trajectory!Q31)</f>
        <v>2.0173189309429134</v>
      </c>
      <c r="X98" s="32">
        <f>MAX(Trajectory!P32,Trajectory!Q32)</f>
        <v>2.0173189309429205</v>
      </c>
      <c r="Y98" s="32">
        <f>MAX(Trajectory!P33,Trajectory!Q33)</f>
        <v>1.9776342281820618</v>
      </c>
      <c r="Z98" s="32">
        <f>MAX(Trajectory!P34,Trajectory!Q34)</f>
        <v>1.9013272880977823</v>
      </c>
      <c r="AA98" s="32">
        <f>MAX(Trajectory!P35,Trajectory!Q35)</f>
        <v>1.7940341541072655</v>
      </c>
      <c r="AB98" s="32">
        <f>MAX(Trajectory!P36,Trajectory!Q36)</f>
        <v>1.663116188183615</v>
      </c>
      <c r="AC98" s="32">
        <f>MAX(Trajectory!P37,Trajectory!Q37)</f>
        <v>1.5166610833749132</v>
      </c>
      <c r="AD98" s="32">
        <f>MAX(Trajectory!P38,Trajectory!Q38)</f>
        <v>1.3625467250698193</v>
      </c>
      <c r="AE98" s="32">
        <f>MAX(Trajectory!P39,Trajectory!Q39)</f>
        <v>1.2077236020061406</v>
      </c>
      <c r="AF98" s="32">
        <f>MAX(Trajectory!P40,Trajectory!Q40)</f>
        <v>1.0577849653720435</v>
      </c>
      <c r="AG98" s="32">
        <f>MAX(Trajectory!P41,Trajectory!Q41)</f>
        <v>0.91681442074075647</v>
      </c>
      <c r="AH98" s="32">
        <f>MAX(Trajectory!P42,Trajectory!Q42)</f>
        <v>0.78744959793037594</v>
      </c>
      <c r="AI98" s="32">
        <f>MAX(Trajectory!P43,Trajectory!Q43)</f>
        <v>0.67108192600924355</v>
      </c>
      <c r="AJ98" s="32">
        <f>MAX(Trajectory!P44,Trajectory!Q44)</f>
        <v>0.5681184028468067</v>
      </c>
    </row>
    <row r="99" spans="1:36" x14ac:dyDescent="0.3">
      <c r="A99" s="31">
        <v>295</v>
      </c>
      <c r="B99" s="31" t="s">
        <v>136</v>
      </c>
      <c r="C99" s="31" t="s">
        <v>137</v>
      </c>
      <c r="D99" s="31">
        <v>11</v>
      </c>
      <c r="E99" s="31" t="s">
        <v>128</v>
      </c>
      <c r="F99" s="31"/>
      <c r="G99" s="31" t="s">
        <v>129</v>
      </c>
      <c r="H99" s="31">
        <v>0</v>
      </c>
      <c r="I99" s="32">
        <f>Trajectory!T17</f>
        <v>1.5</v>
      </c>
      <c r="J99" s="32">
        <f>Trajectory!T18</f>
        <v>0.59999999999999964</v>
      </c>
      <c r="K99" s="32">
        <f>MAX(Trajectory!T19,Trajectory!U19)</f>
        <v>1.2300000000000004</v>
      </c>
      <c r="L99" s="32">
        <f>MAX(Trajectory!T20,Trajectory!U20)</f>
        <v>1.3038000000000025</v>
      </c>
      <c r="M99" s="32">
        <f>MAX(Trajectory!T21,Trajectory!U21)</f>
        <v>1.3820280000000036</v>
      </c>
      <c r="N99" s="32">
        <f>MAX(Trajectory!T22,Trajectory!U22)</f>
        <v>1.4649496800000001</v>
      </c>
      <c r="O99" s="32">
        <f>MAX(Trajectory!T23,Trajectory!U23)</f>
        <v>1.5528466608000038</v>
      </c>
      <c r="P99" s="32">
        <f>MAX(Trajectory!T24,Trajectory!U24)</f>
        <v>1.6460174604480002</v>
      </c>
      <c r="Q99" s="32">
        <f>MAX(Trajectory!T25,Trajectory!U25)</f>
        <v>1.7447785080748872</v>
      </c>
      <c r="R99" s="32">
        <f>MAX(Trajectory!T26,Trajectory!U26)</f>
        <v>1.8494652185593701</v>
      </c>
      <c r="S99" s="32">
        <f>MAX(Trajectory!T27,Trajectory!U27)</f>
        <v>1.9604331316729358</v>
      </c>
      <c r="T99" s="32">
        <f>MAX(Trajectory!T28,Trajectory!U28)</f>
        <v>2.0780591195733145</v>
      </c>
      <c r="U99" s="32">
        <f>MAX(Trajectory!T29,Trajectory!U29)</f>
        <v>2.2027426667477172</v>
      </c>
      <c r="V99" s="32">
        <f>MAX(Trajectory!T30,Trajectory!U30)</f>
        <v>2.334907226752577</v>
      </c>
      <c r="W99" s="32">
        <f>MAX(Trajectory!T31,Trajectory!U31)</f>
        <v>2.4750016603577336</v>
      </c>
      <c r="X99" s="32">
        <f>MAX(Trajectory!T32,Trajectory!U32)</f>
        <v>2.6235017599791917</v>
      </c>
      <c r="Y99" s="32">
        <f>MAX(Trajectory!T33,Trajectory!U33)</f>
        <v>2.7809118655779557</v>
      </c>
      <c r="Z99" s="32">
        <f>MAX(Trajectory!T34,Trajectory!U34)</f>
        <v>2.9477665775126098</v>
      </c>
      <c r="AA99" s="32">
        <f>MAX(Trajectory!T35,Trajectory!U35)</f>
        <v>3.1246325721633852</v>
      </c>
      <c r="AB99" s="32">
        <f>MAX(Trajectory!T36,Trajectory!U36)</f>
        <v>2.698157891780312</v>
      </c>
      <c r="AC99" s="32">
        <f>MAX(Trajectory!T37,Trajectory!U37)</f>
        <v>1.252590336858205</v>
      </c>
      <c r="AD99" s="32">
        <f>MAX(Trajectory!T38,Trajectory!U38)</f>
        <v>1.1211505760590228</v>
      </c>
      <c r="AE99" s="32">
        <f>MAX(Trajectory!T39,Trajectory!U39)</f>
        <v>0.99402645181908156</v>
      </c>
      <c r="AF99" s="32">
        <f>MAX(Trajectory!T40,Trajectory!U40)</f>
        <v>0.87392938786215524</v>
      </c>
      <c r="AG99" s="32">
        <f>MAX(Trajectory!T41,Trajectory!U41)</f>
        <v>0.76267442789431072</v>
      </c>
      <c r="AH99" s="32">
        <f>MAX(Trajectory!T42,Trajectory!U42)</f>
        <v>0.66129387425181818</v>
      </c>
      <c r="AI99" s="32">
        <f>MAX(Trajectory!T43,Trajectory!U43)</f>
        <v>0.57018323256678372</v>
      </c>
      <c r="AJ99" s="32">
        <f>MAX(Trajectory!T44,Trajectory!U44)</f>
        <v>0.48925327094335103</v>
      </c>
    </row>
    <row r="100" spans="1:36" x14ac:dyDescent="0.3">
      <c r="A100" s="31">
        <v>327</v>
      </c>
      <c r="B100" s="31" t="s">
        <v>138</v>
      </c>
      <c r="C100" s="31" t="s">
        <v>139</v>
      </c>
      <c r="D100" s="31">
        <v>11</v>
      </c>
      <c r="E100" s="31" t="s">
        <v>128</v>
      </c>
      <c r="F100" s="31"/>
      <c r="G100" s="31" t="s">
        <v>129</v>
      </c>
      <c r="H100" s="31">
        <v>0</v>
      </c>
      <c r="I100" s="32">
        <f>Trajectory!X17</f>
        <v>0.70900000000000052</v>
      </c>
      <c r="J100" s="32">
        <f>Trajectory!X18</f>
        <v>0.18399999999999928</v>
      </c>
      <c r="K100" s="32">
        <f>MAX(Trajectory!X19,Trajectory!Y19)</f>
        <v>0.62795703383845147</v>
      </c>
      <c r="L100" s="32">
        <f>MAX(Trajectory!X20,Trajectory!Y20)</f>
        <v>0.69825965036765858</v>
      </c>
      <c r="M100" s="32">
        <f>MAX(Trajectory!X21,Trajectory!Y21)</f>
        <v>0.7705975280001045</v>
      </c>
      <c r="N100" s="32">
        <f>MAX(Trajectory!X22,Trajectory!Y22)</f>
        <v>0.84338119092473463</v>
      </c>
      <c r="O100" s="32">
        <f>MAX(Trajectory!X23,Trajectory!Y23)</f>
        <v>0.91467332758180042</v>
      </c>
      <c r="P100" s="32">
        <f>MAX(Trajectory!X24,Trajectory!Y24)</f>
        <v>0.98224836368522972</v>
      </c>
      <c r="Q100" s="32">
        <f>MAX(Trajectory!X25,Trajectory!Y25)</f>
        <v>1.0436978193994655</v>
      </c>
      <c r="R100" s="32">
        <f>MAX(Trajectory!X26,Trajectory!Y26)</f>
        <v>1.0965795048556384</v>
      </c>
      <c r="S100" s="32">
        <f>MAX(Trajectory!X27,Trajectory!Y27)</f>
        <v>1.1385999198461292</v>
      </c>
      <c r="T100" s="32">
        <f>MAX(Trajectory!X28,Trajectory!Y28)</f>
        <v>1.1678103136180091</v>
      </c>
      <c r="U100" s="32">
        <f>MAX(Trajectory!X29,Trajectory!Y29)</f>
        <v>1.1827902018636856</v>
      </c>
      <c r="V100" s="32">
        <f>MAX(Trajectory!X30,Trajectory!Y30)</f>
        <v>1.182790201863682</v>
      </c>
      <c r="W100" s="32">
        <f>MAX(Trajectory!X31,Trajectory!Y31)</f>
        <v>1.1678103136180162</v>
      </c>
      <c r="X100" s="32">
        <f>MAX(Trajectory!X32,Trajectory!Y32)</f>
        <v>1.1385999198461256</v>
      </c>
      <c r="Y100" s="32">
        <f>MAX(Trajectory!X33,Trajectory!Y33)</f>
        <v>1.1892354807268362</v>
      </c>
      <c r="Z100" s="32">
        <f>MAX(Trajectory!X34,Trajectory!Y34)</f>
        <v>1.2605896095704345</v>
      </c>
      <c r="AA100" s="32">
        <f>MAX(Trajectory!X35,Trajectory!Y35)</f>
        <v>1.3362249861446642</v>
      </c>
      <c r="AB100" s="32">
        <f>MAX(Trajectory!X36,Trajectory!Y36)</f>
        <v>1.4163984853133442</v>
      </c>
      <c r="AC100" s="32">
        <f>MAX(Trajectory!X37,Trajectory!Y37)</f>
        <v>1.5013823944321487</v>
      </c>
      <c r="AD100" s="32">
        <f>MAX(Trajectory!X38,Trajectory!Y38)</f>
        <v>1.5914653380980717</v>
      </c>
      <c r="AE100" s="32">
        <f>MAX(Trajectory!X39,Trajectory!Y39)</f>
        <v>1.6869532583839657</v>
      </c>
      <c r="AF100" s="32">
        <f>MAX(Trajectory!X40,Trajectory!Y40)</f>
        <v>1.7881704538869982</v>
      </c>
      <c r="AG100" s="32">
        <f>MAX(Trajectory!X41,Trajectory!Y41)</f>
        <v>1.8954606811202197</v>
      </c>
      <c r="AH100" s="32">
        <f>MAX(Trajectory!X42,Trajectory!Y42)</f>
        <v>0.56319463354284949</v>
      </c>
      <c r="AI100" s="32">
        <f>MAX(Trajectory!X43,Trajectory!Y43)</f>
        <v>0.43976349869940279</v>
      </c>
      <c r="AJ100" s="32">
        <f>MAX(Trajectory!X44,Trajectory!Y44)</f>
        <v>0.38649615797697834</v>
      </c>
    </row>
    <row r="101" spans="1:36" x14ac:dyDescent="0.3">
      <c r="A101" s="31">
        <v>414</v>
      </c>
      <c r="B101" s="31" t="s">
        <v>140</v>
      </c>
      <c r="C101" s="31" t="s">
        <v>141</v>
      </c>
      <c r="D101" s="31">
        <v>11</v>
      </c>
      <c r="E101" s="31" t="s">
        <v>128</v>
      </c>
      <c r="F101" s="31"/>
      <c r="G101" s="31" t="s">
        <v>129</v>
      </c>
      <c r="H101" s="31">
        <v>0</v>
      </c>
      <c r="I101" s="32">
        <f>Trajectory!AB17</f>
        <v>0.29259999999999997</v>
      </c>
      <c r="J101" s="32">
        <f>Trajectory!AB18</f>
        <v>0.33529999999999993</v>
      </c>
      <c r="K101" s="32">
        <f>MAX(Trajectory!AB19,Trajectory!AC19)</f>
        <v>0.22100000000000009</v>
      </c>
      <c r="L101" s="32">
        <f>MAX(Trajectory!AB20,Trajectory!AC20)</f>
        <v>0.23646999999999996</v>
      </c>
      <c r="M101" s="32">
        <f>MAX(Trajectory!AB21,Trajectory!AC21)</f>
        <v>0.25302289999999994</v>
      </c>
      <c r="N101" s="32">
        <f>MAX(Trajectory!AB22,Trajectory!AC22)</f>
        <v>0.2707345029999999</v>
      </c>
      <c r="O101" s="32">
        <f>MAX(Trajectory!AB23,Trajectory!AC23)</f>
        <v>0.29626884430008626</v>
      </c>
      <c r="P101" s="32">
        <f>MAX(Trajectory!AB24,Trajectory!AC24)</f>
        <v>0.3310023643629596</v>
      </c>
      <c r="Q101" s="32">
        <f>MAX(Trajectory!AB25,Trajectory!AC25)</f>
        <v>0.36591039750316723</v>
      </c>
      <c r="R101" s="32">
        <f>MAX(Trajectory!AB26,Trajectory!AC26)</f>
        <v>0.39979236799430229</v>
      </c>
      <c r="S101" s="32">
        <f>MAX(Trajectory!AB27,Trajectory!AC27)</f>
        <v>0.43126338571767864</v>
      </c>
      <c r="T101" s="32">
        <f>MAX(Trajectory!AB28,Trajectory!AC28)</f>
        <v>0.45884393698216108</v>
      </c>
      <c r="U101" s="32">
        <f>MAX(Trajectory!AB29,Trajectory!AC29)</f>
        <v>0.48108489125081899</v>
      </c>
      <c r="V101" s="32">
        <f>MAX(Trajectory!AB30,Trajectory!AC30)</f>
        <v>0.49671417251206762</v>
      </c>
      <c r="W101" s="32">
        <f>MAX(Trajectory!AB31,Trajectory!AC31)</f>
        <v>0.50478269186263169</v>
      </c>
      <c r="X101" s="32">
        <f>MAX(Trajectory!AB32,Trajectory!AC32)</f>
        <v>0.53257574504156491</v>
      </c>
      <c r="Y101" s="32">
        <f>MAX(Trajectory!AB33,Trajectory!AC33)</f>
        <v>0.56985604719447736</v>
      </c>
      <c r="Z101" s="32">
        <f>MAX(Trajectory!AB34,Trajectory!AC34)</f>
        <v>0.60974597049808743</v>
      </c>
      <c r="AA101" s="32">
        <f>MAX(Trajectory!AB35,Trajectory!AC35)</f>
        <v>0.65242818843295591</v>
      </c>
      <c r="AB101" s="32">
        <f>MAX(Trajectory!AB36,Trajectory!AC36)</f>
        <v>0.69809816162326044</v>
      </c>
      <c r="AC101" s="32">
        <f>MAX(Trajectory!AB37,Trajectory!AC37)</f>
        <v>0.74696503293689354</v>
      </c>
      <c r="AD101" s="32">
        <f>MAX(Trajectory!AB38,Trajectory!AC38)</f>
        <v>0.79925258524247056</v>
      </c>
      <c r="AE101" s="32">
        <f>MAX(Trajectory!AB39,Trajectory!AC39)</f>
        <v>0.85520026620944556</v>
      </c>
      <c r="AF101" s="32">
        <f>MAX(Trajectory!AB40,Trajectory!AC40)</f>
        <v>0.34419593079847388</v>
      </c>
      <c r="AG101" s="32">
        <f>MAX(Trajectory!AB41,Trajectory!AC41)</f>
        <v>0.26267574969220675</v>
      </c>
      <c r="AH101" s="32">
        <f>MAX(Trajectory!AB42,Trajectory!AC42)</f>
        <v>0.23093958587786467</v>
      </c>
      <c r="AI101" s="32">
        <f>MAX(Trajectory!AB43,Trajectory!AC43)</f>
        <v>0.20153998593457345</v>
      </c>
      <c r="AJ101" s="32">
        <f>MAX(Trajectory!AB44,Trajectory!AC44)</f>
        <v>0.17474974017852141</v>
      </c>
    </row>
    <row r="102" spans="1:36" x14ac:dyDescent="0.3">
      <c r="A102" s="31">
        <v>275</v>
      </c>
      <c r="B102" s="31" t="s">
        <v>142</v>
      </c>
      <c r="C102" s="31" t="s">
        <v>143</v>
      </c>
      <c r="D102" s="31">
        <v>11</v>
      </c>
      <c r="E102" s="31" t="s">
        <v>128</v>
      </c>
      <c r="F102" s="31"/>
      <c r="G102" s="31" t="s">
        <v>129</v>
      </c>
      <c r="H102" s="31">
        <v>0</v>
      </c>
      <c r="I102" s="32">
        <f>Trajectory!AF17</f>
        <v>0.39610000000000012</v>
      </c>
      <c r="J102" s="32">
        <f>Trajectory!AF18</f>
        <v>0.61399999999999944</v>
      </c>
      <c r="K102" s="32">
        <f>MAX(Trajectory!AF19,Trajectory!AG19)</f>
        <v>0.44882938518124504</v>
      </c>
      <c r="L102" s="32">
        <f>MAX(Trajectory!AF20,Trajectory!AG20)</f>
        <v>0.50247666429027671</v>
      </c>
      <c r="M102" s="32">
        <f>MAX(Trajectory!AF21,Trajectory!AG21)</f>
        <v>0.55873118863017446</v>
      </c>
      <c r="N102" s="32">
        <f>MAX(Trajectory!AF22,Trajectory!AG22)</f>
        <v>0.61661428173354693</v>
      </c>
      <c r="O102" s="32">
        <f>MAX(Trajectory!AF23,Trajectory!AG23)</f>
        <v>0.67485408189574247</v>
      </c>
      <c r="P102" s="32">
        <f>MAX(Trajectory!AF24,Trajectory!AG24)</f>
        <v>0.73190039730780132</v>
      </c>
      <c r="Q102" s="32">
        <f>MAX(Trajectory!AF25,Trajectory!AG25)</f>
        <v>0.78597237500823969</v>
      </c>
      <c r="R102" s="32">
        <f>MAX(Trajectory!AF26,Trajectory!AG26)</f>
        <v>0.8351428052540868</v>
      </c>
      <c r="S102" s="32">
        <f>MAX(Trajectory!AF27,Trajectory!AG27)</f>
        <v>0.87745750431501079</v>
      </c>
      <c r="T102" s="32">
        <f>MAX(Trajectory!AF28,Trajectory!AG28)</f>
        <v>0.91108126648143184</v>
      </c>
      <c r="U102" s="32">
        <f>MAX(Trajectory!AF29,Trajectory!AG29)</f>
        <v>0.93445474656713401</v>
      </c>
      <c r="V102" s="32">
        <f>MAX(Trajectory!AF30,Trajectory!AG30)</f>
        <v>0.94644130595180975</v>
      </c>
      <c r="W102" s="32">
        <f>MAX(Trajectory!AF31,Trajectory!AG31)</f>
        <v>0.9464413059518062</v>
      </c>
      <c r="X102" s="32">
        <f>MAX(Trajectory!AF32,Trajectory!AG32)</f>
        <v>0.93445474656713756</v>
      </c>
      <c r="Y102" s="32">
        <f>MAX(Trajectory!AF33,Trajectory!AG33)</f>
        <v>0.91108126648143184</v>
      </c>
      <c r="Z102" s="32">
        <f>MAX(Trajectory!AF34,Trajectory!AG34)</f>
        <v>0.87745750431501079</v>
      </c>
      <c r="AA102" s="32">
        <f>MAX(Trajectory!AF35,Trajectory!AG35)</f>
        <v>0.87134062784718758</v>
      </c>
      <c r="AB102" s="32">
        <f>MAX(Trajectory!AF36,Trajectory!AG36)</f>
        <v>0.92362106551801837</v>
      </c>
      <c r="AC102" s="32">
        <f>MAX(Trajectory!AF37,Trajectory!AG37)</f>
        <v>0.97903832944910008</v>
      </c>
      <c r="AD102" s="32">
        <f>MAX(Trajectory!AF38,Trajectory!AG38)</f>
        <v>1.0377806292160425</v>
      </c>
      <c r="AE102" s="32">
        <f>MAX(Trajectory!AF39,Trajectory!AG39)</f>
        <v>1.1000474669690092</v>
      </c>
      <c r="AF102" s="32">
        <f>MAX(Trajectory!AF40,Trajectory!AG40)</f>
        <v>1.1660503149871531</v>
      </c>
      <c r="AG102" s="32">
        <f>MAX(Trajectory!AF41,Trajectory!AG41)</f>
        <v>1.2360133338863797</v>
      </c>
      <c r="AH102" s="32">
        <f>MAX(Trajectory!AF42,Trajectory!AG42)</f>
        <v>1.3101741339195563</v>
      </c>
      <c r="AI102" s="32">
        <f>MAX(Trajectory!AF43,Trajectory!AG43)</f>
        <v>1.3887845819547309</v>
      </c>
      <c r="AJ102" s="32">
        <f>MAX(Trajectory!AF44,Trajectory!AG44)</f>
        <v>1.4721116568720163</v>
      </c>
    </row>
    <row r="103" spans="1:36" x14ac:dyDescent="0.3">
      <c r="A103" s="31">
        <v>500</v>
      </c>
      <c r="B103" s="31" t="s">
        <v>144</v>
      </c>
      <c r="C103" s="31" t="s">
        <v>145</v>
      </c>
      <c r="D103" s="31">
        <v>11</v>
      </c>
      <c r="E103" s="31" t="s">
        <v>128</v>
      </c>
      <c r="F103" s="31"/>
      <c r="G103" s="31" t="s">
        <v>129</v>
      </c>
      <c r="H103" s="31">
        <v>0</v>
      </c>
      <c r="I103" s="32">
        <f>Trajectory!AJ17</f>
        <v>0.23599999999999999</v>
      </c>
      <c r="J103" s="32">
        <f>Trajectory!AJ18</f>
        <v>0.6765000000000001</v>
      </c>
      <c r="K103" s="32">
        <f>MAX(Trajectory!AJ19,Trajectory!AK19)</f>
        <v>0.4811087274595538</v>
      </c>
      <c r="L103" s="32">
        <f>MAX(Trajectory!AJ20,Trajectory!AK20)</f>
        <v>0.5645344619124768</v>
      </c>
      <c r="M103" s="32">
        <f>MAX(Trajectory!AJ21,Trajectory!AK21)</f>
        <v>0.65727804934666301</v>
      </c>
      <c r="N103" s="32">
        <f>MAX(Trajectory!AJ22,Trajectory!AK22)</f>
        <v>0.75834195333250864</v>
      </c>
      <c r="O103" s="32">
        <f>MAX(Trajectory!AJ23,Trajectory!AK23)</f>
        <v>0.86583521737708491</v>
      </c>
      <c r="P103" s="32">
        <f>MAX(Trajectory!AJ24,Trajectory!AK24)</f>
        <v>0.97683024321757106</v>
      </c>
      <c r="Q103" s="32">
        <f>MAX(Trajectory!AJ25,Trajectory!AK25)</f>
        <v>1.087317144941081</v>
      </c>
      <c r="R103" s="32">
        <f>MAX(Trajectory!AJ26,Trajectory!AK26)</f>
        <v>1.1923130126192421</v>
      </c>
      <c r="S103" s="32">
        <f>MAX(Trajectory!AJ27,Trajectory!AK27)</f>
        <v>1.2861700717143609</v>
      </c>
      <c r="T103" s="32">
        <f>MAX(Trajectory!AJ28,Trajectory!AK28)</f>
        <v>1.3630901334217302</v>
      </c>
      <c r="U103" s="32">
        <f>MAX(Trajectory!AJ29,Trajectory!AK29)</f>
        <v>1.417795726610029</v>
      </c>
      <c r="V103" s="32">
        <f>MAX(Trajectory!AJ30,Trajectory!AK30)</f>
        <v>1.446246286973679</v>
      </c>
      <c r="W103" s="32">
        <f>MAX(Trajectory!AJ31,Trajectory!AK31)</f>
        <v>1.4462462869736807</v>
      </c>
      <c r="X103" s="32">
        <f>MAX(Trajectory!AJ32,Trajectory!AK32)</f>
        <v>1.4177957266100254</v>
      </c>
      <c r="Y103" s="32">
        <f>MAX(Trajectory!AJ33,Trajectory!AK33)</f>
        <v>1.5341893276762963</v>
      </c>
      <c r="Z103" s="32">
        <f>MAX(Trajectory!AJ34,Trajectory!AK34)</f>
        <v>1.6876082604439251</v>
      </c>
      <c r="AA103" s="32">
        <f>MAX(Trajectory!AJ35,Trajectory!AK35)</f>
        <v>1.8563690864883178</v>
      </c>
      <c r="AB103" s="32">
        <f>MAX(Trajectory!AJ36,Trajectory!AK36)</f>
        <v>2.0420059951371528</v>
      </c>
      <c r="AC103" s="32">
        <f>MAX(Trajectory!AJ37,Trajectory!AK37)</f>
        <v>2.2462065946508716</v>
      </c>
      <c r="AD103" s="32">
        <f>MAX(Trajectory!AJ38,Trajectory!AK38)</f>
        <v>2.4708272541159459</v>
      </c>
      <c r="AE103" s="32">
        <f>MAX(Trajectory!AJ39,Trajectory!AK39)</f>
        <v>2.7179099795275476</v>
      </c>
      <c r="AF103" s="32">
        <f>MAX(Trajectory!AJ40,Trajectory!AK40)</f>
        <v>0.75049022519699093</v>
      </c>
      <c r="AG103" s="32">
        <f>MAX(Trajectory!AJ41,Trajectory!AK41)</f>
        <v>0.56453446191247281</v>
      </c>
      <c r="AH103" s="32">
        <f>MAX(Trajectory!AJ42,Trajectory!AK42)</f>
        <v>0.48110872745956357</v>
      </c>
      <c r="AI103" s="32">
        <f>MAX(Trajectory!AJ43,Trajectory!AK43)</f>
        <v>0.40729262888270767</v>
      </c>
      <c r="AJ103" s="32">
        <f>MAX(Trajectory!AJ44,Trajectory!AK44)</f>
        <v>0.34286447169967715</v>
      </c>
    </row>
    <row r="104" spans="1:36" x14ac:dyDescent="0.3">
      <c r="A104" s="31">
        <v>140</v>
      </c>
      <c r="B104" s="31" t="s">
        <v>146</v>
      </c>
      <c r="C104" s="31" t="s">
        <v>147</v>
      </c>
      <c r="D104" s="31">
        <v>11</v>
      </c>
      <c r="E104" s="31" t="s">
        <v>128</v>
      </c>
      <c r="F104" s="31"/>
      <c r="G104" s="31" t="s">
        <v>129</v>
      </c>
      <c r="H104" s="31">
        <v>0</v>
      </c>
      <c r="I104" s="32">
        <f>Trajectory!AN17</f>
        <v>0</v>
      </c>
      <c r="J104" s="32">
        <f>Trajectory!AN18</f>
        <v>0</v>
      </c>
      <c r="K104" s="32">
        <f>MAX(Trajectory!AN19,Trajectory!AO19)</f>
        <v>0.16689754273672902</v>
      </c>
      <c r="L104" s="32">
        <f>MAX(Trajectory!AN20,Trajectory!AO20)</f>
        <v>0.19710044210905714</v>
      </c>
      <c r="M104" s="32">
        <f>MAX(Trajectory!AN21,Trajectory!AO21)</f>
        <v>0.23016859608095991</v>
      </c>
      <c r="N104" s="32">
        <f>MAX(Trajectory!AN22,Trajectory!AO22)</f>
        <v>0.26528463717227169</v>
      </c>
      <c r="O104" s="32">
        <f>MAX(Trajectory!AN23,Trajectory!AO23)</f>
        <v>0.30117834345000372</v>
      </c>
      <c r="P104" s="32">
        <f>MAX(Trajectory!AN24,Trajectory!AO24)</f>
        <v>0.33612569333006515</v>
      </c>
      <c r="Q104" s="32">
        <f>MAX(Trajectory!AN25,Trajectory!AO25)</f>
        <v>0.36803712142868106</v>
      </c>
      <c r="R104" s="32">
        <f>MAX(Trajectory!AN26,Trajectory!AO26)</f>
        <v>0.39465243107575154</v>
      </c>
      <c r="S104" s="32">
        <f>MAX(Trajectory!AN27,Trajectory!AO27)</f>
        <v>0.41383077455736395</v>
      </c>
      <c r="T104" s="32">
        <f>MAX(Trajectory!AN28,Trajectory!AO28)</f>
        <v>0.42388593716727119</v>
      </c>
      <c r="U104" s="32">
        <f>MAX(Trajectory!AN29,Trajectory!AO29)</f>
        <v>0.42388593716727119</v>
      </c>
      <c r="V104" s="32">
        <f>MAX(Trajectory!AN30,Trajectory!AO30)</f>
        <v>0.41383077455736395</v>
      </c>
      <c r="W104" s="32">
        <f>MAX(Trajectory!AN31,Trajectory!AO31)</f>
        <v>0.3946524310757531</v>
      </c>
      <c r="X104" s="32">
        <f>MAX(Trajectory!AN32,Trajectory!AO32)</f>
        <v>0.36803712142868061</v>
      </c>
      <c r="Y104" s="32">
        <f>MAX(Trajectory!AN33,Trajectory!AO33)</f>
        <v>0.33612569333006537</v>
      </c>
      <c r="Z104" s="32">
        <f>MAX(Trajectory!AN34,Trajectory!AO34)</f>
        <v>0.3011783434500046</v>
      </c>
      <c r="AA104" s="32">
        <f>MAX(Trajectory!AN35,Trajectory!AO35)</f>
        <v>0.2652846371722708</v>
      </c>
      <c r="AB104" s="32">
        <f>MAX(Trajectory!AN36,Trajectory!AO36)</f>
        <v>0.23016859608096052</v>
      </c>
      <c r="AC104" s="32">
        <f>MAX(Trajectory!AN37,Trajectory!AO37)</f>
        <v>0.19710044210905586</v>
      </c>
      <c r="AD104" s="32">
        <f>MAX(Trajectory!AN38,Trajectory!AO38)</f>
        <v>0.16689754273672897</v>
      </c>
      <c r="AE104" s="32">
        <f>MAX(Trajectory!AN39,Trajectory!AO39)</f>
        <v>0.13998362030295475</v>
      </c>
      <c r="AF104" s="32">
        <f>MAX(Trajectory!AN40,Trajectory!AO40)</f>
        <v>0.11647523592745834</v>
      </c>
      <c r="AG104" s="32">
        <f>MAX(Trajectory!AN41,Trajectory!AO41)</f>
        <v>9.6272008463587078E-2</v>
      </c>
      <c r="AH104" s="32">
        <f>MAX(Trajectory!AN42,Trajectory!AO42)</f>
        <v>7.9136423867781858E-2</v>
      </c>
      <c r="AI104" s="32">
        <f>MAX(Trajectory!AN43,Trajectory!AO43)</f>
        <v>6.4757073008076205E-2</v>
      </c>
      <c r="AJ104" s="32">
        <f>MAX(Trajectory!AN44,Trajectory!AO44)</f>
        <v>5.4173529716941893E-2</v>
      </c>
    </row>
    <row r="105" spans="1:36" x14ac:dyDescent="0.3">
      <c r="A105" s="31">
        <v>457</v>
      </c>
      <c r="B105" s="31" t="s">
        <v>148</v>
      </c>
      <c r="C105" s="31" t="s">
        <v>149</v>
      </c>
      <c r="D105" s="31">
        <v>11</v>
      </c>
      <c r="E105" s="31" t="s">
        <v>128</v>
      </c>
      <c r="F105" s="31"/>
      <c r="G105" s="31" t="s">
        <v>129</v>
      </c>
      <c r="H105" s="31">
        <v>0</v>
      </c>
      <c r="I105" s="32">
        <f>Trajectory!AR17</f>
        <v>0.11499999999999999</v>
      </c>
      <c r="J105" s="32">
        <f>Trajectory!AR18</f>
        <v>8.049999999999996E-2</v>
      </c>
      <c r="K105" s="32">
        <f>MAX(Trajectory!AR19,Trajectory!AS19)</f>
        <v>0.12727669098933247</v>
      </c>
      <c r="L105" s="32">
        <f>MAX(Trajectory!AR20,Trajectory!AS20)</f>
        <v>0.14678901659930532</v>
      </c>
      <c r="M105" s="32">
        <f>MAX(Trajectory!AR21,Trajectory!AS21)</f>
        <v>0.16820183125282018</v>
      </c>
      <c r="N105" s="32">
        <f>MAX(Trajectory!AR22,Trajectory!AS22)</f>
        <v>0.19131645168577793</v>
      </c>
      <c r="O105" s="32">
        <f>MAX(Trajectory!AR23,Trajectory!AS23)</f>
        <v>0.21578354341029038</v>
      </c>
      <c r="P105" s="32">
        <f>MAX(Trajectory!AR24,Trajectory!AS24)</f>
        <v>0.24108124912074236</v>
      </c>
      <c r="Q105" s="32">
        <f>MAX(Trajectory!AR25,Trajectory!AS25)</f>
        <v>0.26650605915189152</v>
      </c>
      <c r="R105" s="32">
        <f>MAX(Trajectory!AR26,Trajectory!AS26)</f>
        <v>0.29118354985319073</v>
      </c>
      <c r="S105" s="32">
        <f>MAX(Trajectory!AR27,Trajectory!AS27)</f>
        <v>0.31410505459366123</v>
      </c>
      <c r="T105" s="32">
        <f>MAX(Trajectory!AR28,Trajectory!AS28)</f>
        <v>0.33419298889913618</v>
      </c>
      <c r="U105" s="32">
        <f>MAX(Trajectory!AR29,Trajectory!AS29)</f>
        <v>0.35039189746900412</v>
      </c>
      <c r="V105" s="32">
        <f>MAX(Trajectory!AR30,Trajectory!AS30)</f>
        <v>0.36177528035381457</v>
      </c>
      <c r="W105" s="32">
        <f>MAX(Trajectory!AR31,Trajectory!AS31)</f>
        <v>0.36765188104617641</v>
      </c>
      <c r="X105" s="32">
        <f>MAX(Trajectory!AR32,Trajectory!AS32)</f>
        <v>0.36765188104617685</v>
      </c>
      <c r="Y105" s="32">
        <f>MAX(Trajectory!AR33,Trajectory!AS33)</f>
        <v>0.36177528035381457</v>
      </c>
      <c r="Z105" s="32">
        <f>MAX(Trajectory!AR34,Trajectory!AS34)</f>
        <v>0.35039189746900234</v>
      </c>
      <c r="AA105" s="32">
        <f>MAX(Trajectory!AR35,Trajectory!AS35)</f>
        <v>0.33419298889913751</v>
      </c>
      <c r="AB105" s="32">
        <f>MAX(Trajectory!AR36,Trajectory!AS36)</f>
        <v>0.32854056852454105</v>
      </c>
      <c r="AC105" s="32">
        <f>MAX(Trajectory!AR37,Trajectory!AS37)</f>
        <v>0.36139462537699663</v>
      </c>
      <c r="AD105" s="32">
        <f>MAX(Trajectory!AR38,Trajectory!AS38)</f>
        <v>0.39753408791469536</v>
      </c>
      <c r="AE105" s="32">
        <f>MAX(Trajectory!AR39,Trajectory!AS39)</f>
        <v>0.43728749670616551</v>
      </c>
      <c r="AF105" s="32">
        <f>MAX(Trajectory!AR40,Trajectory!AS40)</f>
        <v>0.48101624637678153</v>
      </c>
      <c r="AG105" s="32">
        <f>MAX(Trajectory!AR41,Trajectory!AS41)</f>
        <v>0.52911787101445995</v>
      </c>
      <c r="AH105" s="32">
        <f>MAX(Trajectory!AR42,Trajectory!AS42)</f>
        <v>0.58202965811590435</v>
      </c>
      <c r="AI105" s="32">
        <f>MAX(Trajectory!AR43,Trajectory!AS43)</f>
        <v>0.64023262392749647</v>
      </c>
      <c r="AJ105" s="32">
        <f>MAX(Trajectory!AR44,Trajectory!AS44)</f>
        <v>0.70425588632024549</v>
      </c>
    </row>
    <row r="106" spans="1:36" x14ac:dyDescent="0.3">
      <c r="A106" s="31">
        <v>33</v>
      </c>
      <c r="B106" s="31" t="s">
        <v>150</v>
      </c>
      <c r="C106" s="31" t="s">
        <v>151</v>
      </c>
      <c r="D106" s="31">
        <v>11</v>
      </c>
      <c r="E106" s="31" t="s">
        <v>128</v>
      </c>
      <c r="F106" s="31"/>
      <c r="G106" s="31" t="s">
        <v>129</v>
      </c>
      <c r="H106" s="31">
        <v>0</v>
      </c>
      <c r="I106" s="32">
        <f>Trajectory!AV17</f>
        <v>0.47599999999999987</v>
      </c>
      <c r="J106" s="32">
        <f>Trajectory!AV18</f>
        <v>0.13570000000000015</v>
      </c>
      <c r="K106" s="32">
        <f>MAX(Trajectory!AV19,Trajectory!AW19)</f>
        <v>0.24700000000000033</v>
      </c>
      <c r="L106" s="32">
        <f>MAX(Trajectory!AV20,Trajectory!AW20)</f>
        <v>0.26676000000000011</v>
      </c>
      <c r="M106" s="32">
        <f>MAX(Trajectory!AV21,Trajectory!AW21)</f>
        <v>0.28810080000000005</v>
      </c>
      <c r="N106" s="32">
        <f>MAX(Trajectory!AV22,Trajectory!AW22)</f>
        <v>0.31114886400000064</v>
      </c>
      <c r="O106" s="32">
        <f>MAX(Trajectory!AV23,Trajectory!AW23)</f>
        <v>0.33604077311999969</v>
      </c>
      <c r="P106" s="32">
        <f>MAX(Trajectory!AV24,Trajectory!AW24)</f>
        <v>0.36292403496960102</v>
      </c>
      <c r="Q106" s="32">
        <f>MAX(Trajectory!AV25,Trajectory!AW25)</f>
        <v>0.39195795776716835</v>
      </c>
      <c r="R106" s="32">
        <f>MAX(Trajectory!AV26,Trajectory!AW26)</f>
        <v>0.42331459438854147</v>
      </c>
      <c r="S106" s="32">
        <f>MAX(Trajectory!AV27,Trajectory!AW27)</f>
        <v>0.45717976193962517</v>
      </c>
      <c r="T106" s="32">
        <f>MAX(Trajectory!AV28,Trajectory!AW28)</f>
        <v>0.49375414289479558</v>
      </c>
      <c r="U106" s="32">
        <f>MAX(Trajectory!AV29,Trajectory!AW29)</f>
        <v>0.53325447432637851</v>
      </c>
      <c r="V106" s="32">
        <f>MAX(Trajectory!AV30,Trajectory!AW30)</f>
        <v>0.5759148322724883</v>
      </c>
      <c r="W106" s="32">
        <f>MAX(Trajectory!AV31,Trajectory!AW31)</f>
        <v>0.22193638326243148</v>
      </c>
      <c r="X106" s="32">
        <f>MAX(Trajectory!AV32,Trajectory!AW32)</f>
        <v>0.21912558705049001</v>
      </c>
      <c r="Y106" s="32">
        <f>MAX(Trajectory!AV33,Trajectory!AW33)</f>
        <v>0.21364460729838441</v>
      </c>
      <c r="Z106" s="32">
        <f>MAX(Trajectory!AV34,Trajectory!AW34)</f>
        <v>0.20575998083505942</v>
      </c>
      <c r="AA106" s="32">
        <f>MAX(Trajectory!AV35,Trajectory!AW35)</f>
        <v>0.19583736734665624</v>
      </c>
      <c r="AB106" s="32">
        <f>MAX(Trajectory!AV36,Trajectory!AW36)</f>
        <v>0.18430711461614369</v>
      </c>
      <c r="AC106" s="32">
        <f>MAX(Trajectory!AV37,Trajectory!AW37)</f>
        <v>0.17162747025656611</v>
      </c>
      <c r="AD106" s="32">
        <f>MAX(Trajectory!AV38,Trajectory!AW38)</f>
        <v>0.1582503565978719</v>
      </c>
      <c r="AE106" s="32">
        <f>MAX(Trajectory!AV39,Trajectory!AW39)</f>
        <v>0.14459337593923038</v>
      </c>
      <c r="AF106" s="32">
        <f>MAX(Trajectory!AV40,Trajectory!AW40)</f>
        <v>0.13102004153949487</v>
      </c>
      <c r="AG106" s="32">
        <f>MAX(Trajectory!AV41,Trajectory!AW41)</f>
        <v>0.11782859945467461</v>
      </c>
      <c r="AH106" s="32">
        <f>MAX(Trajectory!AV42,Trajectory!AW42)</f>
        <v>0.10524854507364267</v>
      </c>
      <c r="AI106" s="32">
        <f>MAX(Trajectory!AV43,Trajectory!AW43)</f>
        <v>9.3443186345469442E-2</v>
      </c>
      <c r="AJ106" s="32">
        <f>MAX(Trajectory!AV44,Trajectory!AW44)</f>
        <v>8.2516341645707314E-2</v>
      </c>
    </row>
    <row r="108" spans="1:36" x14ac:dyDescent="0.3">
      <c r="A108" s="35" t="s">
        <v>158</v>
      </c>
      <c r="B108" s="35"/>
      <c r="C108" s="35"/>
      <c r="D108" s="35"/>
      <c r="E108" s="35"/>
      <c r="F108" s="35"/>
      <c r="G108" s="35"/>
      <c r="H108" s="35"/>
    </row>
    <row r="109" spans="1:36" x14ac:dyDescent="0.3">
      <c r="A109" s="24" t="s">
        <v>119</v>
      </c>
      <c r="B109" s="24" t="s">
        <v>52</v>
      </c>
      <c r="C109" s="24" t="s">
        <v>120</v>
      </c>
      <c r="D109" s="24" t="s">
        <v>121</v>
      </c>
      <c r="E109" s="24" t="s">
        <v>122</v>
      </c>
      <c r="F109" s="24" t="s">
        <v>123</v>
      </c>
      <c r="G109" s="24" t="s">
        <v>124</v>
      </c>
      <c r="H109" s="24" t="s">
        <v>125</v>
      </c>
      <c r="I109" s="24">
        <v>2023</v>
      </c>
      <c r="J109" s="24">
        <v>2024</v>
      </c>
      <c r="K109" s="24">
        <v>2025</v>
      </c>
      <c r="L109" s="24">
        <v>2026</v>
      </c>
      <c r="M109" s="24">
        <v>2027</v>
      </c>
      <c r="N109" s="24">
        <v>2028</v>
      </c>
      <c r="O109" s="24">
        <v>2029</v>
      </c>
      <c r="P109" s="24">
        <v>2030</v>
      </c>
      <c r="Q109" s="24">
        <v>2031</v>
      </c>
      <c r="R109" s="24">
        <v>2032</v>
      </c>
      <c r="S109" s="24">
        <v>2033</v>
      </c>
      <c r="T109" s="24">
        <v>2034</v>
      </c>
      <c r="U109" s="24">
        <v>2035</v>
      </c>
      <c r="V109" s="24">
        <v>2036</v>
      </c>
      <c r="W109" s="24">
        <v>2037</v>
      </c>
      <c r="X109" s="24">
        <v>2038</v>
      </c>
      <c r="Y109" s="24">
        <v>2039</v>
      </c>
      <c r="Z109" s="24">
        <v>2040</v>
      </c>
      <c r="AA109" s="24">
        <v>2041</v>
      </c>
      <c r="AB109" s="24">
        <v>2042</v>
      </c>
      <c r="AC109" s="24">
        <v>2043</v>
      </c>
      <c r="AD109" s="24">
        <v>2044</v>
      </c>
      <c r="AE109" s="24">
        <v>2045</v>
      </c>
      <c r="AF109" s="24">
        <v>2046</v>
      </c>
      <c r="AG109" s="24">
        <v>2047</v>
      </c>
      <c r="AH109" s="24">
        <v>2048</v>
      </c>
      <c r="AI109" s="24">
        <v>2049</v>
      </c>
      <c r="AJ109" s="24">
        <v>2050</v>
      </c>
    </row>
    <row r="110" spans="1:36" x14ac:dyDescent="0.3">
      <c r="A110" s="31">
        <v>8</v>
      </c>
      <c r="B110" s="31" t="s">
        <v>126</v>
      </c>
      <c r="C110" s="31" t="s">
        <v>127</v>
      </c>
      <c r="D110" s="31">
        <v>11</v>
      </c>
      <c r="E110" s="31" t="s">
        <v>128</v>
      </c>
      <c r="F110" s="31"/>
      <c r="G110" s="31" t="s">
        <v>129</v>
      </c>
      <c r="H110" s="31">
        <v>0</v>
      </c>
      <c r="I110" s="32">
        <f>Trajectory!D17</f>
        <v>3.3</v>
      </c>
      <c r="J110" s="32">
        <f>Trajectory!D18</f>
        <v>5.6000000000000014</v>
      </c>
      <c r="K110" s="32">
        <f>MIN(Trajectory!D19,Trajectory!E19)</f>
        <v>1.9488158007407534</v>
      </c>
      <c r="L110" s="32">
        <f>MIN(Trajectory!D20,Trajectory!E20)</f>
        <v>2.2166258310617977</v>
      </c>
      <c r="M110" s="32">
        <f>MIN(Trajectory!D21,Trajectory!E21)</f>
        <v>2.5001058300353804</v>
      </c>
      <c r="N110" s="32">
        <f>MIN(Trajectory!D22,Trajectory!E22)</f>
        <v>2.7932094677533001</v>
      </c>
      <c r="O110" s="32">
        <f>MIN(Trajectory!D23,Trajectory!E23)</f>
        <v>3.0877857583351904</v>
      </c>
      <c r="P110" s="32">
        <f>MIN(Trajectory!D24,Trajectory!E24)</f>
        <v>3.37370347660924</v>
      </c>
      <c r="Q110" s="32">
        <f>MIN(Trajectory!D25,Trajectory!E25)</f>
        <v>3.6392760347809912</v>
      </c>
      <c r="R110" s="32">
        <f>MIN(Trajectory!D26,Trajectory!E26)</f>
        <v>3.8720183508852131</v>
      </c>
      <c r="S110" s="32">
        <f>MIN(Trajectory!D27,Trajectory!E27)</f>
        <v>4.0597017354273248</v>
      </c>
      <c r="T110" s="32">
        <f>MIN(Trajectory!D28,Trajectory!E28)</f>
        <v>4.1915915981390981</v>
      </c>
      <c r="U110" s="32">
        <f>MIN(Trajectory!D29,Trajectory!E29)</f>
        <v>4.2596789203674845</v>
      </c>
      <c r="V110" s="32">
        <f>MIN(Trajectory!D30,Trajectory!E30)</f>
        <v>4.2596789203674987</v>
      </c>
      <c r="W110" s="32">
        <f>MIN(Trajectory!D31,Trajectory!E31)</f>
        <v>4.191591598139091</v>
      </c>
      <c r="X110" s="32">
        <f>MIN(Trajectory!D32,Trajectory!E32)</f>
        <v>4.0597017354273177</v>
      </c>
      <c r="Y110" s="32">
        <f>MIN(Trajectory!D33,Trajectory!E33)</f>
        <v>2.7021468317167319</v>
      </c>
      <c r="Z110" s="32">
        <f>MIN(Trajectory!D34,Trajectory!E34)</f>
        <v>0</v>
      </c>
      <c r="AA110" s="32">
        <f>MIN(Trajectory!D35,Trajectory!E35)</f>
        <v>0</v>
      </c>
      <c r="AB110" s="32">
        <f>MIN(Trajectory!D36,Trajectory!E36)</f>
        <v>0</v>
      </c>
      <c r="AC110" s="32">
        <f>MIN(Trajectory!D37,Trajectory!E37)</f>
        <v>0</v>
      </c>
      <c r="AD110" s="32">
        <f>MIN(Trajectory!D38,Trajectory!E38)</f>
        <v>0</v>
      </c>
      <c r="AE110" s="32">
        <f>MIN(Trajectory!D39,Trajectory!E39)</f>
        <v>0</v>
      </c>
      <c r="AF110" s="32">
        <f>MIN(Trajectory!D40,Trajectory!E40)</f>
        <v>0</v>
      </c>
      <c r="AG110" s="32">
        <f>MIN(Trajectory!D41,Trajectory!E41)</f>
        <v>0</v>
      </c>
      <c r="AH110" s="32">
        <f>MIN(Trajectory!D42,Trajectory!E42)</f>
        <v>0</v>
      </c>
      <c r="AI110" s="32">
        <f>MIN(Trajectory!D43,Trajectory!E43)</f>
        <v>0</v>
      </c>
      <c r="AJ110" s="32">
        <f>MIN(Trajectory!D44,Trajectory!E44)</f>
        <v>0</v>
      </c>
    </row>
    <row r="111" spans="1:36" x14ac:dyDescent="0.3">
      <c r="A111" s="31">
        <v>453</v>
      </c>
      <c r="B111" s="31" t="s">
        <v>130</v>
      </c>
      <c r="C111" s="31" t="s">
        <v>131</v>
      </c>
      <c r="D111" s="31">
        <v>11</v>
      </c>
      <c r="E111" s="31" t="s">
        <v>128</v>
      </c>
      <c r="F111" s="31"/>
      <c r="G111" s="31" t="s">
        <v>129</v>
      </c>
      <c r="H111" s="31">
        <v>0</v>
      </c>
      <c r="I111" s="32">
        <f>Trajectory!H17</f>
        <v>4</v>
      </c>
      <c r="J111" s="32">
        <f>Trajectory!H18</f>
        <v>3</v>
      </c>
      <c r="K111" s="32">
        <f>MIN(Trajectory!H19,Trajectory!I19)</f>
        <v>2.830621355551628</v>
      </c>
      <c r="L111" s="32">
        <f>MIN(Trajectory!H20,Trajectory!I20)</f>
        <v>3.097976210873334</v>
      </c>
      <c r="M111" s="32">
        <f>MIN(Trajectory!H21,Trajectory!I21)</f>
        <v>3.3598522709070622</v>
      </c>
      <c r="N111" s="32">
        <f>MIN(Trajectory!H22,Trajectory!I22)</f>
        <v>3.6080743756326683</v>
      </c>
      <c r="O111" s="32">
        <f>MIN(Trajectory!H23,Trajectory!I23)</f>
        <v>3.83379550152722</v>
      </c>
      <c r="P111" s="32">
        <f>MIN(Trajectory!H24,Trajectory!I24)</f>
        <v>4.028044798638625</v>
      </c>
      <c r="Q111" s="32">
        <f>MIN(Trajectory!H25,Trajectory!I25)</f>
        <v>4.182397595941147</v>
      </c>
      <c r="R111" s="32">
        <f>MIN(Trajectory!H26,Trajectory!I26)</f>
        <v>4.2896955840742663</v>
      </c>
      <c r="S111" s="32">
        <f>MIN(Trajectory!H27,Trajectory!I27)</f>
        <v>4.3447209248406864</v>
      </c>
      <c r="T111" s="32">
        <f>MIN(Trajectory!H28,Trajectory!I28)</f>
        <v>4.3447209248406864</v>
      </c>
      <c r="U111" s="32">
        <f>MIN(Trajectory!H29,Trajectory!I29)</f>
        <v>4.2896955840742805</v>
      </c>
      <c r="V111" s="32">
        <f>MIN(Trajectory!H30,Trajectory!I30)</f>
        <v>4.1823975959411399</v>
      </c>
      <c r="W111" s="32">
        <f>MIN(Trajectory!H31,Trajectory!I31)</f>
        <v>4.0280447986386179</v>
      </c>
      <c r="X111" s="32">
        <f>MIN(Trajectory!H32,Trajectory!I32)</f>
        <v>3.8337955015272485</v>
      </c>
      <c r="Y111" s="32">
        <f>MIN(Trajectory!H33,Trajectory!I33)</f>
        <v>3.6080743756326399</v>
      </c>
      <c r="Z111" s="32">
        <f>MIN(Trajectory!H34,Trajectory!I34)</f>
        <v>3.3598522709070693</v>
      </c>
      <c r="AA111" s="32">
        <f>MIN(Trajectory!H35,Trajectory!I35)</f>
        <v>0</v>
      </c>
      <c r="AB111" s="32">
        <f>MIN(Trajectory!H36,Trajectory!I36)</f>
        <v>0</v>
      </c>
      <c r="AC111" s="32">
        <f>MIN(Trajectory!H37,Trajectory!I37)</f>
        <v>0</v>
      </c>
      <c r="AD111" s="32">
        <f>MIN(Trajectory!H38,Trajectory!I38)</f>
        <v>0</v>
      </c>
      <c r="AE111" s="32">
        <f>MIN(Trajectory!H39,Trajectory!I39)</f>
        <v>0</v>
      </c>
      <c r="AF111" s="32">
        <f>MIN(Trajectory!H40,Trajectory!I40)</f>
        <v>0</v>
      </c>
      <c r="AG111" s="32">
        <f>MIN(Trajectory!H41,Trajectory!I41)</f>
        <v>0</v>
      </c>
      <c r="AH111" s="32">
        <f>MIN(Trajectory!H42,Trajectory!I42)</f>
        <v>0</v>
      </c>
      <c r="AI111" s="32">
        <f>MIN(Trajectory!H43,Trajectory!I43)</f>
        <v>0</v>
      </c>
      <c r="AJ111" s="32">
        <f>MIN(Trajectory!H44,Trajectory!I44)</f>
        <v>0</v>
      </c>
    </row>
    <row r="112" spans="1:36" x14ac:dyDescent="0.3">
      <c r="A112" s="31">
        <v>13</v>
      </c>
      <c r="B112" s="31" t="s">
        <v>132</v>
      </c>
      <c r="C112" s="31" t="s">
        <v>133</v>
      </c>
      <c r="D112" s="31">
        <v>11</v>
      </c>
      <c r="E112" s="31" t="s">
        <v>128</v>
      </c>
      <c r="F112" s="31"/>
      <c r="G112" s="31" t="s">
        <v>129</v>
      </c>
      <c r="H112" s="31">
        <v>0</v>
      </c>
      <c r="I112" s="32">
        <f>Trajectory!L17</f>
        <v>0.8199999999999994</v>
      </c>
      <c r="J112" s="32">
        <f>Trajectory!L18</f>
        <v>0</v>
      </c>
      <c r="K112" s="32">
        <f>MIN(Trajectory!L19,Trajectory!M19)</f>
        <v>0.22000000000000064</v>
      </c>
      <c r="L112" s="32">
        <f>MIN(Trajectory!L20,Trajectory!M20)</f>
        <v>0.23759999999999959</v>
      </c>
      <c r="M112" s="32">
        <f>MIN(Trajectory!L21,Trajectory!M21)</f>
        <v>0.25660800000000084</v>
      </c>
      <c r="N112" s="32">
        <f>MIN(Trajectory!L22,Trajectory!M22)</f>
        <v>0.27713664000000016</v>
      </c>
      <c r="O112" s="32">
        <f>MIN(Trajectory!L23,Trajectory!M23)</f>
        <v>0.29930757119999996</v>
      </c>
      <c r="P112" s="32">
        <f>MIN(Trajectory!L24,Trajectory!M24)</f>
        <v>0.32325217689600017</v>
      </c>
      <c r="Q112" s="32">
        <f>MIN(Trajectory!L25,Trajectory!M25)</f>
        <v>0.34911235104767968</v>
      </c>
      <c r="R112" s="32">
        <f>MIN(Trajectory!L26,Trajectory!M26)</f>
        <v>0.37704133913149462</v>
      </c>
      <c r="S112" s="32">
        <f>MIN(Trajectory!L27,Trajectory!M27)</f>
        <v>0.40720464626201469</v>
      </c>
      <c r="T112" s="32">
        <f>MIN(Trajectory!L28,Trajectory!M28)</f>
        <v>0.43978101796297508</v>
      </c>
      <c r="U112" s="32">
        <f>MIN(Trajectory!L29,Trajectory!M29)</f>
        <v>0.47496349940001359</v>
      </c>
      <c r="V112" s="32">
        <f>MIN(Trajectory!L30,Trajectory!M30)</f>
        <v>0.51296057935201489</v>
      </c>
      <c r="W112" s="32">
        <f>MIN(Trajectory!L31,Trajectory!M31)</f>
        <v>0.55399742570017629</v>
      </c>
      <c r="X112" s="32">
        <f>MIN(Trajectory!L32,Trajectory!M32)</f>
        <v>0.5983172197561899</v>
      </c>
      <c r="Y112" s="32">
        <f>MIN(Trajectory!L33,Trajectory!M33)</f>
        <v>0.64618259733668637</v>
      </c>
      <c r="Z112" s="32">
        <f>MIN(Trajectory!L34,Trajectory!M34)</f>
        <v>0.6978772051236195</v>
      </c>
      <c r="AA112" s="32">
        <f>MIN(Trajectory!L35,Trajectory!M35)</f>
        <v>0.75370738153350914</v>
      </c>
      <c r="AB112" s="32">
        <f>MIN(Trajectory!L36,Trajectory!M36)</f>
        <v>0.81400397205619157</v>
      </c>
      <c r="AC112" s="32">
        <f>MIN(Trajectory!L37,Trajectory!M37)</f>
        <v>0.87912428982068569</v>
      </c>
      <c r="AD112" s="32">
        <f>MIN(Trajectory!L38,Trajectory!M38)</f>
        <v>0.94945423300634246</v>
      </c>
      <c r="AE112" s="32">
        <f>MIN(Trajectory!L39,Trajectory!M39)</f>
        <v>0.92571442804623416</v>
      </c>
      <c r="AF112" s="32">
        <f>MIN(Trajectory!L40,Trajectory!M40)</f>
        <v>0.80234486677738204</v>
      </c>
      <c r="AG112" s="32">
        <f>MIN(Trajectory!L41,Trajectory!M41)</f>
        <v>0.68913198620379035</v>
      </c>
      <c r="AH112" s="32">
        <f>MIN(Trajectory!L42,Trajectory!M42)</f>
        <v>0.58729348747106513</v>
      </c>
      <c r="AI112" s="32">
        <f>MIN(Trajectory!L43,Trajectory!M43)</f>
        <v>0.49718555242358775</v>
      </c>
      <c r="AJ112" s="32">
        <f>MIN(Trajectory!L44,Trajectory!M44)</f>
        <v>0.41853755673420778</v>
      </c>
    </row>
    <row r="113" spans="1:36" x14ac:dyDescent="0.3">
      <c r="A113" s="31">
        <v>77</v>
      </c>
      <c r="B113" s="31" t="s">
        <v>134</v>
      </c>
      <c r="C113" s="31" t="s">
        <v>135</v>
      </c>
      <c r="D113" s="31">
        <v>11</v>
      </c>
      <c r="E113" s="31" t="s">
        <v>128</v>
      </c>
      <c r="F113" s="31"/>
      <c r="G113" s="31" t="s">
        <v>129</v>
      </c>
      <c r="H113" s="31">
        <v>0</v>
      </c>
      <c r="I113" s="32">
        <f>Trajectory!P17</f>
        <v>0</v>
      </c>
      <c r="J113" s="32">
        <f>Trajectory!P18</f>
        <v>0</v>
      </c>
      <c r="K113" s="32">
        <f>MIN(Trajectory!P19,Trajectory!Q19)</f>
        <v>0</v>
      </c>
      <c r="L113" s="32">
        <f>MIN(Trajectory!P20,Trajectory!Q20)</f>
        <v>0</v>
      </c>
      <c r="M113" s="32">
        <f>MIN(Trajectory!P21,Trajectory!Q21)</f>
        <v>0</v>
      </c>
      <c r="N113" s="32">
        <f>MIN(Trajectory!P22,Trajectory!Q22)</f>
        <v>0</v>
      </c>
      <c r="O113" s="32">
        <f>MIN(Trajectory!P23,Trajectory!Q23)</f>
        <v>0</v>
      </c>
      <c r="P113" s="32">
        <f>MIN(Trajectory!P24,Trajectory!Q24)</f>
        <v>0</v>
      </c>
      <c r="Q113" s="32">
        <f>MIN(Trajectory!P25,Trajectory!Q25)</f>
        <v>0</v>
      </c>
      <c r="R113" s="32">
        <f>MIN(Trajectory!P26,Trajectory!Q26)</f>
        <v>0</v>
      </c>
      <c r="S113" s="32">
        <f>MIN(Trajectory!P27,Trajectory!Q27)</f>
        <v>0</v>
      </c>
      <c r="T113" s="32">
        <f>MIN(Trajectory!P28,Trajectory!Q28)</f>
        <v>0</v>
      </c>
      <c r="U113" s="32">
        <f>MIN(Trajectory!P29,Trajectory!Q29)</f>
        <v>0</v>
      </c>
      <c r="V113" s="32">
        <f>MIN(Trajectory!P30,Trajectory!Q30)</f>
        <v>0</v>
      </c>
      <c r="W113" s="32">
        <f>MIN(Trajectory!P31,Trajectory!Q31)</f>
        <v>0</v>
      </c>
      <c r="X113" s="32">
        <f>MIN(Trajectory!P32,Trajectory!Q32)</f>
        <v>0</v>
      </c>
      <c r="Y113" s="32">
        <f>MIN(Trajectory!P33,Trajectory!Q33)</f>
        <v>0</v>
      </c>
      <c r="Z113" s="32">
        <f>MIN(Trajectory!P34,Trajectory!Q34)</f>
        <v>0</v>
      </c>
      <c r="AA113" s="32">
        <f>MIN(Trajectory!P35,Trajectory!Q35)</f>
        <v>0</v>
      </c>
      <c r="AB113" s="32">
        <f>MIN(Trajectory!P36,Trajectory!Q36)</f>
        <v>0</v>
      </c>
      <c r="AC113" s="32">
        <f>MIN(Trajectory!P37,Trajectory!Q37)</f>
        <v>0</v>
      </c>
      <c r="AD113" s="32">
        <f>MIN(Trajectory!P38,Trajectory!Q38)</f>
        <v>0</v>
      </c>
      <c r="AE113" s="32">
        <f>MIN(Trajectory!P39,Trajectory!Q39)</f>
        <v>0</v>
      </c>
      <c r="AF113" s="32">
        <f>MIN(Trajectory!P40,Trajectory!Q40)</f>
        <v>0</v>
      </c>
      <c r="AG113" s="32">
        <f>MIN(Trajectory!P41,Trajectory!Q41)</f>
        <v>0</v>
      </c>
      <c r="AH113" s="32">
        <f>MIN(Trajectory!P42,Trajectory!Q42)</f>
        <v>0</v>
      </c>
      <c r="AI113" s="32">
        <f>MIN(Trajectory!P43,Trajectory!Q43)</f>
        <v>0</v>
      </c>
      <c r="AJ113" s="32">
        <f>MIN(Trajectory!P44,Trajectory!Q44)</f>
        <v>0</v>
      </c>
    </row>
    <row r="114" spans="1:36" x14ac:dyDescent="0.3">
      <c r="A114" s="31">
        <v>295</v>
      </c>
      <c r="B114" s="31" t="s">
        <v>136</v>
      </c>
      <c r="C114" s="31" t="s">
        <v>137</v>
      </c>
      <c r="D114" s="31">
        <v>11</v>
      </c>
      <c r="E114" s="31" t="s">
        <v>128</v>
      </c>
      <c r="F114" s="31"/>
      <c r="G114" s="31" t="s">
        <v>129</v>
      </c>
      <c r="H114" s="31">
        <v>0</v>
      </c>
      <c r="I114" s="32">
        <f>Trajectory!T17</f>
        <v>1.5</v>
      </c>
      <c r="J114" s="32">
        <f>Trajectory!T18</f>
        <v>0.59999999999999964</v>
      </c>
      <c r="K114" s="32">
        <f>MIN(Trajectory!T19,Trajectory!U19)</f>
        <v>0.87392938786216057</v>
      </c>
      <c r="L114" s="32">
        <f>MIN(Trajectory!T20,Trajectory!U20)</f>
        <v>0.99402645181907978</v>
      </c>
      <c r="M114" s="32">
        <f>MIN(Trajectory!T21,Trajectory!U21)</f>
        <v>1.1211505760590299</v>
      </c>
      <c r="N114" s="32">
        <f>MIN(Trajectory!T22,Trajectory!U22)</f>
        <v>1.2525903368581961</v>
      </c>
      <c r="O114" s="32">
        <f>MIN(Trajectory!T23,Trajectory!U23)</f>
        <v>1.3846904959440778</v>
      </c>
      <c r="P114" s="32">
        <f>MIN(Trajectory!T24,Trajectory!U24)</f>
        <v>1.5129077940669742</v>
      </c>
      <c r="Q114" s="32">
        <f>MIN(Trajectory!T25,Trajectory!U25)</f>
        <v>1.6320014832231298</v>
      </c>
      <c r="R114" s="32">
        <f>MIN(Trajectory!T26,Trajectory!U26)</f>
        <v>1.7363727376871338</v>
      </c>
      <c r="S114" s="32">
        <f>MIN(Trajectory!T27,Trajectory!U27)</f>
        <v>1.8205377086928252</v>
      </c>
      <c r="T114" s="32">
        <f>MIN(Trajectory!T28,Trajectory!U28)</f>
        <v>1.8796825631942724</v>
      </c>
      <c r="U114" s="32">
        <f>MIN(Trajectory!T29,Trajectory!U29)</f>
        <v>1.9102157268794286</v>
      </c>
      <c r="V114" s="32">
        <f>MIN(Trajectory!T30,Trajectory!U30)</f>
        <v>1.9102157268794286</v>
      </c>
      <c r="W114" s="32">
        <f>MIN(Trajectory!T31,Trajectory!U31)</f>
        <v>1.8796825631942653</v>
      </c>
      <c r="X114" s="32">
        <f>MIN(Trajectory!T32,Trajectory!U32)</f>
        <v>1.8205377086928252</v>
      </c>
      <c r="Y114" s="32">
        <f>MIN(Trajectory!T33,Trajectory!U33)</f>
        <v>1.7363727376871338</v>
      </c>
      <c r="Z114" s="32">
        <f>MIN(Trajectory!T34,Trajectory!U34)</f>
        <v>1.6320014832231209</v>
      </c>
      <c r="AA114" s="32">
        <f>MIN(Trajectory!T35,Trajectory!U35)</f>
        <v>1.5129077940669831</v>
      </c>
      <c r="AB114" s="32">
        <f>MIN(Trajectory!T36,Trajectory!U36)</f>
        <v>1.3846904959440778</v>
      </c>
      <c r="AC114" s="32">
        <f>MIN(Trajectory!T37,Trajectory!U37)</f>
        <v>0</v>
      </c>
      <c r="AD114" s="32">
        <f>MIN(Trajectory!T38,Trajectory!U38)</f>
        <v>0</v>
      </c>
      <c r="AE114" s="32">
        <f>MIN(Trajectory!T39,Trajectory!U39)</f>
        <v>0</v>
      </c>
      <c r="AF114" s="32">
        <f>MIN(Trajectory!T40,Trajectory!U40)</f>
        <v>0</v>
      </c>
      <c r="AG114" s="32">
        <f>MIN(Trajectory!T41,Trajectory!U41)</f>
        <v>0</v>
      </c>
      <c r="AH114" s="32">
        <f>MIN(Trajectory!T42,Trajectory!U42)</f>
        <v>0</v>
      </c>
      <c r="AI114" s="32">
        <f>MIN(Trajectory!T43,Trajectory!U43)</f>
        <v>0</v>
      </c>
      <c r="AJ114" s="32">
        <f>MIN(Trajectory!T44,Trajectory!U44)</f>
        <v>0</v>
      </c>
    </row>
    <row r="115" spans="1:36" x14ac:dyDescent="0.3">
      <c r="A115" s="31">
        <v>327</v>
      </c>
      <c r="B115" s="31" t="s">
        <v>138</v>
      </c>
      <c r="C115" s="31" t="s">
        <v>139</v>
      </c>
      <c r="D115" s="31">
        <v>11</v>
      </c>
      <c r="E115" s="31" t="s">
        <v>128</v>
      </c>
      <c r="F115" s="31"/>
      <c r="G115" s="31" t="s">
        <v>129</v>
      </c>
      <c r="H115" s="31">
        <v>0</v>
      </c>
      <c r="I115" s="32">
        <f>Trajectory!X17</f>
        <v>0.70900000000000052</v>
      </c>
      <c r="J115" s="32">
        <f>Trajectory!X18</f>
        <v>0.18399999999999928</v>
      </c>
      <c r="K115" s="32">
        <f>MIN(Trajectory!X19,Trajectory!Y19)</f>
        <v>0.52600000000000069</v>
      </c>
      <c r="L115" s="32">
        <f>MIN(Trajectory!X20,Trajectory!Y20)</f>
        <v>0.5575600000000005</v>
      </c>
      <c r="M115" s="32">
        <f>MIN(Trajectory!X21,Trajectory!Y21)</f>
        <v>0.59101360000000192</v>
      </c>
      <c r="N115" s="32">
        <f>MIN(Trajectory!X22,Trajectory!Y22)</f>
        <v>0.62647441599999976</v>
      </c>
      <c r="O115" s="32">
        <f>MIN(Trajectory!X23,Trajectory!Y23)</f>
        <v>0.66406288096000221</v>
      </c>
      <c r="P115" s="32">
        <f>MIN(Trajectory!X24,Trajectory!Y24)</f>
        <v>0.70390665381760087</v>
      </c>
      <c r="Q115" s="32">
        <f>MIN(Trajectory!X25,Trajectory!Y25)</f>
        <v>0.74614105304665657</v>
      </c>
      <c r="R115" s="32">
        <f>MIN(Trajectory!X26,Trajectory!Y26)</f>
        <v>0.79090951622945482</v>
      </c>
      <c r="S115" s="32">
        <f>MIN(Trajectory!X27,Trajectory!Y27)</f>
        <v>0.83836408720322453</v>
      </c>
      <c r="T115" s="32">
        <f>MIN(Trajectory!X28,Trajectory!Y28)</f>
        <v>0.88866593243541736</v>
      </c>
      <c r="U115" s="32">
        <f>MIN(Trajectory!X29,Trajectory!Y29)</f>
        <v>0.94198588838154329</v>
      </c>
      <c r="V115" s="32">
        <f>MIN(Trajectory!X30,Trajectory!Y30)</f>
        <v>0.99850504168443521</v>
      </c>
      <c r="W115" s="32">
        <f>MIN(Trajectory!X31,Trajectory!Y31)</f>
        <v>1.0584153441855015</v>
      </c>
      <c r="X115" s="32">
        <f>MIN(Trajectory!X32,Trajectory!Y32)</f>
        <v>1.1219202648366284</v>
      </c>
      <c r="Y115" s="32">
        <f>MIN(Trajectory!X33,Trajectory!Y33)</f>
        <v>1.0965795048556402</v>
      </c>
      <c r="Z115" s="32">
        <f>MIN(Trajectory!X34,Trajectory!Y34)</f>
        <v>1.0436978193994655</v>
      </c>
      <c r="AA115" s="32">
        <f>MIN(Trajectory!X35,Trajectory!Y35)</f>
        <v>0.98224836368522972</v>
      </c>
      <c r="AB115" s="32">
        <f>MIN(Trajectory!X36,Trajectory!Y36)</f>
        <v>0.91467332758179865</v>
      </c>
      <c r="AC115" s="32">
        <f>MIN(Trajectory!X37,Trajectory!Y37)</f>
        <v>0.84338119092473463</v>
      </c>
      <c r="AD115" s="32">
        <f>MIN(Trajectory!X38,Trajectory!Y38)</f>
        <v>0.77059752800010983</v>
      </c>
      <c r="AE115" s="32">
        <f>MIN(Trajectory!X39,Trajectory!Y39)</f>
        <v>0.69825965036765325</v>
      </c>
      <c r="AF115" s="32">
        <f>MIN(Trajectory!X40,Trajectory!Y40)</f>
        <v>0.62795703383845236</v>
      </c>
      <c r="AG115" s="32">
        <f>MIN(Trajectory!X41,Trajectory!Y41)</f>
        <v>0.56091275366198801</v>
      </c>
      <c r="AH115" s="32">
        <f>MIN(Trajectory!X42,Trajectory!Y42)</f>
        <v>0.49799714501814663</v>
      </c>
      <c r="AI115" s="32">
        <f>MIN(Trajectory!X43,Trajectory!Y43)</f>
        <v>0</v>
      </c>
      <c r="AJ115" s="32">
        <f>MIN(Trajectory!X44,Trajectory!Y44)</f>
        <v>0</v>
      </c>
    </row>
    <row r="116" spans="1:36" x14ac:dyDescent="0.3">
      <c r="A116" s="31">
        <v>414</v>
      </c>
      <c r="B116" s="31" t="s">
        <v>140</v>
      </c>
      <c r="C116" s="31" t="s">
        <v>141</v>
      </c>
      <c r="D116" s="31">
        <v>11</v>
      </c>
      <c r="E116" s="31" t="s">
        <v>128</v>
      </c>
      <c r="F116" s="31"/>
      <c r="G116" s="31" t="s">
        <v>129</v>
      </c>
      <c r="H116" s="31">
        <v>0</v>
      </c>
      <c r="I116" s="32">
        <f>Trajectory!AB17</f>
        <v>0.29259999999999997</v>
      </c>
      <c r="J116" s="32">
        <f>Trajectory!AB18</f>
        <v>0.33529999999999993</v>
      </c>
      <c r="K116" s="32">
        <f>MIN(Trajectory!AB19,Trajectory!AC19)</f>
        <v>0.1747497401785203</v>
      </c>
      <c r="L116" s="32">
        <f>MIN(Trajectory!AB20,Trajectory!AC20)</f>
        <v>0.20153998593457345</v>
      </c>
      <c r="M116" s="32">
        <f>MIN(Trajectory!AB21,Trajectory!AC21)</f>
        <v>0.23093958587786645</v>
      </c>
      <c r="N116" s="32">
        <f>MIN(Trajectory!AB22,Trajectory!AC22)</f>
        <v>0.26267574969220586</v>
      </c>
      <c r="O116" s="32">
        <f>MIN(Trajectory!AB23,Trajectory!AC23)</f>
        <v>0.28968591821000045</v>
      </c>
      <c r="P116" s="32">
        <f>MIN(Trajectory!AB24,Trajectory!AC24)</f>
        <v>0.30996393248469944</v>
      </c>
      <c r="Q116" s="32">
        <f>MIN(Trajectory!AB25,Trajectory!AC25)</f>
        <v>0.33166140775862951</v>
      </c>
      <c r="R116" s="32">
        <f>MIN(Trajectory!AB26,Trajectory!AC26)</f>
        <v>0.35487770630173321</v>
      </c>
      <c r="S116" s="32">
        <f>MIN(Trajectory!AB27,Trajectory!AC27)</f>
        <v>0.37971914574285481</v>
      </c>
      <c r="T116" s="32">
        <f>MIN(Trajectory!AB28,Trajectory!AC28)</f>
        <v>0.40629948594485388</v>
      </c>
      <c r="U116" s="32">
        <f>MIN(Trajectory!AB29,Trajectory!AC29)</f>
        <v>0.43474044996099437</v>
      </c>
      <c r="V116" s="32">
        <f>MIN(Trajectory!AB30,Trajectory!AC30)</f>
        <v>0.46517228145826284</v>
      </c>
      <c r="W116" s="32">
        <f>MIN(Trajectory!AB31,Trajectory!AC31)</f>
        <v>0.4977343411603421</v>
      </c>
      <c r="X116" s="32">
        <f>MIN(Trajectory!AB32,Trajectory!AC32)</f>
        <v>0.50478269186263169</v>
      </c>
      <c r="Y116" s="32">
        <f>MIN(Trajectory!AB33,Trajectory!AC33)</f>
        <v>0.49671417251206851</v>
      </c>
      <c r="Z116" s="32">
        <f>MIN(Trajectory!AB34,Trajectory!AC34)</f>
        <v>0.48108489125081721</v>
      </c>
      <c r="AA116" s="32">
        <f>MIN(Trajectory!AB35,Trajectory!AC35)</f>
        <v>0.45884393698216197</v>
      </c>
      <c r="AB116" s="32">
        <f>MIN(Trajectory!AB36,Trajectory!AC36)</f>
        <v>0.43126338571767775</v>
      </c>
      <c r="AC116" s="32">
        <f>MIN(Trajectory!AB37,Trajectory!AC37)</f>
        <v>0.39979236799430318</v>
      </c>
      <c r="AD116" s="32">
        <f>MIN(Trajectory!AB38,Trajectory!AC38)</f>
        <v>0.36591039750316767</v>
      </c>
      <c r="AE116" s="32">
        <f>MIN(Trajectory!AB39,Trajectory!AC39)</f>
        <v>0.33100236436296093</v>
      </c>
      <c r="AF116" s="32">
        <f>MIN(Trajectory!AB40,Trajectory!AC40)</f>
        <v>0.29626884430008538</v>
      </c>
      <c r="AG116" s="32">
        <f>MIN(Trajectory!AB41,Trajectory!AC41)</f>
        <v>0</v>
      </c>
      <c r="AH116" s="32">
        <f>MIN(Trajectory!AB42,Trajectory!AC42)</f>
        <v>0</v>
      </c>
      <c r="AI116" s="32">
        <f>MIN(Trajectory!AB43,Trajectory!AC43)</f>
        <v>0</v>
      </c>
      <c r="AJ116" s="32">
        <f>MIN(Trajectory!AB44,Trajectory!AC44)</f>
        <v>0</v>
      </c>
    </row>
    <row r="117" spans="1:36" x14ac:dyDescent="0.3">
      <c r="A117" s="31">
        <v>275</v>
      </c>
      <c r="B117" s="31" t="s">
        <v>142</v>
      </c>
      <c r="C117" s="31" t="s">
        <v>143</v>
      </c>
      <c r="D117" s="31">
        <v>11</v>
      </c>
      <c r="E117" s="31" t="s">
        <v>128</v>
      </c>
      <c r="F117" s="31"/>
      <c r="G117" s="31" t="s">
        <v>129</v>
      </c>
      <c r="H117" s="31">
        <v>0</v>
      </c>
      <c r="I117" s="32">
        <f>Trajectory!AF17</f>
        <v>0.39610000000000012</v>
      </c>
      <c r="J117" s="32">
        <f>Trajectory!AF18</f>
        <v>0.61399999999999944</v>
      </c>
      <c r="K117" s="32">
        <f>MIN(Trajectory!AF19,Trajectory!AG19)</f>
        <v>0.34299999999999997</v>
      </c>
      <c r="L117" s="32">
        <f>MIN(Trajectory!AF20,Trajectory!AG20)</f>
        <v>0.36358000000000068</v>
      </c>
      <c r="M117" s="32">
        <f>MIN(Trajectory!AF21,Trajectory!AG21)</f>
        <v>0.38539480000000115</v>
      </c>
      <c r="N117" s="32">
        <f>MIN(Trajectory!AF22,Trajectory!AG22)</f>
        <v>0.40851848800000035</v>
      </c>
      <c r="O117" s="32">
        <f>MIN(Trajectory!AF23,Trajectory!AG23)</f>
        <v>0.4330295972800009</v>
      </c>
      <c r="P117" s="32">
        <f>MIN(Trajectory!AF24,Trajectory!AG24)</f>
        <v>0.45901137311680085</v>
      </c>
      <c r="Q117" s="32">
        <f>MIN(Trajectory!AF25,Trajectory!AG25)</f>
        <v>0.4865520555038092</v>
      </c>
      <c r="R117" s="32">
        <f>MIN(Trajectory!AF26,Trajectory!AG26)</f>
        <v>0.51574517883403637</v>
      </c>
      <c r="S117" s="32">
        <f>MIN(Trajectory!AF27,Trajectory!AG27)</f>
        <v>0.54668988956407816</v>
      </c>
      <c r="T117" s="32">
        <f>MIN(Trajectory!AF28,Trajectory!AG28)</f>
        <v>0.57949128293792462</v>
      </c>
      <c r="U117" s="32">
        <f>MIN(Trajectory!AF29,Trajectory!AG29)</f>
        <v>0.6142607599142007</v>
      </c>
      <c r="V117" s="32">
        <f>MIN(Trajectory!AF30,Trajectory!AG30)</f>
        <v>0.65111640550905214</v>
      </c>
      <c r="W117" s="32">
        <f>MIN(Trajectory!AF31,Trajectory!AG31)</f>
        <v>0.6901833898395946</v>
      </c>
      <c r="X117" s="32">
        <f>MIN(Trajectory!AF32,Trajectory!AG32)</f>
        <v>0.73159439322997244</v>
      </c>
      <c r="Y117" s="32">
        <f>MIN(Trajectory!AF33,Trajectory!AG33)</f>
        <v>0.77549005682377015</v>
      </c>
      <c r="Z117" s="32">
        <f>MIN(Trajectory!AF34,Trajectory!AG34)</f>
        <v>0.82201946023319117</v>
      </c>
      <c r="AA117" s="32">
        <f>MIN(Trajectory!AF35,Trajectory!AG35)</f>
        <v>0.8351428052540868</v>
      </c>
      <c r="AB117" s="32">
        <f>MIN(Trajectory!AF36,Trajectory!AG36)</f>
        <v>0.78597237500824235</v>
      </c>
      <c r="AC117" s="32">
        <f>MIN(Trajectory!AF37,Trajectory!AG37)</f>
        <v>0.73190039730779688</v>
      </c>
      <c r="AD117" s="32">
        <f>MIN(Trajectory!AF38,Trajectory!AG38)</f>
        <v>0.67485408189574159</v>
      </c>
      <c r="AE117" s="32">
        <f>MIN(Trajectory!AF39,Trajectory!AG39)</f>
        <v>0.61661428173355048</v>
      </c>
      <c r="AF117" s="32">
        <f>MIN(Trajectory!AF40,Trajectory!AG40)</f>
        <v>0.55873118863017268</v>
      </c>
      <c r="AG117" s="32">
        <f>MIN(Trajectory!AF41,Trajectory!AG41)</f>
        <v>0.5024766642902776</v>
      </c>
      <c r="AH117" s="32">
        <f>MIN(Trajectory!AF42,Trajectory!AG42)</f>
        <v>0.44882938518124504</v>
      </c>
      <c r="AI117" s="32">
        <f>MIN(Trajectory!AF43,Trajectory!AG43)</f>
        <v>0.39848577334221602</v>
      </c>
      <c r="AJ117" s="32">
        <f>MIN(Trajectory!AF44,Trajectory!AG44)</f>
        <v>0.35188855924169005</v>
      </c>
    </row>
    <row r="118" spans="1:36" x14ac:dyDescent="0.3">
      <c r="A118" s="31">
        <v>500</v>
      </c>
      <c r="B118" s="31" t="s">
        <v>144</v>
      </c>
      <c r="C118" s="31" t="s">
        <v>145</v>
      </c>
      <c r="D118" s="31">
        <v>11</v>
      </c>
      <c r="E118" s="31" t="s">
        <v>128</v>
      </c>
      <c r="F118" s="31"/>
      <c r="G118" s="31" t="s">
        <v>129</v>
      </c>
      <c r="H118" s="31">
        <v>0</v>
      </c>
      <c r="I118" s="32">
        <f>Trajectory!AJ17</f>
        <v>0.23599999999999999</v>
      </c>
      <c r="J118" s="32">
        <f>Trajectory!AJ18</f>
        <v>0.6765000000000001</v>
      </c>
      <c r="K118" s="32">
        <f>MIN(Trajectory!AJ19,Trajectory!AK19)</f>
        <v>0.40400000000000036</v>
      </c>
      <c r="L118" s="32">
        <f>MIN(Trajectory!AJ20,Trajectory!AK20)</f>
        <v>0.44440000000000035</v>
      </c>
      <c r="M118" s="32">
        <f>MIN(Trajectory!AJ21,Trajectory!AK21)</f>
        <v>0.48884000000000105</v>
      </c>
      <c r="N118" s="32">
        <f>MIN(Trajectory!AJ22,Trajectory!AK22)</f>
        <v>0.53772399999999987</v>
      </c>
      <c r="O118" s="32">
        <f>MIN(Trajectory!AJ23,Trajectory!AK23)</f>
        <v>0.59149640000000048</v>
      </c>
      <c r="P118" s="32">
        <f>MIN(Trajectory!AJ24,Trajectory!AK24)</f>
        <v>0.65064604000000203</v>
      </c>
      <c r="Q118" s="32">
        <f>MIN(Trajectory!AJ25,Trajectory!AK25)</f>
        <v>0.71571064400000139</v>
      </c>
      <c r="R118" s="32">
        <f>MIN(Trajectory!AJ26,Trajectory!AK26)</f>
        <v>0.78728170839999922</v>
      </c>
      <c r="S118" s="32">
        <f>MIN(Trajectory!AJ27,Trajectory!AK27)</f>
        <v>0.86600987924000172</v>
      </c>
      <c r="T118" s="32">
        <f>MIN(Trajectory!AJ28,Trajectory!AK28)</f>
        <v>0.95261086716400101</v>
      </c>
      <c r="U118" s="32">
        <f>MIN(Trajectory!AJ29,Trajectory!AK29)</f>
        <v>1.047871953880402</v>
      </c>
      <c r="V118" s="32">
        <f>MIN(Trajectory!AJ30,Trajectory!AK30)</f>
        <v>1.152659149268441</v>
      </c>
      <c r="W118" s="32">
        <f>MIN(Trajectory!AJ31,Trajectory!AK31)</f>
        <v>1.2679250641952855</v>
      </c>
      <c r="X118" s="32">
        <f>MIN(Trajectory!AJ32,Trajectory!AK32)</f>
        <v>1.3947175706148158</v>
      </c>
      <c r="Y118" s="32">
        <f>MIN(Trajectory!AJ33,Trajectory!AK33)</f>
        <v>1.363090133421732</v>
      </c>
      <c r="Z118" s="32">
        <f>MIN(Trajectory!AJ34,Trajectory!AK34)</f>
        <v>1.2861700717143592</v>
      </c>
      <c r="AA118" s="32">
        <f>MIN(Trajectory!AJ35,Trajectory!AK35)</f>
        <v>1.1923130126192447</v>
      </c>
      <c r="AB118" s="32">
        <f>MIN(Trajectory!AJ36,Trajectory!AK36)</f>
        <v>1.0873171449410819</v>
      </c>
      <c r="AC118" s="32">
        <f>MIN(Trajectory!AJ37,Trajectory!AK37)</f>
        <v>0.97683024321757017</v>
      </c>
      <c r="AD118" s="32">
        <f>MIN(Trajectory!AJ38,Trajectory!AK38)</f>
        <v>0.86583521737708224</v>
      </c>
      <c r="AE118" s="32">
        <f>MIN(Trajectory!AJ39,Trajectory!AK39)</f>
        <v>0.75834195333251131</v>
      </c>
      <c r="AF118" s="32">
        <f>MIN(Trajectory!AJ40,Trajectory!AK40)</f>
        <v>0.65727804934665812</v>
      </c>
      <c r="AG118" s="32">
        <f>MIN(Trajectory!AJ41,Trajectory!AK41)</f>
        <v>0</v>
      </c>
      <c r="AH118" s="32">
        <f>MIN(Trajectory!AJ42,Trajectory!AK42)</f>
        <v>0</v>
      </c>
      <c r="AI118" s="32">
        <f>MIN(Trajectory!AJ43,Trajectory!AK43)</f>
        <v>0</v>
      </c>
      <c r="AJ118" s="32">
        <f>MIN(Trajectory!AJ44,Trajectory!AK44)</f>
        <v>0</v>
      </c>
    </row>
    <row r="119" spans="1:36" x14ac:dyDescent="0.3">
      <c r="A119" s="31">
        <v>140</v>
      </c>
      <c r="B119" s="31" t="s">
        <v>146</v>
      </c>
      <c r="C119" s="31" t="s">
        <v>147</v>
      </c>
      <c r="D119" s="31">
        <v>11</v>
      </c>
      <c r="E119" s="31" t="s">
        <v>128</v>
      </c>
      <c r="F119" s="31"/>
      <c r="G119" s="31" t="s">
        <v>129</v>
      </c>
      <c r="H119" s="31">
        <v>0</v>
      </c>
      <c r="I119" s="32">
        <f>Trajectory!AN17</f>
        <v>0</v>
      </c>
      <c r="J119" s="32">
        <f>Trajectory!AN18</f>
        <v>0</v>
      </c>
      <c r="K119" s="32">
        <f>MIN(Trajectory!AN19,Trajectory!AO19)</f>
        <v>5.0000000000000044E-3</v>
      </c>
      <c r="L119" s="32">
        <f>MIN(Trajectory!AN20,Trajectory!AO20)</f>
        <v>5.5000000000000049E-3</v>
      </c>
      <c r="M119" s="32">
        <f>MIN(Trajectory!AN21,Trajectory!AO21)</f>
        <v>6.0500000000000137E-3</v>
      </c>
      <c r="N119" s="32">
        <f>MIN(Trajectory!AN22,Trajectory!AO22)</f>
        <v>6.6549999999999943E-3</v>
      </c>
      <c r="O119" s="32">
        <f>MIN(Trajectory!AN23,Trajectory!AO23)</f>
        <v>7.3205000000000076E-3</v>
      </c>
      <c r="P119" s="32">
        <f>MIN(Trajectory!AN24,Trajectory!AO24)</f>
        <v>8.0525500000000055E-3</v>
      </c>
      <c r="Q119" s="32">
        <f>MIN(Trajectory!AN25,Trajectory!AO25)</f>
        <v>8.8578050000000241E-3</v>
      </c>
      <c r="R119" s="32">
        <f>MIN(Trajectory!AN26,Trajectory!AO26)</f>
        <v>9.7435854999999988E-3</v>
      </c>
      <c r="S119" s="32">
        <f>MIN(Trajectory!AN27,Trajectory!AO27)</f>
        <v>1.0717944050000011E-2</v>
      </c>
      <c r="T119" s="32">
        <f>MIN(Trajectory!AN28,Trajectory!AO28)</f>
        <v>1.1789738455000032E-2</v>
      </c>
      <c r="U119" s="32">
        <f>MIN(Trajectory!AN29,Trajectory!AO29)</f>
        <v>1.2968712300500021E-2</v>
      </c>
      <c r="V119" s="32">
        <f>MIN(Trajectory!AN30,Trajectory!AO30)</f>
        <v>1.4265583530549991E-2</v>
      </c>
      <c r="W119" s="32">
        <f>MIN(Trajectory!AN31,Trajectory!AO31)</f>
        <v>1.5692141883605015E-2</v>
      </c>
      <c r="X119" s="32">
        <f>MIN(Trajectory!AN32,Trajectory!AO32)</f>
        <v>1.7261356071965578E-2</v>
      </c>
      <c r="Y119" s="32">
        <f>MIN(Trajectory!AN33,Trajectory!AO33)</f>
        <v>1.8987491679162083E-2</v>
      </c>
      <c r="Z119" s="32">
        <f>MIN(Trajectory!AN34,Trajectory!AO34)</f>
        <v>2.0886240847078269E-2</v>
      </c>
      <c r="AA119" s="32">
        <f>MIN(Trajectory!AN35,Trajectory!AO35)</f>
        <v>2.2974864931786104E-2</v>
      </c>
      <c r="AB119" s="32">
        <f>MIN(Trajectory!AN36,Trajectory!AO36)</f>
        <v>2.5272351424964729E-2</v>
      </c>
      <c r="AC119" s="32">
        <f>MIN(Trajectory!AN37,Trajectory!AO37)</f>
        <v>2.7799586567461287E-2</v>
      </c>
      <c r="AD119" s="32">
        <f>MIN(Trajectory!AN38,Trajectory!AO38)</f>
        <v>3.0579545224207305E-2</v>
      </c>
      <c r="AE119" s="32">
        <f>MIN(Trajectory!AN39,Trajectory!AO39)</f>
        <v>3.3637499746628052E-2</v>
      </c>
      <c r="AF119" s="32">
        <f>MIN(Trajectory!AN40,Trajectory!AO40)</f>
        <v>3.700124972129093E-2</v>
      </c>
      <c r="AG119" s="32">
        <f>MIN(Trajectory!AN41,Trajectory!AO41)</f>
        <v>4.0701374693419945E-2</v>
      </c>
      <c r="AH119" s="32">
        <f>MIN(Trajectory!AN42,Trajectory!AO42)</f>
        <v>4.4771512162761928E-2</v>
      </c>
      <c r="AI119" s="32">
        <f>MIN(Trajectory!AN43,Trajectory!AO43)</f>
        <v>4.9248663379038271E-2</v>
      </c>
      <c r="AJ119" s="32">
        <f>MIN(Trajectory!AN44,Trajectory!AO44)</f>
        <v>5.2794526198740144E-2</v>
      </c>
    </row>
    <row r="120" spans="1:36" x14ac:dyDescent="0.3">
      <c r="A120" s="31">
        <v>457</v>
      </c>
      <c r="B120" s="31" t="s">
        <v>148</v>
      </c>
      <c r="C120" s="31" t="s">
        <v>149</v>
      </c>
      <c r="D120" s="31">
        <v>11</v>
      </c>
      <c r="E120" s="31" t="s">
        <v>128</v>
      </c>
      <c r="F120" s="31"/>
      <c r="G120" s="31" t="s">
        <v>129</v>
      </c>
      <c r="H120" s="31">
        <v>0</v>
      </c>
      <c r="I120" s="32">
        <f>Trajectory!AR17</f>
        <v>0.11499999999999999</v>
      </c>
      <c r="J120" s="32">
        <f>Trajectory!AR18</f>
        <v>8.049999999999996E-2</v>
      </c>
      <c r="K120" s="32">
        <f>MIN(Trajectory!AR19,Trajectory!AS19)</f>
        <v>6.5000000000000058E-2</v>
      </c>
      <c r="L120" s="32">
        <f>MIN(Trajectory!AR20,Trajectory!AS20)</f>
        <v>7.1500000000000119E-2</v>
      </c>
      <c r="M120" s="32">
        <f>MIN(Trajectory!AR21,Trajectory!AS21)</f>
        <v>7.8650000000000109E-2</v>
      </c>
      <c r="N120" s="32">
        <f>MIN(Trajectory!AR22,Trajectory!AS22)</f>
        <v>8.6514999999999898E-2</v>
      </c>
      <c r="O120" s="32">
        <f>MIN(Trajectory!AR23,Trajectory!AS23)</f>
        <v>9.5166500000000154E-2</v>
      </c>
      <c r="P120" s="32">
        <f>MIN(Trajectory!AR24,Trajectory!AS24)</f>
        <v>0.10468315000000028</v>
      </c>
      <c r="Q120" s="32">
        <f>MIN(Trajectory!AR25,Trajectory!AS25)</f>
        <v>0.11515146500000029</v>
      </c>
      <c r="R120" s="32">
        <f>MIN(Trajectory!AR26,Trajectory!AS26)</f>
        <v>0.12666661149999969</v>
      </c>
      <c r="S120" s="32">
        <f>MIN(Trajectory!AR27,Trajectory!AS27)</f>
        <v>0.13933327265000028</v>
      </c>
      <c r="T120" s="32">
        <f>MIN(Trajectory!AR28,Trajectory!AS28)</f>
        <v>0.15326659991500002</v>
      </c>
      <c r="U120" s="32">
        <f>MIN(Trajectory!AR29,Trajectory!AS29)</f>
        <v>0.16859325990650076</v>
      </c>
      <c r="V120" s="32">
        <f>MIN(Trajectory!AR30,Trajectory!AS30)</f>
        <v>0.18545258589715008</v>
      </c>
      <c r="W120" s="32">
        <f>MIN(Trajectory!AR31,Trajectory!AS31)</f>
        <v>0.20399784448686509</v>
      </c>
      <c r="X120" s="32">
        <f>MIN(Trajectory!AR32,Trajectory!AS32)</f>
        <v>0.22439762893555226</v>
      </c>
      <c r="Y120" s="32">
        <f>MIN(Trajectory!AR33,Trajectory!AS33)</f>
        <v>0.24683739182910669</v>
      </c>
      <c r="Z120" s="32">
        <f>MIN(Trajectory!AR34,Trajectory!AS34)</f>
        <v>0.27152113101201758</v>
      </c>
      <c r="AA120" s="32">
        <f>MIN(Trajectory!AR35,Trajectory!AS35)</f>
        <v>0.29867324411321983</v>
      </c>
      <c r="AB120" s="32">
        <f>MIN(Trajectory!AR36,Trajectory!AS36)</f>
        <v>0.31410505459366078</v>
      </c>
      <c r="AC120" s="32">
        <f>MIN(Trajectory!AR37,Trajectory!AS37)</f>
        <v>0.29118354985319073</v>
      </c>
      <c r="AD120" s="32">
        <f>MIN(Trajectory!AR38,Trajectory!AS38)</f>
        <v>0.26650605915189196</v>
      </c>
      <c r="AE120" s="32">
        <f>MIN(Trajectory!AR39,Trajectory!AS39)</f>
        <v>0.24108124912074302</v>
      </c>
      <c r="AF120" s="32">
        <f>MIN(Trajectory!AR40,Trajectory!AS40)</f>
        <v>0.21578354341029105</v>
      </c>
      <c r="AG120" s="32">
        <f>MIN(Trajectory!AR41,Trajectory!AS41)</f>
        <v>0.19131645168577727</v>
      </c>
      <c r="AH120" s="32">
        <f>MIN(Trajectory!AR42,Trajectory!AS42)</f>
        <v>0.1682018312528184</v>
      </c>
      <c r="AI120" s="32">
        <f>MIN(Trajectory!AR43,Trajectory!AS43)</f>
        <v>0.14678901659930599</v>
      </c>
      <c r="AJ120" s="32">
        <f>MIN(Trajectory!AR44,Trajectory!AS44)</f>
        <v>0.12727669098933347</v>
      </c>
    </row>
    <row r="121" spans="1:36" x14ac:dyDescent="0.3">
      <c r="A121" s="31">
        <v>33</v>
      </c>
      <c r="B121" s="31" t="s">
        <v>150</v>
      </c>
      <c r="C121" s="31" t="s">
        <v>151</v>
      </c>
      <c r="D121" s="31">
        <v>11</v>
      </c>
      <c r="E121" s="31" t="s">
        <v>128</v>
      </c>
      <c r="F121" s="31"/>
      <c r="G121" s="31" t="s">
        <v>129</v>
      </c>
      <c r="H121" s="31">
        <v>0</v>
      </c>
      <c r="I121" s="32">
        <f>Trajectory!AV17</f>
        <v>0.47599999999999987</v>
      </c>
      <c r="J121" s="32">
        <f>Trajectory!AV18</f>
        <v>0.13570000000000015</v>
      </c>
      <c r="K121" s="32">
        <f>MIN(Trajectory!AV19,Trajectory!AW19)</f>
        <v>0.1052485450736429</v>
      </c>
      <c r="L121" s="32">
        <f>MIN(Trajectory!AV20,Trajectory!AW20)</f>
        <v>0.11782859945467483</v>
      </c>
      <c r="M121" s="32">
        <f>MIN(Trajectory!AV21,Trajectory!AW21)</f>
        <v>0.13102004153949531</v>
      </c>
      <c r="N121" s="32">
        <f>MIN(Trajectory!AV22,Trajectory!AW22)</f>
        <v>0.14459337593922994</v>
      </c>
      <c r="O121" s="32">
        <f>MIN(Trajectory!AV23,Trajectory!AW23)</f>
        <v>0.15825035659787234</v>
      </c>
      <c r="P121" s="32">
        <f>MIN(Trajectory!AV24,Trajectory!AW24)</f>
        <v>0.17162747025656655</v>
      </c>
      <c r="Q121" s="32">
        <f>MIN(Trajectory!AV25,Trajectory!AW25)</f>
        <v>0.1843071146161428</v>
      </c>
      <c r="R121" s="32">
        <f>MIN(Trajectory!AV26,Trajectory!AW26)</f>
        <v>0.19583736734665624</v>
      </c>
      <c r="S121" s="32">
        <f>MIN(Trajectory!AV27,Trajectory!AW27)</f>
        <v>0.20575998083505986</v>
      </c>
      <c r="T121" s="32">
        <f>MIN(Trajectory!AV28,Trajectory!AW28)</f>
        <v>0.21364460729838441</v>
      </c>
      <c r="U121" s="32">
        <f>MIN(Trajectory!AV29,Trajectory!AW29)</f>
        <v>0.21912558705048957</v>
      </c>
      <c r="V121" s="32">
        <f>MIN(Trajectory!AV30,Trajectory!AW30)</f>
        <v>0.22193638326243148</v>
      </c>
      <c r="W121" s="32">
        <f>MIN(Trajectory!AV31,Trajectory!AW31)</f>
        <v>0.16194976432140074</v>
      </c>
      <c r="X121" s="32">
        <f>MIN(Trajectory!AV32,Trajectory!AW32)</f>
        <v>0</v>
      </c>
      <c r="Y121" s="32">
        <f>MIN(Trajectory!AV33,Trajectory!AW33)</f>
        <v>0</v>
      </c>
      <c r="Z121" s="32">
        <f>MIN(Trajectory!AV34,Trajectory!AW34)</f>
        <v>0</v>
      </c>
      <c r="AA121" s="32">
        <f>MIN(Trajectory!AV35,Trajectory!AW35)</f>
        <v>0</v>
      </c>
      <c r="AB121" s="32">
        <f>MIN(Trajectory!AV36,Trajectory!AW36)</f>
        <v>0</v>
      </c>
      <c r="AC121" s="32">
        <f>MIN(Trajectory!AV37,Trajectory!AW37)</f>
        <v>0</v>
      </c>
      <c r="AD121" s="32">
        <f>MIN(Trajectory!AV38,Trajectory!AW38)</f>
        <v>0</v>
      </c>
      <c r="AE121" s="32">
        <f>MIN(Trajectory!AV39,Trajectory!AW39)</f>
        <v>0</v>
      </c>
      <c r="AF121" s="32">
        <f>MIN(Trajectory!AV40,Trajectory!AW40)</f>
        <v>0</v>
      </c>
      <c r="AG121" s="32">
        <f>MIN(Trajectory!AV41,Trajectory!AW41)</f>
        <v>0</v>
      </c>
      <c r="AH121" s="32">
        <f>MIN(Trajectory!AV42,Trajectory!AW42)</f>
        <v>0</v>
      </c>
      <c r="AI121" s="32">
        <f>MIN(Trajectory!AV43,Trajectory!AW43)</f>
        <v>0</v>
      </c>
      <c r="AJ121" s="32">
        <f>MIN(Trajectory!AV44,Trajectory!AW44)</f>
        <v>0</v>
      </c>
    </row>
  </sheetData>
  <mergeCells count="8">
    <mergeCell ref="A78:H78"/>
    <mergeCell ref="A93:H93"/>
    <mergeCell ref="A108:H108"/>
    <mergeCell ref="A3:H3"/>
    <mergeCell ref="A18:H18"/>
    <mergeCell ref="A33:H33"/>
    <mergeCell ref="A48:H48"/>
    <mergeCell ref="A63:H6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zoomScaleNormal="100" workbookViewId="0"/>
  </sheetViews>
  <sheetFormatPr defaultColWidth="8.5546875" defaultRowHeight="14.4" x14ac:dyDescent="0.3"/>
  <cols>
    <col min="1" max="1" width="9" customWidth="1"/>
    <col min="2" max="2" width="10" customWidth="1"/>
    <col min="3" max="3" width="13" customWidth="1"/>
    <col min="4" max="4" width="30" customWidth="1"/>
    <col min="5" max="5" width="52" customWidth="1"/>
    <col min="6" max="6" width="34" customWidth="1"/>
    <col min="7" max="7" width="26" customWidth="1"/>
    <col min="8" max="8" width="16" customWidth="1"/>
  </cols>
  <sheetData>
    <row r="1" spans="1:8" ht="16.8" x14ac:dyDescent="0.3">
      <c r="A1" s="1" t="s">
        <v>159</v>
      </c>
    </row>
    <row r="3" spans="1:8" x14ac:dyDescent="0.3">
      <c r="A3" s="5" t="s">
        <v>160</v>
      </c>
      <c r="B3" s="5" t="s">
        <v>51</v>
      </c>
      <c r="C3" s="5" t="s">
        <v>52</v>
      </c>
      <c r="D3" s="5" t="s">
        <v>161</v>
      </c>
      <c r="E3" s="5" t="s">
        <v>162</v>
      </c>
      <c r="F3" s="5" t="s">
        <v>163</v>
      </c>
      <c r="G3" s="5" t="s">
        <v>164</v>
      </c>
      <c r="H3" s="5" t="s">
        <v>165</v>
      </c>
    </row>
    <row r="4" spans="1:8" ht="43.2" x14ac:dyDescent="0.3">
      <c r="A4" s="33" t="s">
        <v>65</v>
      </c>
      <c r="B4" s="33" t="s">
        <v>66</v>
      </c>
      <c r="C4" s="33" t="s">
        <v>67</v>
      </c>
      <c r="D4" s="33" t="s">
        <v>166</v>
      </c>
      <c r="E4" s="33" t="s">
        <v>167</v>
      </c>
      <c r="F4" s="33" t="s">
        <v>168</v>
      </c>
      <c r="G4" s="33" t="s">
        <v>38</v>
      </c>
      <c r="H4" s="19" t="s">
        <v>169</v>
      </c>
    </row>
    <row r="5" spans="1:8" ht="28.8" x14ac:dyDescent="0.3">
      <c r="A5" s="33" t="s">
        <v>65</v>
      </c>
      <c r="B5" s="33" t="s">
        <v>66</v>
      </c>
      <c r="C5" s="33" t="s">
        <v>67</v>
      </c>
      <c r="D5" s="33" t="s">
        <v>170</v>
      </c>
      <c r="E5" s="33" t="s">
        <v>171</v>
      </c>
      <c r="F5" s="33" t="s">
        <v>172</v>
      </c>
      <c r="G5" s="33" t="s">
        <v>173</v>
      </c>
      <c r="H5" s="19" t="s">
        <v>174</v>
      </c>
    </row>
    <row r="6" spans="1:8" ht="43.2" x14ac:dyDescent="0.3">
      <c r="A6" s="33" t="s">
        <v>71</v>
      </c>
      <c r="B6" s="33" t="s">
        <v>66</v>
      </c>
      <c r="C6" s="33" t="s">
        <v>72</v>
      </c>
      <c r="D6" s="33" t="s">
        <v>166</v>
      </c>
      <c r="E6" s="33" t="s">
        <v>167</v>
      </c>
      <c r="F6" s="33" t="s">
        <v>168</v>
      </c>
      <c r="G6" s="33" t="s">
        <v>39</v>
      </c>
      <c r="H6" s="19" t="s">
        <v>169</v>
      </c>
    </row>
    <row r="7" spans="1:8" ht="28.8" x14ac:dyDescent="0.3">
      <c r="A7" s="33" t="s">
        <v>71</v>
      </c>
      <c r="B7" s="33" t="s">
        <v>66</v>
      </c>
      <c r="C7" s="33" t="s">
        <v>72</v>
      </c>
      <c r="D7" s="33" t="s">
        <v>170</v>
      </c>
      <c r="E7" s="33" t="s">
        <v>171</v>
      </c>
      <c r="F7" s="33" t="s">
        <v>172</v>
      </c>
      <c r="G7" s="33" t="s">
        <v>173</v>
      </c>
      <c r="H7" s="19" t="s">
        <v>174</v>
      </c>
    </row>
    <row r="8" spans="1:8" ht="43.2" x14ac:dyDescent="0.3">
      <c r="A8" s="33" t="s">
        <v>74</v>
      </c>
      <c r="B8" s="33" t="s">
        <v>75</v>
      </c>
      <c r="C8" s="33" t="s">
        <v>67</v>
      </c>
      <c r="D8" s="33" t="s">
        <v>166</v>
      </c>
      <c r="E8" s="33" t="s">
        <v>175</v>
      </c>
      <c r="F8" s="33" t="s">
        <v>168</v>
      </c>
      <c r="G8" s="33" t="s">
        <v>40</v>
      </c>
      <c r="H8" s="19" t="s">
        <v>169</v>
      </c>
    </row>
    <row r="9" spans="1:8" ht="28.8" x14ac:dyDescent="0.3">
      <c r="A9" s="33" t="s">
        <v>74</v>
      </c>
      <c r="B9" s="33" t="s">
        <v>75</v>
      </c>
      <c r="C9" s="33" t="s">
        <v>67</v>
      </c>
      <c r="D9" s="33" t="s">
        <v>170</v>
      </c>
      <c r="E9" s="33" t="s">
        <v>176</v>
      </c>
      <c r="F9" s="33" t="s">
        <v>172</v>
      </c>
      <c r="G9" s="33" t="s">
        <v>173</v>
      </c>
      <c r="H9" s="19" t="s">
        <v>174</v>
      </c>
    </row>
    <row r="10" spans="1:8" ht="43.2" x14ac:dyDescent="0.3">
      <c r="A10" s="33" t="s">
        <v>78</v>
      </c>
      <c r="B10" s="33" t="s">
        <v>75</v>
      </c>
      <c r="C10" s="33" t="s">
        <v>72</v>
      </c>
      <c r="D10" s="33" t="s">
        <v>166</v>
      </c>
      <c r="E10" s="33" t="s">
        <v>175</v>
      </c>
      <c r="F10" s="33" t="s">
        <v>168</v>
      </c>
      <c r="G10" s="33" t="s">
        <v>41</v>
      </c>
      <c r="H10" s="19" t="s">
        <v>169</v>
      </c>
    </row>
    <row r="11" spans="1:8" ht="28.8" x14ac:dyDescent="0.3">
      <c r="A11" s="33" t="s">
        <v>78</v>
      </c>
      <c r="B11" s="33" t="s">
        <v>75</v>
      </c>
      <c r="C11" s="33" t="s">
        <v>72</v>
      </c>
      <c r="D11" s="33" t="s">
        <v>170</v>
      </c>
      <c r="E11" s="33" t="s">
        <v>176</v>
      </c>
      <c r="F11" s="33" t="s">
        <v>172</v>
      </c>
      <c r="G11" s="33" t="s">
        <v>173</v>
      </c>
      <c r="H11" s="19" t="s">
        <v>174</v>
      </c>
    </row>
    <row r="12" spans="1:8" ht="28.8" x14ac:dyDescent="0.3">
      <c r="A12" s="33" t="s">
        <v>80</v>
      </c>
      <c r="B12" s="33" t="s">
        <v>81</v>
      </c>
      <c r="C12" s="33" t="s">
        <v>67</v>
      </c>
      <c r="D12" s="33" t="s">
        <v>166</v>
      </c>
      <c r="E12" s="33" t="s">
        <v>177</v>
      </c>
      <c r="F12" s="33" t="s">
        <v>168</v>
      </c>
      <c r="G12" s="33" t="s">
        <v>42</v>
      </c>
      <c r="H12" s="19" t="s">
        <v>169</v>
      </c>
    </row>
    <row r="13" spans="1:8" ht="28.8" x14ac:dyDescent="0.3">
      <c r="A13" s="33" t="s">
        <v>80</v>
      </c>
      <c r="B13" s="33" t="s">
        <v>81</v>
      </c>
      <c r="C13" s="33" t="s">
        <v>67</v>
      </c>
      <c r="D13" s="33" t="s">
        <v>170</v>
      </c>
      <c r="E13" s="33" t="s">
        <v>178</v>
      </c>
      <c r="F13" s="33" t="s">
        <v>172</v>
      </c>
      <c r="G13" s="33" t="s">
        <v>179</v>
      </c>
      <c r="H13" s="19" t="s">
        <v>174</v>
      </c>
    </row>
    <row r="14" spans="1:8" ht="28.8" x14ac:dyDescent="0.3">
      <c r="A14" s="33" t="s">
        <v>84</v>
      </c>
      <c r="B14" s="33" t="s">
        <v>81</v>
      </c>
      <c r="C14" s="33" t="s">
        <v>72</v>
      </c>
      <c r="D14" s="33" t="s">
        <v>166</v>
      </c>
      <c r="E14" s="33" t="s">
        <v>177</v>
      </c>
      <c r="F14" s="33" t="s">
        <v>168</v>
      </c>
      <c r="G14" s="33" t="s">
        <v>40</v>
      </c>
      <c r="H14" s="19" t="s">
        <v>169</v>
      </c>
    </row>
    <row r="15" spans="1:8" ht="28.8" x14ac:dyDescent="0.3">
      <c r="A15" s="33" t="s">
        <v>84</v>
      </c>
      <c r="B15" s="33" t="s">
        <v>81</v>
      </c>
      <c r="C15" s="33" t="s">
        <v>72</v>
      </c>
      <c r="D15" s="33" t="s">
        <v>170</v>
      </c>
      <c r="E15" s="33" t="s">
        <v>178</v>
      </c>
      <c r="F15" s="33" t="s">
        <v>172</v>
      </c>
      <c r="G15" s="33" t="s">
        <v>179</v>
      </c>
      <c r="H15" s="19" t="s">
        <v>174</v>
      </c>
    </row>
    <row r="16" spans="1:8" ht="28.8" x14ac:dyDescent="0.3">
      <c r="A16" s="33" t="s">
        <v>86</v>
      </c>
      <c r="B16" s="33" t="s">
        <v>87</v>
      </c>
      <c r="C16" s="33" t="s">
        <v>67</v>
      </c>
      <c r="D16" s="33" t="s">
        <v>166</v>
      </c>
      <c r="E16" s="33" t="s">
        <v>180</v>
      </c>
      <c r="F16" s="33" t="s">
        <v>168</v>
      </c>
      <c r="G16" s="33" t="s">
        <v>43</v>
      </c>
      <c r="H16" s="19" t="s">
        <v>169</v>
      </c>
    </row>
    <row r="17" spans="1:8" ht="28.8" x14ac:dyDescent="0.3">
      <c r="A17" s="33" t="s">
        <v>86</v>
      </c>
      <c r="B17" s="33" t="s">
        <v>87</v>
      </c>
      <c r="C17" s="33" t="s">
        <v>67</v>
      </c>
      <c r="D17" s="33" t="s">
        <v>170</v>
      </c>
      <c r="E17" s="33" t="s">
        <v>181</v>
      </c>
      <c r="F17" s="33" t="s">
        <v>172</v>
      </c>
      <c r="G17" s="33" t="s">
        <v>179</v>
      </c>
      <c r="H17" s="19" t="s">
        <v>174</v>
      </c>
    </row>
    <row r="18" spans="1:8" ht="28.8" x14ac:dyDescent="0.3">
      <c r="A18" s="33" t="s">
        <v>90</v>
      </c>
      <c r="B18" s="33" t="s">
        <v>87</v>
      </c>
      <c r="C18" s="33" t="s">
        <v>72</v>
      </c>
      <c r="D18" s="33" t="s">
        <v>166</v>
      </c>
      <c r="E18" s="33" t="s">
        <v>180</v>
      </c>
      <c r="F18" s="33" t="s">
        <v>168</v>
      </c>
      <c r="G18" s="33" t="s">
        <v>43</v>
      </c>
      <c r="H18" s="19" t="s">
        <v>169</v>
      </c>
    </row>
    <row r="19" spans="1:8" ht="28.8" x14ac:dyDescent="0.3">
      <c r="A19" s="33" t="s">
        <v>90</v>
      </c>
      <c r="B19" s="33" t="s">
        <v>87</v>
      </c>
      <c r="C19" s="33" t="s">
        <v>72</v>
      </c>
      <c r="D19" s="33" t="s">
        <v>170</v>
      </c>
      <c r="E19" s="33" t="s">
        <v>181</v>
      </c>
      <c r="F19" s="33" t="s">
        <v>172</v>
      </c>
      <c r="G19" s="33" t="s">
        <v>179</v>
      </c>
      <c r="H19" s="19" t="s">
        <v>174</v>
      </c>
    </row>
    <row r="20" spans="1:8" ht="28.8" x14ac:dyDescent="0.3">
      <c r="A20" s="33" t="s">
        <v>92</v>
      </c>
      <c r="B20" s="33" t="s">
        <v>93</v>
      </c>
      <c r="C20" s="33" t="s">
        <v>67</v>
      </c>
      <c r="D20" s="33" t="s">
        <v>166</v>
      </c>
      <c r="E20" s="33" t="s">
        <v>182</v>
      </c>
      <c r="F20" s="33" t="s">
        <v>168</v>
      </c>
      <c r="G20" s="33" t="s">
        <v>44</v>
      </c>
      <c r="H20" s="19" t="s">
        <v>169</v>
      </c>
    </row>
    <row r="21" spans="1:8" ht="28.8" x14ac:dyDescent="0.3">
      <c r="A21" s="33" t="s">
        <v>92</v>
      </c>
      <c r="B21" s="33" t="s">
        <v>93</v>
      </c>
      <c r="C21" s="33" t="s">
        <v>67</v>
      </c>
      <c r="D21" s="33" t="s">
        <v>170</v>
      </c>
      <c r="E21" s="33" t="s">
        <v>183</v>
      </c>
      <c r="F21" s="33" t="s">
        <v>172</v>
      </c>
      <c r="G21" s="33" t="s">
        <v>173</v>
      </c>
      <c r="H21" s="19" t="s">
        <v>174</v>
      </c>
    </row>
    <row r="22" spans="1:8" ht="28.8" x14ac:dyDescent="0.3">
      <c r="A22" s="33" t="s">
        <v>96</v>
      </c>
      <c r="B22" s="33" t="s">
        <v>93</v>
      </c>
      <c r="C22" s="33" t="s">
        <v>72</v>
      </c>
      <c r="D22" s="33" t="s">
        <v>166</v>
      </c>
      <c r="E22" s="33" t="s">
        <v>182</v>
      </c>
      <c r="F22" s="33" t="s">
        <v>168</v>
      </c>
      <c r="G22" s="33" t="s">
        <v>40</v>
      </c>
      <c r="H22" s="19" t="s">
        <v>169</v>
      </c>
    </row>
    <row r="23" spans="1:8" ht="28.8" x14ac:dyDescent="0.3">
      <c r="A23" s="33" t="s">
        <v>96</v>
      </c>
      <c r="B23" s="33" t="s">
        <v>93</v>
      </c>
      <c r="C23" s="33" t="s">
        <v>72</v>
      </c>
      <c r="D23" s="33" t="s">
        <v>170</v>
      </c>
      <c r="E23" s="33" t="s">
        <v>183</v>
      </c>
      <c r="F23" s="33" t="s">
        <v>172</v>
      </c>
      <c r="G23" s="33" t="s">
        <v>173</v>
      </c>
      <c r="H23" s="19" t="s">
        <v>174</v>
      </c>
    </row>
    <row r="24" spans="1:8" ht="28.8" x14ac:dyDescent="0.3">
      <c r="A24" s="33" t="s">
        <v>98</v>
      </c>
      <c r="B24" s="33" t="s">
        <v>99</v>
      </c>
      <c r="C24" s="33" t="s">
        <v>67</v>
      </c>
      <c r="D24" s="33" t="s">
        <v>166</v>
      </c>
      <c r="E24" s="33" t="s">
        <v>184</v>
      </c>
      <c r="F24" s="33" t="s">
        <v>168</v>
      </c>
      <c r="G24" s="33" t="s">
        <v>45</v>
      </c>
      <c r="H24" s="19" t="s">
        <v>169</v>
      </c>
    </row>
    <row r="25" spans="1:8" ht="28.8" x14ac:dyDescent="0.3">
      <c r="A25" s="33" t="s">
        <v>98</v>
      </c>
      <c r="B25" s="33" t="s">
        <v>99</v>
      </c>
      <c r="C25" s="33" t="s">
        <v>67</v>
      </c>
      <c r="D25" s="33" t="s">
        <v>170</v>
      </c>
      <c r="E25" s="33" t="s">
        <v>185</v>
      </c>
      <c r="F25" s="33" t="s">
        <v>172</v>
      </c>
      <c r="G25" s="33" t="s">
        <v>179</v>
      </c>
      <c r="H25" s="19" t="s">
        <v>174</v>
      </c>
    </row>
    <row r="26" spans="1:8" ht="28.8" x14ac:dyDescent="0.3">
      <c r="A26" s="33" t="s">
        <v>102</v>
      </c>
      <c r="B26" s="33" t="s">
        <v>99</v>
      </c>
      <c r="C26" s="33" t="s">
        <v>72</v>
      </c>
      <c r="D26" s="33" t="s">
        <v>166</v>
      </c>
      <c r="E26" s="33" t="s">
        <v>184</v>
      </c>
      <c r="F26" s="33" t="s">
        <v>168</v>
      </c>
      <c r="G26" s="33" t="s">
        <v>40</v>
      </c>
      <c r="H26" s="19" t="s">
        <v>169</v>
      </c>
    </row>
    <row r="27" spans="1:8" ht="28.8" x14ac:dyDescent="0.3">
      <c r="A27" s="33" t="s">
        <v>102</v>
      </c>
      <c r="B27" s="33" t="s">
        <v>99</v>
      </c>
      <c r="C27" s="33" t="s">
        <v>72</v>
      </c>
      <c r="D27" s="33" t="s">
        <v>170</v>
      </c>
      <c r="E27" s="33" t="s">
        <v>185</v>
      </c>
      <c r="F27" s="33" t="s">
        <v>172</v>
      </c>
      <c r="G27" s="33" t="s">
        <v>179</v>
      </c>
      <c r="H27" s="19" t="s">
        <v>174</v>
      </c>
    </row>
    <row r="29" spans="1:8" x14ac:dyDescent="0.3">
      <c r="A29" s="10" t="s">
        <v>186</v>
      </c>
    </row>
  </sheetData>
  <hyperlinks>
    <hyperlink ref="H4" r:id="rId1" xr:uid="{00000000-0004-0000-0600-000000000000}"/>
    <hyperlink ref="H5" r:id="rId2" xr:uid="{00000000-0004-0000-0600-000001000000}"/>
    <hyperlink ref="H6" r:id="rId3" xr:uid="{00000000-0004-0000-0600-000002000000}"/>
    <hyperlink ref="H7" r:id="rId4" xr:uid="{00000000-0004-0000-0600-000003000000}"/>
    <hyperlink ref="H8" r:id="rId5" xr:uid="{00000000-0004-0000-0600-000004000000}"/>
    <hyperlink ref="H9" r:id="rId6" xr:uid="{00000000-0004-0000-0600-000005000000}"/>
    <hyperlink ref="H10" r:id="rId7" xr:uid="{00000000-0004-0000-0600-000006000000}"/>
    <hyperlink ref="H11" r:id="rId8" xr:uid="{00000000-0004-0000-0600-000007000000}"/>
    <hyperlink ref="H12" r:id="rId9" xr:uid="{00000000-0004-0000-0600-000008000000}"/>
    <hyperlink ref="H13" r:id="rId10" xr:uid="{00000000-0004-0000-0600-000009000000}"/>
    <hyperlink ref="H14" r:id="rId11" xr:uid="{00000000-0004-0000-0600-00000A000000}"/>
    <hyperlink ref="H15" r:id="rId12" xr:uid="{00000000-0004-0000-0600-00000B000000}"/>
    <hyperlink ref="H16" r:id="rId13" xr:uid="{00000000-0004-0000-0600-00000C000000}"/>
    <hyperlink ref="H17" r:id="rId14" xr:uid="{00000000-0004-0000-0600-00000D000000}"/>
    <hyperlink ref="H18" r:id="rId15" xr:uid="{00000000-0004-0000-0600-00000E000000}"/>
    <hyperlink ref="H19" r:id="rId16" xr:uid="{00000000-0004-0000-0600-00000F000000}"/>
    <hyperlink ref="H20" r:id="rId17" xr:uid="{00000000-0004-0000-0600-000010000000}"/>
    <hyperlink ref="H21" r:id="rId18" xr:uid="{00000000-0004-0000-0600-000011000000}"/>
    <hyperlink ref="H22" r:id="rId19" xr:uid="{00000000-0004-0000-0600-000012000000}"/>
    <hyperlink ref="H23" r:id="rId20" xr:uid="{00000000-0004-0000-0600-000013000000}"/>
    <hyperlink ref="H24" r:id="rId21" xr:uid="{00000000-0004-0000-0600-000014000000}"/>
    <hyperlink ref="H25" r:id="rId22" xr:uid="{00000000-0004-0000-0600-000015000000}"/>
    <hyperlink ref="H26" r:id="rId23" xr:uid="{00000000-0004-0000-0600-000016000000}"/>
    <hyperlink ref="H27" r:id="rId24" xr:uid="{00000000-0004-0000-0600-000017000000}"/>
  </hyperlink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6a4ac1cf9a167712928f38419a342777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f18bd680015bcaf9e7c31742e9ff44c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9DC02C26-C79E-4E39-B386-3BC508BBB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D6563-76BB-4E6D-8841-D2517476F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33F687-14ED-4E4D-A40C-3448CB333A4D}">
  <ds:schemaRefs>
    <ds:schemaRef ds:uri="8ae01698-3168-4e7f-b9e7-0ddc1c80de73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db9c71a-8f0f-4486-8c92-6242e053eab7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Historical</vt:lpstr>
      <vt:lpstr>Parameters</vt:lpstr>
      <vt:lpstr>Trajectory</vt:lpstr>
      <vt:lpstr>Comparison</vt:lpstr>
      <vt:lpstr>Export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Andrey Salazar-Vargas</cp:lastModifiedBy>
  <cp:revision>1</cp:revision>
  <dcterms:created xsi:type="dcterms:W3CDTF">2026-06-03T01:50:16Z</dcterms:created>
  <dcterms:modified xsi:type="dcterms:W3CDTF">2026-06-13T01:09:54Z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