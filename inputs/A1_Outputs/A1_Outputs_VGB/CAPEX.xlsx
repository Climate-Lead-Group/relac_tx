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2_Data/"/>
    </mc:Choice>
  </mc:AlternateContent>
  <xr:revisionPtr revIDLastSave="57" documentId="13_ncr:1_{B61166FC-4DB3-428E-AB21-D8615E640DAA}" xr6:coauthVersionLast="47" xr6:coauthVersionMax="47" xr10:uidLastSave="{6369AE3D-156B-4D77-AFD2-2A1FBCCD2FC6}"/>
  <bookViews>
    <workbookView minimized="1" xWindow="44175" yWindow="9180" windowWidth="11070" windowHeight="5685" xr2:uid="{EB17FDAF-6D61-43BA-8550-B0E7710FF97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H3" i="1"/>
  <c r="H2" i="1"/>
  <c r="J2" i="1" s="1"/>
</calcChain>
</file>

<file path=xl/sharedStrings.xml><?xml version="1.0" encoding="utf-8"?>
<sst xmlns="http://schemas.openxmlformats.org/spreadsheetml/2006/main" count="75" uniqueCount="54">
  <si>
    <t>País</t>
  </si>
  <si>
    <t>CAPEX</t>
  </si>
  <si>
    <t>Sin CAPEX</t>
  </si>
  <si>
    <t>Necesario</t>
  </si>
  <si>
    <t>Observaciones</t>
  </si>
  <si>
    <t>Proyectos tomados en cuenta</t>
  </si>
  <si>
    <t>km</t>
  </si>
  <si>
    <t>capex</t>
  </si>
  <si>
    <t>fd</t>
  </si>
  <si>
    <t>Bolivia</t>
  </si>
  <si>
    <t>Todas las obras con capacidad.</t>
  </si>
  <si>
    <r>
      <t xml:space="preserve">7 proyectos, </t>
    </r>
    <r>
      <rPr>
        <b/>
        <sz val="11"/>
        <color theme="1"/>
        <rFont val="Calibri"/>
        <family val="2"/>
        <scheme val="minor"/>
      </rPr>
      <t>5 son niveles de tensión de  230</t>
    </r>
    <r>
      <rPr>
        <sz val="11"/>
        <color theme="1"/>
        <rFont val="Calibri"/>
        <family val="2"/>
        <scheme val="minor"/>
      </rPr>
      <t>, uno de 115 y uno de 500.</t>
    </r>
  </si>
  <si>
    <t>Colombia</t>
  </si>
  <si>
    <t>X</t>
  </si>
  <si>
    <t>En algunas obras solo viene información de inversión y longitud. En otras no tenemos información de ningún parámetro.</t>
  </si>
  <si>
    <t>Solo 1 proyecto, tensión de 500.</t>
  </si>
  <si>
    <t>Panamá</t>
  </si>
  <si>
    <t>Una obra con información de longitud e inversión solamente.</t>
  </si>
  <si>
    <t>2 proyectos a una tensión de 230.</t>
  </si>
  <si>
    <t>Paraguay</t>
  </si>
  <si>
    <r>
      <t xml:space="preserve">25 proyectos, </t>
    </r>
    <r>
      <rPr>
        <b/>
        <sz val="11"/>
        <color theme="1"/>
        <rFont val="Calibri"/>
        <family val="2"/>
        <scheme val="minor"/>
      </rPr>
      <t>21 a una tensión de 220.</t>
    </r>
  </si>
  <si>
    <t>RD</t>
  </si>
  <si>
    <t>Obras con información de longitud e inversión solamente.</t>
  </si>
  <si>
    <r>
      <t xml:space="preserve">11 proyectos, </t>
    </r>
    <r>
      <rPr>
        <b/>
        <sz val="11"/>
        <color theme="1"/>
        <rFont val="Calibri"/>
        <family val="2"/>
        <scheme val="minor"/>
      </rPr>
      <t>9 a una tensión de 138.</t>
    </r>
  </si>
  <si>
    <t>Chile</t>
  </si>
  <si>
    <r>
      <t xml:space="preserve">4 proyectos, 2 de 220 y 2 de 66. </t>
    </r>
    <r>
      <rPr>
        <b/>
        <sz val="11"/>
        <color theme="1"/>
        <rFont val="Calibri"/>
        <family val="2"/>
        <scheme val="minor"/>
      </rPr>
      <t>Sin embargo en el PET hay más proyectos a 220.</t>
    </r>
  </si>
  <si>
    <t>CR</t>
  </si>
  <si>
    <t>No todas las obras traen capacidad, pero dentro del proyecto contemplan algo más que la línea de transmisión.</t>
  </si>
  <si>
    <t xml:space="preserve">2 proyectos, los dos en una tensión de 230. </t>
  </si>
  <si>
    <t>El Salvador</t>
  </si>
  <si>
    <t xml:space="preserve">Solo un proyecto a uan tensión de 115. </t>
  </si>
  <si>
    <t>Honduras</t>
  </si>
  <si>
    <r>
      <t xml:space="preserve">6 proyectos, </t>
    </r>
    <r>
      <rPr>
        <b/>
        <sz val="11"/>
        <color theme="1"/>
        <rFont val="Calibri"/>
        <family val="2"/>
        <scheme val="minor"/>
      </rPr>
      <t>5 a tensión de 220.</t>
    </r>
  </si>
  <si>
    <t>Perú</t>
  </si>
  <si>
    <t>La mayoría de obras cuenta con capacidad, pocas contemplan SE y traen solo la capacidad de la SE.</t>
  </si>
  <si>
    <t>2 proyectos a una tensión de 220.</t>
  </si>
  <si>
    <t>Barbados</t>
  </si>
  <si>
    <t>No tenemos datos.</t>
  </si>
  <si>
    <t>Se tomó el valor de RD.</t>
  </si>
  <si>
    <t>Ecuador</t>
  </si>
  <si>
    <t>Promedio entre el valor de Colombia y Perú (países vecinos).</t>
  </si>
  <si>
    <t>Guatemala</t>
  </si>
  <si>
    <t>Ninguna de las obras trae información de ninguno de los tres parámetros. En el feedback tampoco nos dieron información alguna.</t>
  </si>
  <si>
    <t>Promedio entre el valor de CR, Honduras y El Salvador.</t>
  </si>
  <si>
    <t>Haití</t>
  </si>
  <si>
    <t>Nicaragua</t>
  </si>
  <si>
    <t>Uruguay</t>
  </si>
  <si>
    <t xml:space="preserve">Se tomó el valor de Paraguay. </t>
  </si>
  <si>
    <t>Brasil</t>
  </si>
  <si>
    <t xml:space="preserve">Se estudiaron 16 proyectos. </t>
  </si>
  <si>
    <t>Argentina</t>
  </si>
  <si>
    <t xml:space="preserve">Solo 2 proyectos se pudieron analizar para el CAPEX. </t>
  </si>
  <si>
    <t>México</t>
  </si>
  <si>
    <t xml:space="preserve">Solo 1 proyecto se pudo analizar.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</si>
</sst>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Hoja1!$K$28:$AD$28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xVal>
          <c:yVal>
            <c:numRef>
              <c:f>Hoja1!$K$29:$AD$29</c:f>
              <c:numCache>
                <c:formatCode>General</c:formatCode>
                <c:ptCount val="20"/>
                <c:pt idx="0">
                  <c:v>1.0208333350000001</c:v>
                </c:pt>
                <c:pt idx="1">
                  <c:v>1.0416666699999999</c:v>
                </c:pt>
                <c:pt idx="2">
                  <c:v>1.062500005</c:v>
                </c:pt>
                <c:pt idx="3">
                  <c:v>1.08333334</c:v>
                </c:pt>
                <c:pt idx="4">
                  <c:v>1.1041666750000001</c:v>
                </c:pt>
                <c:pt idx="5">
                  <c:v>1.1250000099999999</c:v>
                </c:pt>
                <c:pt idx="6">
                  <c:v>1.145833345</c:v>
                </c:pt>
                <c:pt idx="7">
                  <c:v>1.1666666800000001</c:v>
                </c:pt>
                <c:pt idx="8">
                  <c:v>1.1875000149999999</c:v>
                </c:pt>
                <c:pt idx="9">
                  <c:v>1.20833335</c:v>
                </c:pt>
                <c:pt idx="10">
                  <c:v>1.229166685</c:v>
                </c:pt>
                <c:pt idx="11">
                  <c:v>1.2500000199999999</c:v>
                </c:pt>
                <c:pt idx="12">
                  <c:v>1.2708333549999999</c:v>
                </c:pt>
                <c:pt idx="13">
                  <c:v>1.29166669</c:v>
                </c:pt>
                <c:pt idx="14">
                  <c:v>1.3125000250000001</c:v>
                </c:pt>
                <c:pt idx="15">
                  <c:v>1.3333333600000001</c:v>
                </c:pt>
                <c:pt idx="16">
                  <c:v>1.354166695</c:v>
                </c:pt>
                <c:pt idx="17">
                  <c:v>1.37500003</c:v>
                </c:pt>
                <c:pt idx="18">
                  <c:v>1.3958333650000001</c:v>
                </c:pt>
                <c:pt idx="19">
                  <c:v>1.4166666999999999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0-475B-B670-4D43A317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86656"/>
        <c:axId val="1231189536"/>
      </c:scatterChart>
      <c:valAx>
        <c:axId val="12311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9536"/>
        <c:crosses val="autoZero"/>
        <c:crossBetween val="midCat"/>
      </c:valAx>
      <c:valAx>
        <c:axId val="12311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635452</xdr:colOff>
      <xdr:row>32</xdr:row>
      <xdr:rowOff>97698</xdr:rowOff>
    </xdr:from>
    <xdr:to>
      <xdr:col>25</xdr:col>
      <xdr:colOff>400050</xdr:colOff>
      <xdr:row>68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18AA2-A237-3803-A10B-7494B8042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ABDB-AC81-45A2-9411-883C70BE4CF2}">
  <dimension ref="A1:AD29"/>
  <sheetViews>
    <sheetView tabSelected="1" topLeftCell="J1" zoomScaleNormal="100" workbookViewId="0">
      <selection activeCell="K29" sqref="K29:AD29"/>
    </sheetView>
  </sheetViews>
  <sheetFormatPr defaultColWidth="11.5546875" defaultRowHeight="14.4" x14ac:dyDescent="0.3"/>
  <cols>
    <col min="1" max="1" width="10.33203125" bestFit="1" customWidth="1"/>
    <col min="2" max="2" width="6.44140625" bestFit="1" customWidth="1"/>
    <col min="3" max="3" width="9.44140625" hidden="1" customWidth="1"/>
    <col min="4" max="4" width="9.33203125" hidden="1" customWidth="1"/>
    <col min="5" max="5" width="69.88671875" hidden="1" customWidth="1"/>
    <col min="6" max="6" width="67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7" t="s">
        <v>7</v>
      </c>
    </row>
    <row r="2" spans="1:12" x14ac:dyDescent="0.3">
      <c r="A2" s="1" t="s">
        <v>9</v>
      </c>
      <c r="B2" s="3">
        <v>0.71199999999999997</v>
      </c>
      <c r="C2" s="1"/>
      <c r="D2" s="3"/>
      <c r="E2" s="1" t="s">
        <v>10</v>
      </c>
      <c r="F2" s="1" t="s">
        <v>11</v>
      </c>
      <c r="G2">
        <v>116</v>
      </c>
      <c r="H2">
        <f>G2*B2</f>
        <v>82.591999999999999</v>
      </c>
      <c r="I2">
        <v>5.7</v>
      </c>
      <c r="J2">
        <f>H2*I2</f>
        <v>470.77440000000001</v>
      </c>
      <c r="K2">
        <f>+I2*G2</f>
        <v>661.2</v>
      </c>
      <c r="L2">
        <f>+G2/5</f>
        <v>23.2</v>
      </c>
    </row>
    <row r="3" spans="1:12" ht="28.8" x14ac:dyDescent="0.3">
      <c r="A3" s="1" t="s">
        <v>12</v>
      </c>
      <c r="B3" s="3">
        <v>0.54200000000000004</v>
      </c>
      <c r="C3" s="1"/>
      <c r="D3" s="3" t="s">
        <v>13</v>
      </c>
      <c r="E3" s="4" t="s">
        <v>14</v>
      </c>
      <c r="F3" s="1" t="s">
        <v>15</v>
      </c>
      <c r="G3">
        <v>154</v>
      </c>
      <c r="H3">
        <f>G3*B3</f>
        <v>83.468000000000004</v>
      </c>
    </row>
    <row r="4" spans="1:12" x14ac:dyDescent="0.3">
      <c r="A4" s="1" t="s">
        <v>16</v>
      </c>
      <c r="B4" s="3">
        <v>0.73899999999999999</v>
      </c>
      <c r="C4" s="1"/>
      <c r="D4" s="3" t="s">
        <v>13</v>
      </c>
      <c r="E4" s="4" t="s">
        <v>17</v>
      </c>
      <c r="F4" s="1" t="s">
        <v>18</v>
      </c>
    </row>
    <row r="5" spans="1:12" x14ac:dyDescent="0.3">
      <c r="A5" s="1" t="s">
        <v>19</v>
      </c>
      <c r="B5" s="3">
        <v>0.65700000000000003</v>
      </c>
      <c r="C5" s="1"/>
      <c r="D5" s="3"/>
      <c r="E5" s="1" t="s">
        <v>10</v>
      </c>
      <c r="F5" s="1" t="s">
        <v>20</v>
      </c>
    </row>
    <row r="6" spans="1:12" x14ac:dyDescent="0.3">
      <c r="A6" s="1" t="s">
        <v>21</v>
      </c>
      <c r="B6" s="3">
        <v>0.53700000000000003</v>
      </c>
      <c r="C6" s="1"/>
      <c r="D6" s="3" t="s">
        <v>13</v>
      </c>
      <c r="E6" s="4" t="s">
        <v>22</v>
      </c>
      <c r="F6" s="1" t="s">
        <v>23</v>
      </c>
    </row>
    <row r="7" spans="1:12" x14ac:dyDescent="0.3">
      <c r="A7" s="1" t="s">
        <v>24</v>
      </c>
      <c r="B7" s="3">
        <v>1.536</v>
      </c>
      <c r="C7" s="1"/>
      <c r="D7" s="3"/>
      <c r="E7" s="4" t="s">
        <v>10</v>
      </c>
      <c r="F7" s="1" t="s">
        <v>25</v>
      </c>
    </row>
    <row r="8" spans="1:12" ht="28.8" x14ac:dyDescent="0.3">
      <c r="A8" s="1" t="s">
        <v>26</v>
      </c>
      <c r="B8" s="3">
        <v>2.3530000000000002</v>
      </c>
      <c r="C8" s="1"/>
      <c r="D8" s="3"/>
      <c r="E8" s="4" t="s">
        <v>27</v>
      </c>
      <c r="F8" s="1" t="s">
        <v>28</v>
      </c>
    </row>
    <row r="9" spans="1:12" x14ac:dyDescent="0.3">
      <c r="A9" s="1" t="s">
        <v>29</v>
      </c>
      <c r="B9" s="3">
        <v>2.4750000000000001</v>
      </c>
      <c r="C9" s="1"/>
      <c r="D9" s="3"/>
      <c r="E9" s="4" t="s">
        <v>10</v>
      </c>
      <c r="F9" s="1" t="s">
        <v>30</v>
      </c>
    </row>
    <row r="10" spans="1:12" x14ac:dyDescent="0.3">
      <c r="A10" s="1" t="s">
        <v>31</v>
      </c>
      <c r="B10" s="3">
        <v>1.5209999999999999</v>
      </c>
      <c r="C10" s="1"/>
      <c r="D10" s="3"/>
      <c r="E10" s="4" t="s">
        <v>10</v>
      </c>
      <c r="F10" s="1" t="s">
        <v>32</v>
      </c>
    </row>
    <row r="11" spans="1:12" ht="28.8" x14ac:dyDescent="0.3">
      <c r="A11" s="1" t="s">
        <v>33</v>
      </c>
      <c r="B11" s="3">
        <v>2.3809999999999998</v>
      </c>
      <c r="C11" s="1"/>
      <c r="D11" s="3"/>
      <c r="E11" s="4" t="s">
        <v>34</v>
      </c>
      <c r="F11" s="1" t="s">
        <v>35</v>
      </c>
    </row>
    <row r="12" spans="1:12" x14ac:dyDescent="0.3">
      <c r="A12" s="1" t="s">
        <v>36</v>
      </c>
      <c r="B12" s="5">
        <v>0.53700000000000003</v>
      </c>
      <c r="C12" s="5" t="s">
        <v>13</v>
      </c>
      <c r="D12" s="3"/>
      <c r="E12" s="4" t="s">
        <v>37</v>
      </c>
      <c r="F12" s="1" t="s">
        <v>38</v>
      </c>
    </row>
    <row r="13" spans="1:12" x14ac:dyDescent="0.3">
      <c r="A13" s="1" t="s">
        <v>39</v>
      </c>
      <c r="B13" s="2">
        <v>1.4610000000000001</v>
      </c>
      <c r="C13" s="5" t="s">
        <v>13</v>
      </c>
      <c r="D13" s="3" t="s">
        <v>13</v>
      </c>
      <c r="E13" s="4" t="s">
        <v>22</v>
      </c>
      <c r="F13" s="1" t="s">
        <v>40</v>
      </c>
    </row>
    <row r="14" spans="1:12" ht="28.8" x14ac:dyDescent="0.3">
      <c r="A14" s="1" t="s">
        <v>41</v>
      </c>
      <c r="B14" s="2">
        <v>2.1160000000000001</v>
      </c>
      <c r="C14" s="5" t="s">
        <v>13</v>
      </c>
      <c r="D14" s="3"/>
      <c r="E14" s="4" t="s">
        <v>42</v>
      </c>
      <c r="F14" s="1" t="s">
        <v>43</v>
      </c>
    </row>
    <row r="15" spans="1:12" x14ac:dyDescent="0.3">
      <c r="A15" s="1" t="s">
        <v>44</v>
      </c>
      <c r="B15" s="5">
        <v>0.53700000000000003</v>
      </c>
      <c r="C15" s="5" t="s">
        <v>13</v>
      </c>
      <c r="D15" s="3"/>
      <c r="E15" s="4" t="s">
        <v>37</v>
      </c>
      <c r="F15" s="1" t="s">
        <v>38</v>
      </c>
    </row>
    <row r="16" spans="1:12" x14ac:dyDescent="0.3">
      <c r="A16" s="1" t="s">
        <v>45</v>
      </c>
      <c r="B16" s="2">
        <v>2.1160000000000001</v>
      </c>
      <c r="C16" s="5" t="s">
        <v>13</v>
      </c>
      <c r="D16" s="3" t="s">
        <v>13</v>
      </c>
      <c r="E16" s="4" t="s">
        <v>22</v>
      </c>
      <c r="F16" s="1" t="s">
        <v>43</v>
      </c>
    </row>
    <row r="17" spans="1:30" x14ac:dyDescent="0.3">
      <c r="A17" s="1" t="s">
        <v>46</v>
      </c>
      <c r="B17" s="2">
        <v>0.65700000000000003</v>
      </c>
      <c r="C17" s="5" t="s">
        <v>13</v>
      </c>
      <c r="D17" s="3"/>
      <c r="E17" s="4" t="s">
        <v>37</v>
      </c>
      <c r="F17" s="1" t="s">
        <v>47</v>
      </c>
    </row>
    <row r="18" spans="1:30" x14ac:dyDescent="0.3">
      <c r="A18" t="s">
        <v>48</v>
      </c>
      <c r="B18">
        <v>0.56100000000000005</v>
      </c>
      <c r="F18" t="s">
        <v>49</v>
      </c>
    </row>
    <row r="19" spans="1:30" x14ac:dyDescent="0.3">
      <c r="A19" t="s">
        <v>50</v>
      </c>
      <c r="B19">
        <v>1.2210000000000001</v>
      </c>
      <c r="F19" t="s">
        <v>51</v>
      </c>
    </row>
    <row r="20" spans="1:30" x14ac:dyDescent="0.3">
      <c r="A20" t="s">
        <v>52</v>
      </c>
      <c r="B20">
        <v>0.23200000000000001</v>
      </c>
      <c r="F20" t="s">
        <v>53</v>
      </c>
    </row>
    <row r="21" spans="1:30" x14ac:dyDescent="0.3"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30" x14ac:dyDescent="0.3">
      <c r="A22">
        <v>1.0177855946363181</v>
      </c>
      <c r="B22">
        <v>1.0237129365887834</v>
      </c>
      <c r="C22">
        <v>1.0314866780284984</v>
      </c>
      <c r="D22">
        <v>1.0415863482469612</v>
      </c>
      <c r="E22">
        <v>1.0545484105978065</v>
      </c>
      <c r="F22">
        <v>1.0709255324502438</v>
      </c>
      <c r="G22">
        <v>1.0912127619031782</v>
      </c>
      <c r="H22">
        <v>1.1157376082504913</v>
      </c>
      <c r="I22">
        <v>1.1445252486874979</v>
      </c>
      <c r="J22">
        <v>1.1771718468871022</v>
      </c>
      <c r="K22">
        <v>1.2127787415941704</v>
      </c>
      <c r="L22">
        <v>1.25</v>
      </c>
      <c r="M22">
        <v>1.2872212584058296</v>
      </c>
      <c r="N22">
        <v>1.3228281531128978</v>
      </c>
      <c r="O22">
        <v>1.3554747513125021</v>
      </c>
      <c r="P22">
        <v>1.3842623917495087</v>
      </c>
      <c r="Q22">
        <v>1.4087872380968218</v>
      </c>
      <c r="R22">
        <v>1.4290744675497562</v>
      </c>
      <c r="S22">
        <v>1.4454515894021935</v>
      </c>
      <c r="T22">
        <v>1.4584136517530388</v>
      </c>
      <c r="U22">
        <v>1.4685133219715016</v>
      </c>
      <c r="V22">
        <v>1.4762870634112166</v>
      </c>
      <c r="W22">
        <v>1.4822144053636819</v>
      </c>
      <c r="X22">
        <v>1.4867015032115671</v>
      </c>
      <c r="Y22">
        <v>1.4900798471329613</v>
      </c>
      <c r="Z22">
        <v>1.4926129841533635</v>
      </c>
      <c r="AA22">
        <v>1.4945065286847035</v>
      </c>
    </row>
    <row r="28" spans="1:30" ht="13.8" customHeight="1" x14ac:dyDescent="0.3">
      <c r="A28">
        <v>2021</v>
      </c>
      <c r="B28">
        <v>2022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  <c r="U28">
        <v>2041</v>
      </c>
      <c r="V28">
        <v>2042</v>
      </c>
      <c r="W28">
        <v>2043</v>
      </c>
      <c r="X28">
        <v>2044</v>
      </c>
      <c r="Y28">
        <v>2045</v>
      </c>
      <c r="Z28">
        <v>2046</v>
      </c>
      <c r="AA28">
        <v>2047</v>
      </c>
      <c r="AB28">
        <v>2048</v>
      </c>
      <c r="AC28">
        <v>2049</v>
      </c>
      <c r="AD28">
        <v>2050</v>
      </c>
    </row>
    <row r="29" spans="1:30" x14ac:dyDescent="0.3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1.0208333350000001</v>
      </c>
      <c r="L29">
        <v>1.0416666699999999</v>
      </c>
      <c r="M29">
        <v>1.062500005</v>
      </c>
      <c r="N29">
        <v>1.08333334</v>
      </c>
      <c r="O29">
        <v>1.1041666750000001</v>
      </c>
      <c r="P29">
        <v>1.1250000099999999</v>
      </c>
      <c r="Q29">
        <v>1.145833345</v>
      </c>
      <c r="R29">
        <v>1.1666666800000001</v>
      </c>
      <c r="S29">
        <v>1.1875000149999999</v>
      </c>
      <c r="T29">
        <v>1.20833335</v>
      </c>
      <c r="U29">
        <v>1.229166685</v>
      </c>
      <c r="V29">
        <v>1.2500000199999999</v>
      </c>
      <c r="W29">
        <v>1.2708333549999999</v>
      </c>
      <c r="X29">
        <v>1.29166669</v>
      </c>
      <c r="Y29">
        <v>1.3125000250000001</v>
      </c>
      <c r="Z29">
        <v>1.3333333600000001</v>
      </c>
      <c r="AA29">
        <v>1.354166695</v>
      </c>
      <c r="AB29">
        <v>1.37500003</v>
      </c>
      <c r="AC29">
        <v>1.3958333650000001</v>
      </c>
      <c r="AD29">
        <v>1.4166666999999999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432F6FB-6A86-4692-8D5F-9E48B39B348E}"/>
</file>

<file path=customXml/itemProps2.xml><?xml version="1.0" encoding="utf-8"?>
<ds:datastoreItem xmlns:ds="http://schemas.openxmlformats.org/officeDocument/2006/customXml" ds:itemID="{501D9B36-E006-4457-B5AC-6767FE426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9D065-FB38-4B82-B9C4-332733A2A713}">
  <ds:schemaRefs>
    <ds:schemaRef ds:uri="http://schemas.microsoft.com/office/2006/metadata/properties"/>
    <ds:schemaRef ds:uri="7db9c71a-8f0f-4486-8c92-6242e053eab7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Yosuar  Sánchez-Ulloa</dc:creator>
  <cp:keywords/>
  <dc:description/>
  <cp:lastModifiedBy>Javier Monge Matamoros</cp:lastModifiedBy>
  <cp:revision/>
  <dcterms:created xsi:type="dcterms:W3CDTF">2025-06-12T15:27:05Z</dcterms:created>
  <dcterms:modified xsi:type="dcterms:W3CDTF">2025-08-07T15:53:02Z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